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2.xml" ContentType="application/vnd.openxmlformats-officedocument.spreadsheetml.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6.xml" ContentType="application/vnd.openxmlformats-officedocument.drawing+xml"/>
  <Override PartName="/xl/tables/table3.xml" ContentType="application/vnd.openxmlformats-officedocument.spreadsheetml.tab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7.xml" ContentType="application/vnd.openxmlformats-officedocument.drawing+xml"/>
  <Override PartName="/xl/tables/table4.xml" ContentType="application/vnd.openxmlformats-officedocument.spreadsheetml.tab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8.xml" ContentType="application/vnd.openxmlformats-officedocument.drawing+xml"/>
  <Override PartName="/xl/tables/table5.xml" ContentType="application/vnd.openxmlformats-officedocument.spreadsheetml.table+xml"/>
  <Override PartName="/xl/charts/chartEx1.xml" ContentType="application/vnd.ms-office.chartex+xml"/>
  <Override PartName="/xl/charts/style14.xml" ContentType="application/vnd.ms-office.chartstyle+xml"/>
  <Override PartName="/xl/charts/colors14.xml" ContentType="application/vnd.ms-office.chartcolorstyle+xml"/>
  <Override PartName="/xl/charts/chartEx2.xml" ContentType="application/vnd.ms-office.chartex+xml"/>
  <Override PartName="/xl/charts/style15.xml" ContentType="application/vnd.ms-office.chartstyle+xml"/>
  <Override PartName="/xl/charts/colors15.xml" ContentType="application/vnd.ms-office.chartcolorstyle+xml"/>
  <Override PartName="/xl/drawings/drawing9.xml" ContentType="application/vnd.openxmlformats-officedocument.drawing+xml"/>
  <Override PartName="/xl/tables/table6.xml" ContentType="application/vnd.openxmlformats-officedocument.spreadsheetml.table+xml"/>
  <Override PartName="/xl/charts/chartEx3.xml" ContentType="application/vnd.ms-office.chartex+xml"/>
  <Override PartName="/xl/charts/style16.xml" ContentType="application/vnd.ms-office.chartstyle+xml"/>
  <Override PartName="/xl/charts/colors16.xml" ContentType="application/vnd.ms-office.chartcolorstyle+xml"/>
  <Override PartName="/xl/charts/chartEx4.xml" ContentType="application/vnd.ms-office.chartex+xml"/>
  <Override PartName="/xl/charts/style17.xml" ContentType="application/vnd.ms-office.chartstyle+xml"/>
  <Override PartName="/xl/charts/colors17.xml" ContentType="application/vnd.ms-office.chartcolorsty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10.xml" ContentType="application/vnd.openxmlformats-officedocument.drawing+xml"/>
  <Override PartName="/xl/charts/chart14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1.xml" ContentType="application/vnd.openxmlformats-officedocument.drawing+xml"/>
  <Override PartName="/xl/tables/table7.xml" ContentType="application/vnd.openxmlformats-officedocument.spreadsheetml.table+xml"/>
  <Override PartName="/xl/charts/chartEx5.xml" ContentType="application/vnd.ms-office.chartex+xml"/>
  <Override PartName="/xl/charts/style19.xml" ContentType="application/vnd.ms-office.chartstyle+xml"/>
  <Override PartName="/xl/charts/colors19.xml" ContentType="application/vnd.ms-office.chartcolorstyle+xml"/>
  <Override PartName="/xl/charts/chartEx6.xml" ContentType="application/vnd.ms-office.chartex+xml"/>
  <Override PartName="/xl/charts/style20.xml" ContentType="application/vnd.ms-office.chartstyle+xml"/>
  <Override PartName="/xl/charts/colors20.xml" ContentType="application/vnd.ms-office.chartcolorstyle+xml"/>
  <Override PartName="/xl/drawings/drawing12.xml" ContentType="application/vnd.openxmlformats-officedocument.drawing+xml"/>
  <Override PartName="/xl/tables/table8.xml" ContentType="application/vnd.openxmlformats-officedocument.spreadsheetml.table+xml"/>
  <Override PartName="/xl/charts/chartEx7.xml" ContentType="application/vnd.ms-office.chartex+xml"/>
  <Override PartName="/xl/charts/style21.xml" ContentType="application/vnd.ms-office.chartstyle+xml"/>
  <Override PartName="/xl/charts/colors21.xml" ContentType="application/vnd.ms-office.chartcolorstyle+xml"/>
  <Override PartName="/xl/charts/chartEx8.xml" ContentType="application/vnd.ms-office.chartex+xml"/>
  <Override PartName="/xl/charts/style22.xml" ContentType="application/vnd.ms-office.chartstyle+xml"/>
  <Override PartName="/xl/charts/colors22.xml" ContentType="application/vnd.ms-office.chartcolorsty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drawings/drawing13.xml" ContentType="application/vnd.openxmlformats-officedocument.drawing+xml"/>
  <Override PartName="/xl/charts/chart15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16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drawings/drawing14.xml" ContentType="application/vnd.openxmlformats-officedocument.drawing+xml"/>
  <Override PartName="/xl/charts/chart17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18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nicholasgeorge/Library/CloudStorage/ProtonDrive-nicholas.j.george@proton.me-folder/technical/ds/projects/1-crowdfunding_goal_analysis_in_excel/"/>
    </mc:Choice>
  </mc:AlternateContent>
  <xr:revisionPtr revIDLastSave="0" documentId="13_ncr:1_{F71DEBE9-C6A8-9A46-9062-B090CCE0301D}" xr6:coauthVersionLast="47" xr6:coauthVersionMax="47" xr10:uidLastSave="{00000000-0000-0000-0000-000000000000}"/>
  <bookViews>
    <workbookView xWindow="9640" yWindow="600" windowWidth="31380" windowHeight="27940" xr2:uid="{00000000-000D-0000-FFFF-FFFF00000000}"/>
  </bookViews>
  <sheets>
    <sheet name="Crowdfunding" sheetId="1" r:id="rId1"/>
    <sheet name="Outcomes vs. Categories" sheetId="53" r:id="rId2"/>
    <sheet name="Mean Funding Ratio" sheetId="54" r:id="rId3"/>
    <sheet name="Median Funding Ratio" sheetId="56" r:id="rId4"/>
    <sheet name="Outcomes vs. Weekdays" sheetId="23" r:id="rId5"/>
    <sheet name="Outcomes vs. Months" sheetId="5" r:id="rId6"/>
    <sheet name=" Outcomes vs. Years" sheetId="13" r:id="rId7"/>
    <sheet name="Backer Distributions" sheetId="55" r:id="rId8"/>
    <sheet name="Campaign Summary" sheetId="6" r:id="rId9"/>
    <sheet name="Statistical Analysis (Goals)" sheetId="35" r:id="rId10"/>
    <sheet name="Statistical Analysis (Pledges)" sheetId="22" r:id="rId11"/>
    <sheet name="Category-Goal Statistics" sheetId="41" r:id="rId12"/>
    <sheet name="Category-Pledge Statistics" sheetId="43" r:id="rId13"/>
    <sheet name="StdDev Goal-Pledge vs. Outcomes" sheetId="18" r:id="rId14"/>
    <sheet name="Statistical Analysis (Backers)" sheetId="7" r:id="rId15"/>
    <sheet name="Statistical Analysis (Duration)" sheetId="29" r:id="rId16"/>
    <sheet name="Duration vs. Outcomes" sheetId="39" r:id="rId17"/>
    <sheet name="Countries vs. Outcomes" sheetId="36" r:id="rId18"/>
    <sheet name="Correlation Analysis" sheetId="48" r:id="rId19"/>
    <sheet name="Staff Pick &amp; Spotlight Effect" sheetId="49" r:id="rId20"/>
    <sheet name="Success Driver Summary" sheetId="47" r:id="rId21"/>
  </sheets>
  <definedNames>
    <definedName name="_xlchart.v1.0" hidden="1">'Statistical Analysis (Goals)'!$E$1:$E$364</definedName>
    <definedName name="_xlchart.v1.1" hidden="1">'Statistical Analysis (Goals)'!$B$1:$B$565</definedName>
    <definedName name="_xlchart.v1.2" hidden="1">'Statistical Analysis (Pledges)'!$B$1:$B$565</definedName>
    <definedName name="_xlchart.v1.3" hidden="1">'Statistical Analysis (Pledges)'!$E$1:$E$364</definedName>
    <definedName name="_xlchart.v1.4" hidden="1">'Statistical Analysis (Backers)'!$B$1:$B$565</definedName>
    <definedName name="_xlchart.v1.5" hidden="1">'Statistical Analysis (Backers)'!$E$1:$E$364</definedName>
    <definedName name="_xlchart.v1.6" hidden="1">'Statistical Analysis (Duration)'!$B$1:$B$565</definedName>
    <definedName name="_xlchart.v1.7" hidden="1">'Statistical Analysis (Duration)'!$E$1:$E$364</definedName>
  </definedNames>
  <calcPr calcId="191029" iterateDelta="1E-4"/>
  <pivotCaches>
    <pivotCache cacheId="12" r:id="rId22"/>
    <pivotCache cacheId="13" r:id="rId23"/>
    <pivotCache cacheId="14" r:id="rId2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" i="49" l="1"/>
  <c r="K8" i="49"/>
  <c r="L7" i="49"/>
  <c r="K7" i="49"/>
  <c r="L6" i="49"/>
  <c r="K6" i="49"/>
  <c r="L5" i="49"/>
  <c r="K5" i="49"/>
  <c r="P12" i="36"/>
  <c r="O12" i="36"/>
  <c r="P11" i="36"/>
  <c r="O11" i="36"/>
  <c r="P10" i="36"/>
  <c r="O10" i="36"/>
  <c r="P9" i="36"/>
  <c r="O9" i="36"/>
  <c r="P8" i="36"/>
  <c r="O8" i="36"/>
  <c r="P7" i="36"/>
  <c r="O7" i="36"/>
  <c r="P6" i="36"/>
  <c r="O6" i="36"/>
  <c r="P5" i="36"/>
  <c r="O5" i="36"/>
  <c r="P15" i="13"/>
  <c r="O15" i="13"/>
  <c r="P14" i="13"/>
  <c r="O14" i="13"/>
  <c r="P13" i="13"/>
  <c r="O13" i="13"/>
  <c r="P12" i="13"/>
  <c r="O12" i="13"/>
  <c r="P11" i="13"/>
  <c r="O11" i="13"/>
  <c r="P10" i="13"/>
  <c r="O10" i="13"/>
  <c r="P9" i="13"/>
  <c r="O9" i="13"/>
  <c r="P8" i="13"/>
  <c r="O8" i="13"/>
  <c r="P7" i="13"/>
  <c r="O7" i="13"/>
  <c r="P6" i="13"/>
  <c r="O6" i="13"/>
  <c r="P5" i="13"/>
  <c r="O5" i="13"/>
  <c r="P18" i="5"/>
  <c r="O18" i="5"/>
  <c r="P17" i="5"/>
  <c r="O17" i="5"/>
  <c r="P16" i="5"/>
  <c r="O16" i="5"/>
  <c r="P15" i="5"/>
  <c r="O15" i="5"/>
  <c r="P14" i="5"/>
  <c r="O14" i="5"/>
  <c r="P13" i="5"/>
  <c r="O13" i="5"/>
  <c r="P12" i="5"/>
  <c r="O12" i="5"/>
  <c r="P11" i="5"/>
  <c r="O11" i="5"/>
  <c r="P10" i="5"/>
  <c r="O10" i="5"/>
  <c r="P9" i="5"/>
  <c r="O9" i="5"/>
  <c r="P8" i="5"/>
  <c r="O8" i="5"/>
  <c r="P7" i="5"/>
  <c r="O7" i="5"/>
  <c r="P6" i="5"/>
  <c r="O6" i="5"/>
  <c r="O13" i="23"/>
  <c r="N13" i="23"/>
  <c r="O12" i="23"/>
  <c r="N12" i="23"/>
  <c r="O11" i="23"/>
  <c r="N11" i="23"/>
  <c r="O10" i="23"/>
  <c r="N10" i="23"/>
  <c r="O9" i="23"/>
  <c r="N9" i="23"/>
  <c r="O8" i="23"/>
  <c r="N8" i="23"/>
  <c r="O7" i="23"/>
  <c r="N7" i="23"/>
  <c r="O6" i="23"/>
  <c r="N6" i="23"/>
  <c r="E21" i="56" a="1"/>
  <c r="E21" i="56" s="1"/>
  <c r="E31" i="56" a="1"/>
  <c r="E31" i="56" s="1"/>
  <c r="F36" i="56"/>
  <c r="E36" i="56" a="1"/>
  <c r="E36" i="56" s="1"/>
  <c r="D36" i="56" a="1"/>
  <c r="D36" i="56" s="1"/>
  <c r="C36" i="56" a="1"/>
  <c r="C36" i="56" s="1"/>
  <c r="B36" i="56" a="1"/>
  <c r="B36" i="56" s="1"/>
  <c r="F35" i="56" a="1"/>
  <c r="F35" i="56" s="1"/>
  <c r="E35" i="56" a="1"/>
  <c r="E35" i="56" s="1"/>
  <c r="D35" i="56" a="1"/>
  <c r="D35" i="56" s="1"/>
  <c r="C35" i="56" a="1"/>
  <c r="C35" i="56" s="1"/>
  <c r="B35" i="56" a="1"/>
  <c r="B35" i="56" s="1"/>
  <c r="F34" i="56" a="1"/>
  <c r="F34" i="56" s="1"/>
  <c r="E34" i="56" a="1"/>
  <c r="E34" i="56" s="1"/>
  <c r="D34" i="56" a="1"/>
  <c r="D34" i="56" s="1"/>
  <c r="C34" i="56" a="1"/>
  <c r="C34" i="56" s="1"/>
  <c r="B34" i="56" a="1"/>
  <c r="B34" i="56" s="1"/>
  <c r="F33" i="56" a="1"/>
  <c r="F33" i="56" s="1"/>
  <c r="E33" i="56" a="1"/>
  <c r="E33" i="56" s="1"/>
  <c r="D33" i="56" a="1"/>
  <c r="D33" i="56" s="1"/>
  <c r="C33" i="56" a="1"/>
  <c r="C33" i="56" s="1"/>
  <c r="B33" i="56" a="1"/>
  <c r="B33" i="56" s="1"/>
  <c r="F32" i="56" a="1"/>
  <c r="F32" i="56" s="1"/>
  <c r="E32" i="56" a="1"/>
  <c r="E32" i="56" s="1"/>
  <c r="D32" i="56" a="1"/>
  <c r="D32" i="56" s="1"/>
  <c r="C32" i="56" a="1"/>
  <c r="C32" i="56" s="1"/>
  <c r="B32" i="56" a="1"/>
  <c r="B32" i="56" s="1"/>
  <c r="F31" i="56" a="1"/>
  <c r="F31" i="56" s="1"/>
  <c r="D31" i="56" a="1"/>
  <c r="D31" i="56" s="1"/>
  <c r="C31" i="56" a="1"/>
  <c r="C31" i="56" s="1"/>
  <c r="B31" i="56" a="1"/>
  <c r="B31" i="56" s="1"/>
  <c r="F30" i="56" a="1"/>
  <c r="F30" i="56" s="1"/>
  <c r="E30" i="56" a="1"/>
  <c r="E30" i="56" s="1"/>
  <c r="D30" i="56" a="1"/>
  <c r="D30" i="56" s="1"/>
  <c r="C30" i="56" a="1"/>
  <c r="C30" i="56" s="1"/>
  <c r="B30" i="56" a="1"/>
  <c r="B30" i="56" s="1"/>
  <c r="F29" i="56" a="1"/>
  <c r="F29" i="56" s="1"/>
  <c r="E29" i="56" a="1"/>
  <c r="E29" i="56" s="1"/>
  <c r="D29" i="56" a="1"/>
  <c r="D29" i="56" s="1"/>
  <c r="C29" i="56" a="1"/>
  <c r="C29" i="56" s="1"/>
  <c r="B29" i="56" a="1"/>
  <c r="B29" i="56" s="1"/>
  <c r="F28" i="56" a="1"/>
  <c r="F28" i="56" s="1"/>
  <c r="E28" i="56" a="1"/>
  <c r="E28" i="56" s="1"/>
  <c r="D28" i="56" a="1"/>
  <c r="D28" i="56" s="1"/>
  <c r="C28" i="56" a="1"/>
  <c r="C28" i="56" s="1"/>
  <c r="B28" i="56" a="1"/>
  <c r="B28" i="56" s="1"/>
  <c r="F27" i="56" a="1"/>
  <c r="F27" i="56" s="1"/>
  <c r="E27" i="56" a="1"/>
  <c r="E27" i="56" s="1"/>
  <c r="D27" i="56" a="1"/>
  <c r="D27" i="56" s="1"/>
  <c r="C27" i="56" a="1"/>
  <c r="C27" i="56" s="1"/>
  <c r="B27" i="56" a="1"/>
  <c r="B27" i="56" s="1"/>
  <c r="F26" i="56" a="1"/>
  <c r="F26" i="56" s="1"/>
  <c r="E26" i="56" a="1"/>
  <c r="E26" i="56" s="1"/>
  <c r="D26" i="56" a="1"/>
  <c r="D26" i="56" s="1"/>
  <c r="C26" i="56" a="1"/>
  <c r="C26" i="56" s="1"/>
  <c r="B26" i="56" a="1"/>
  <c r="B26" i="56" s="1"/>
  <c r="F25" i="56" a="1"/>
  <c r="F25" i="56" s="1"/>
  <c r="E25" i="56" a="1"/>
  <c r="E25" i="56" s="1"/>
  <c r="D25" i="56" a="1"/>
  <c r="D25" i="56" s="1"/>
  <c r="C25" i="56" a="1"/>
  <c r="C25" i="56" s="1"/>
  <c r="B25" i="56" a="1"/>
  <c r="B25" i="56" s="1"/>
  <c r="F24" i="56" a="1"/>
  <c r="F24" i="56" s="1"/>
  <c r="E24" i="56" a="1"/>
  <c r="E24" i="56" s="1"/>
  <c r="D24" i="56" a="1"/>
  <c r="D24" i="56" s="1"/>
  <c r="C24" i="56" a="1"/>
  <c r="C24" i="56" s="1"/>
  <c r="B24" i="56" a="1"/>
  <c r="B24" i="56" s="1"/>
  <c r="F23" i="56" a="1"/>
  <c r="F23" i="56" s="1"/>
  <c r="E23" i="56" a="1"/>
  <c r="E23" i="56" s="1"/>
  <c r="D23" i="56" a="1"/>
  <c r="D23" i="56" s="1"/>
  <c r="C23" i="56" a="1"/>
  <c r="C23" i="56" s="1"/>
  <c r="B23" i="56" a="1"/>
  <c r="B23" i="56" s="1"/>
  <c r="F22" i="56" a="1"/>
  <c r="F22" i="56" s="1"/>
  <c r="E22" i="56" a="1"/>
  <c r="E22" i="56" s="1"/>
  <c r="D22" i="56" a="1"/>
  <c r="D22" i="56" s="1"/>
  <c r="C22" i="56" a="1"/>
  <c r="C22" i="56" s="1"/>
  <c r="B22" i="56" a="1"/>
  <c r="B22" i="56" s="1"/>
  <c r="F21" i="56" a="1"/>
  <c r="F21" i="56" s="1"/>
  <c r="D21" i="56" a="1"/>
  <c r="D21" i="56" s="1"/>
  <c r="C21" i="56" a="1"/>
  <c r="C21" i="56" s="1"/>
  <c r="B21" i="56" a="1"/>
  <c r="B21" i="56" s="1"/>
  <c r="F20" i="56" a="1"/>
  <c r="F20" i="56" s="1"/>
  <c r="E20" i="56" a="1"/>
  <c r="E20" i="56" s="1"/>
  <c r="D20" i="56" a="1"/>
  <c r="D20" i="56" s="1"/>
  <c r="C20" i="56" a="1"/>
  <c r="C20" i="56" s="1"/>
  <c r="B20" i="56" a="1"/>
  <c r="B20" i="56" s="1"/>
  <c r="F19" i="56" a="1"/>
  <c r="F19" i="56" s="1"/>
  <c r="E19" i="56" a="1"/>
  <c r="E19" i="56" s="1"/>
  <c r="D19" i="56" a="1"/>
  <c r="D19" i="56" s="1"/>
  <c r="C19" i="56" a="1"/>
  <c r="C19" i="56" s="1"/>
  <c r="B19" i="56" a="1"/>
  <c r="B19" i="56" s="1"/>
  <c r="F18" i="56" a="1"/>
  <c r="F18" i="56" s="1"/>
  <c r="E18" i="56" a="1"/>
  <c r="E18" i="56" s="1"/>
  <c r="D18" i="56" a="1"/>
  <c r="D18" i="56" s="1"/>
  <c r="C18" i="56" a="1"/>
  <c r="C18" i="56" s="1"/>
  <c r="B18" i="56" a="1"/>
  <c r="B18" i="56" s="1"/>
  <c r="F17" i="56" a="1"/>
  <c r="F17" i="56" s="1"/>
  <c r="E17" i="56" a="1"/>
  <c r="E17" i="56" s="1"/>
  <c r="D17" i="56" a="1"/>
  <c r="D17" i="56" s="1"/>
  <c r="C17" i="56" a="1"/>
  <c r="C17" i="56" s="1"/>
  <c r="B17" i="56" a="1"/>
  <c r="B17" i="56" s="1"/>
  <c r="F16" i="56" a="1"/>
  <c r="F16" i="56" s="1"/>
  <c r="E16" i="56" a="1"/>
  <c r="E16" i="56" s="1"/>
  <c r="D16" i="56" a="1"/>
  <c r="D16" i="56" s="1"/>
  <c r="C16" i="56" a="1"/>
  <c r="C16" i="56" s="1"/>
  <c r="B16" i="56" a="1"/>
  <c r="B16" i="56" s="1"/>
  <c r="F15" i="56" a="1"/>
  <c r="F15" i="56" s="1"/>
  <c r="E15" i="56" a="1"/>
  <c r="E15" i="56" s="1"/>
  <c r="D15" i="56" a="1"/>
  <c r="D15" i="56" s="1"/>
  <c r="C15" i="56" a="1"/>
  <c r="C15" i="56" s="1"/>
  <c r="B15" i="56" a="1"/>
  <c r="B15" i="56" s="1"/>
  <c r="F14" i="56" a="1"/>
  <c r="F14" i="56" s="1"/>
  <c r="E14" i="56" a="1"/>
  <c r="E14" i="56" s="1"/>
  <c r="D14" i="56" a="1"/>
  <c r="D14" i="56" s="1"/>
  <c r="C14" i="56" a="1"/>
  <c r="C14" i="56" s="1"/>
  <c r="B14" i="56" a="1"/>
  <c r="B14" i="56" s="1"/>
  <c r="F13" i="56" a="1"/>
  <c r="F13" i="56" s="1"/>
  <c r="E13" i="56" a="1"/>
  <c r="E13" i="56" s="1"/>
  <c r="D13" i="56" a="1"/>
  <c r="D13" i="56" s="1"/>
  <c r="C13" i="56" a="1"/>
  <c r="C13" i="56" s="1"/>
  <c r="B13" i="56" a="1"/>
  <c r="B13" i="56" s="1"/>
  <c r="F12" i="56" a="1"/>
  <c r="F12" i="56" s="1"/>
  <c r="E12" i="56" a="1"/>
  <c r="E12" i="56" s="1"/>
  <c r="D12" i="56" a="1"/>
  <c r="D12" i="56" s="1"/>
  <c r="C12" i="56" a="1"/>
  <c r="C12" i="56" s="1"/>
  <c r="B12" i="56" a="1"/>
  <c r="B12" i="56" s="1"/>
  <c r="F11" i="56" a="1"/>
  <c r="F11" i="56" s="1"/>
  <c r="E11" i="56" a="1"/>
  <c r="E11" i="56" s="1"/>
  <c r="D11" i="56" a="1"/>
  <c r="D11" i="56" s="1"/>
  <c r="C11" i="56" a="1"/>
  <c r="C11" i="56" s="1"/>
  <c r="B11" i="56" a="1"/>
  <c r="B11" i="56" s="1"/>
  <c r="F10" i="56" a="1"/>
  <c r="F10" i="56" s="1"/>
  <c r="E10" i="56" a="1"/>
  <c r="E10" i="56" s="1"/>
  <c r="D10" i="56" a="1"/>
  <c r="D10" i="56" s="1"/>
  <c r="C10" i="56" a="1"/>
  <c r="C10" i="56" s="1"/>
  <c r="B10" i="56" a="1"/>
  <c r="B10" i="56" s="1"/>
  <c r="F9" i="56" a="1"/>
  <c r="F9" i="56" s="1"/>
  <c r="E9" i="56" a="1"/>
  <c r="E9" i="56" s="1"/>
  <c r="D9" i="56" a="1"/>
  <c r="D9" i="56" s="1"/>
  <c r="C9" i="56" a="1"/>
  <c r="C9" i="56" s="1"/>
  <c r="B9" i="56" a="1"/>
  <c r="B9" i="56" s="1"/>
  <c r="F8" i="56" a="1"/>
  <c r="F8" i="56" s="1"/>
  <c r="E8" i="56" a="1"/>
  <c r="E8" i="56" s="1"/>
  <c r="D8" i="56" a="1"/>
  <c r="D8" i="56" s="1"/>
  <c r="C8" i="56" a="1"/>
  <c r="C8" i="56" s="1"/>
  <c r="B8" i="56" a="1"/>
  <c r="B8" i="56" s="1"/>
  <c r="F7" i="56" a="1"/>
  <c r="F7" i="56" s="1"/>
  <c r="E7" i="56" a="1"/>
  <c r="E7" i="56" s="1"/>
  <c r="D7" i="56" a="1"/>
  <c r="D7" i="56" s="1"/>
  <c r="C7" i="56" a="1"/>
  <c r="C7" i="56" s="1"/>
  <c r="B7" i="56" a="1"/>
  <c r="B7" i="56" s="1"/>
  <c r="F6" i="56" a="1"/>
  <c r="F6" i="56" s="1"/>
  <c r="E6" i="56" a="1"/>
  <c r="E6" i="56" s="1"/>
  <c r="D6" i="56" a="1"/>
  <c r="D6" i="56" s="1"/>
  <c r="C6" i="56" a="1"/>
  <c r="C6" i="56" s="1"/>
  <c r="B6" i="56" a="1"/>
  <c r="B6" i="56" s="1"/>
  <c r="F5" i="56" a="1"/>
  <c r="F5" i="56" s="1"/>
  <c r="E5" i="56" a="1"/>
  <c r="E5" i="56" s="1"/>
  <c r="D5" i="56" a="1"/>
  <c r="D5" i="56" s="1"/>
  <c r="C5" i="56" a="1"/>
  <c r="C5" i="56" s="1"/>
  <c r="B5" i="56" a="1"/>
  <c r="B5" i="56" s="1"/>
  <c r="F4" i="56" a="1"/>
  <c r="F4" i="56" s="1"/>
  <c r="E4" i="56" a="1"/>
  <c r="E4" i="56" s="1"/>
  <c r="D4" i="56" a="1"/>
  <c r="D4" i="56" s="1"/>
  <c r="C4" i="56" a="1"/>
  <c r="C4" i="56" s="1"/>
  <c r="B4" i="56" a="1"/>
  <c r="B4" i="56" s="1"/>
  <c r="F3" i="56" a="1"/>
  <c r="F3" i="56" s="1"/>
  <c r="E3" i="56" a="1"/>
  <c r="E3" i="56" s="1"/>
  <c r="D3" i="56" a="1"/>
  <c r="D3" i="56" s="1"/>
  <c r="C3" i="56" a="1"/>
  <c r="C3" i="56" s="1"/>
  <c r="B3" i="56"/>
  <c r="B3" i="56" a="1"/>
  <c r="D7" i="55" a="1"/>
  <c r="D7" i="55" s="1"/>
  <c r="C7" i="55" a="1"/>
  <c r="C7" i="55" s="1"/>
  <c r="B7" i="55" a="1"/>
  <c r="B7" i="55" s="1"/>
  <c r="D6" i="55" a="1"/>
  <c r="D6" i="55" s="1"/>
  <c r="C6" i="55" a="1"/>
  <c r="C6" i="55" s="1"/>
  <c r="B6" i="55" a="1"/>
  <c r="B6" i="55" s="1"/>
  <c r="D5" i="55" a="1"/>
  <c r="D5" i="55" s="1"/>
  <c r="C5" i="55" a="1"/>
  <c r="C5" i="55" s="1"/>
  <c r="B5" i="55" a="1"/>
  <c r="B5" i="55" s="1"/>
  <c r="D4" i="55" a="1"/>
  <c r="D4" i="55" s="1"/>
  <c r="C4" i="55" a="1"/>
  <c r="C4" i="55" s="1"/>
  <c r="B4" i="55" a="1"/>
  <c r="B4" i="55" s="1"/>
  <c r="I4" i="43" a="1"/>
  <c r="I4" i="43" s="1"/>
  <c r="Q16" i="29"/>
  <c r="Q15" i="29"/>
  <c r="Q14" i="29"/>
  <c r="Q13" i="29"/>
  <c r="Q12" i="29"/>
  <c r="Q11" i="29"/>
  <c r="Q10" i="29"/>
  <c r="Q9" i="29"/>
  <c r="Q8" i="29"/>
  <c r="Q7" i="29"/>
  <c r="Q6" i="29"/>
  <c r="Q5" i="29"/>
  <c r="Q4" i="29"/>
  <c r="Q3" i="29"/>
  <c r="Q2" i="29"/>
  <c r="P16" i="29"/>
  <c r="P15" i="29"/>
  <c r="P14" i="29"/>
  <c r="P13" i="29"/>
  <c r="P12" i="29"/>
  <c r="P11" i="29"/>
  <c r="P10" i="29"/>
  <c r="P9" i="29"/>
  <c r="P8" i="29"/>
  <c r="P7" i="29"/>
  <c r="P6" i="29"/>
  <c r="P5" i="29"/>
  <c r="P4" i="29"/>
  <c r="P3" i="29"/>
  <c r="P2" i="29"/>
  <c r="I1" i="29" a="1"/>
  <c r="I1" i="29" s="1"/>
  <c r="H1" i="29" a="1"/>
  <c r="H1" i="29" s="1"/>
  <c r="G1" i="29" a="1"/>
  <c r="G1" i="29" s="1"/>
  <c r="F1" i="29" a="1"/>
  <c r="F1" i="29" s="1"/>
  <c r="Q15" i="7"/>
  <c r="Q14" i="7"/>
  <c r="Q13" i="7"/>
  <c r="Q12" i="7"/>
  <c r="Q11" i="7"/>
  <c r="Q10" i="7"/>
  <c r="Q9" i="7"/>
  <c r="Q8" i="7"/>
  <c r="Q7" i="7"/>
  <c r="Q6" i="7"/>
  <c r="Q5" i="7"/>
  <c r="Q4" i="7"/>
  <c r="Q3" i="7"/>
  <c r="Q2" i="7"/>
  <c r="H1" i="7" a="1"/>
  <c r="H1" i="7" s="1"/>
  <c r="F1" i="7" a="1"/>
  <c r="I1" i="22" a="1"/>
  <c r="G1" i="22" a="1"/>
  <c r="H1" i="22" a="1"/>
  <c r="H1" i="22" s="1"/>
  <c r="F1" i="22" a="1"/>
  <c r="F1" i="22" s="1"/>
  <c r="I1" i="35" a="1"/>
  <c r="H1" i="35" a="1"/>
  <c r="G1" i="35" a="1"/>
  <c r="F1" i="35" a="1"/>
  <c r="F1" i="35" s="1"/>
  <c r="E7" i="6"/>
  <c r="D7" i="6"/>
  <c r="C7" i="6"/>
  <c r="B7" i="6"/>
  <c r="E6" i="6"/>
  <c r="D6" i="6"/>
  <c r="C6" i="6"/>
  <c r="B6" i="6"/>
  <c r="E5" i="6"/>
  <c r="D5" i="6"/>
  <c r="C5" i="6"/>
  <c r="E4" i="6"/>
  <c r="D4" i="6"/>
  <c r="C4" i="6"/>
  <c r="E3" i="6"/>
  <c r="D3" i="6"/>
  <c r="C3" i="6"/>
  <c r="B3" i="6"/>
  <c r="B4" i="6"/>
  <c r="B5" i="6"/>
  <c r="E2" i="6"/>
  <c r="D2" i="6"/>
  <c r="C2" i="6"/>
  <c r="B2" i="6"/>
  <c r="E7" i="48" a="1"/>
  <c r="E7" i="48" s="1"/>
  <c r="E5" i="48" a="1"/>
  <c r="E5" i="48" s="1"/>
  <c r="E4" i="48" a="1"/>
  <c r="E4" i="48" s="1"/>
  <c r="C7" i="48" a="1"/>
  <c r="C7" i="48" s="1"/>
  <c r="C5" i="48" a="1"/>
  <c r="C5" i="48" s="1"/>
  <c r="C4" i="48" a="1"/>
  <c r="C4" i="48" s="1"/>
  <c r="B7" i="48" a="1"/>
  <c r="B7" i="48" s="1"/>
  <c r="B5" i="48" a="1"/>
  <c r="B5" i="48" s="1"/>
  <c r="B4" i="48" a="1"/>
  <c r="B4" i="48" s="1"/>
  <c r="E8" i="49"/>
  <c r="E7" i="49"/>
  <c r="E6" i="49"/>
  <c r="E5" i="49"/>
  <c r="D8" i="49"/>
  <c r="D7" i="49"/>
  <c r="D6" i="49"/>
  <c r="D5" i="49"/>
  <c r="C8" i="49"/>
  <c r="C7" i="49"/>
  <c r="C6" i="49"/>
  <c r="C5" i="49"/>
  <c r="B8" i="49"/>
  <c r="B7" i="49"/>
  <c r="B6" i="49"/>
  <c r="B5" i="49"/>
  <c r="P36" i="43" a="1"/>
  <c r="P36" i="43" s="1"/>
  <c r="K36" i="43" a="1"/>
  <c r="K36" i="43" s="1"/>
  <c r="J36" i="43" a="1"/>
  <c r="J36" i="43" s="1"/>
  <c r="I36" i="43" a="1"/>
  <c r="I36" i="43" s="1"/>
  <c r="H36" i="43" a="1"/>
  <c r="H36" i="43" s="1"/>
  <c r="G36" i="43" a="1"/>
  <c r="G36" i="43" s="1"/>
  <c r="P35" i="43" a="1"/>
  <c r="P35" i="43" s="1"/>
  <c r="K35" i="43" a="1"/>
  <c r="K35" i="43" s="1"/>
  <c r="J35" i="43" a="1"/>
  <c r="J35" i="43" s="1"/>
  <c r="I35" i="43" a="1"/>
  <c r="I35" i="43" s="1"/>
  <c r="H35" i="43" a="1"/>
  <c r="H35" i="43" s="1"/>
  <c r="G35" i="43" a="1"/>
  <c r="G35" i="43" s="1"/>
  <c r="P34" i="43" a="1"/>
  <c r="P34" i="43" s="1"/>
  <c r="K34" i="43" a="1"/>
  <c r="K34" i="43" s="1"/>
  <c r="J34" i="43" a="1"/>
  <c r="J34" i="43" s="1"/>
  <c r="I34" i="43" a="1"/>
  <c r="I34" i="43" s="1"/>
  <c r="H34" i="43" a="1"/>
  <c r="H34" i="43" s="1"/>
  <c r="G34" i="43" a="1"/>
  <c r="G34" i="43" s="1"/>
  <c r="P33" i="43" a="1"/>
  <c r="P33" i="43" s="1"/>
  <c r="K33" i="43" a="1"/>
  <c r="K33" i="43" s="1"/>
  <c r="J33" i="43" a="1"/>
  <c r="J33" i="43" s="1"/>
  <c r="I33" i="43" a="1"/>
  <c r="I33" i="43" s="1"/>
  <c r="H33" i="43" a="1"/>
  <c r="H33" i="43" s="1"/>
  <c r="G33" i="43" a="1"/>
  <c r="G33" i="43" s="1"/>
  <c r="P32" i="43" a="1"/>
  <c r="P32" i="43" s="1"/>
  <c r="K32" i="43" a="1"/>
  <c r="K32" i="43" s="1"/>
  <c r="J32" i="43" a="1"/>
  <c r="J32" i="43" s="1"/>
  <c r="I32" i="43" a="1"/>
  <c r="I32" i="43" s="1"/>
  <c r="H32" i="43" a="1"/>
  <c r="H32" i="43" s="1"/>
  <c r="G32" i="43" a="1"/>
  <c r="G32" i="43" s="1"/>
  <c r="P31" i="43" a="1"/>
  <c r="P31" i="43" s="1"/>
  <c r="K31" i="43" a="1"/>
  <c r="K31" i="43" s="1"/>
  <c r="J31" i="43" a="1"/>
  <c r="J31" i="43" s="1"/>
  <c r="I31" i="43" a="1"/>
  <c r="I31" i="43" s="1"/>
  <c r="H31" i="43" a="1"/>
  <c r="H31" i="43" s="1"/>
  <c r="G31" i="43" a="1"/>
  <c r="G31" i="43" s="1"/>
  <c r="P30" i="43" a="1"/>
  <c r="P30" i="43" s="1"/>
  <c r="K30" i="43" a="1"/>
  <c r="K30" i="43" s="1"/>
  <c r="J30" i="43" a="1"/>
  <c r="J30" i="43" s="1"/>
  <c r="I30" i="43" a="1"/>
  <c r="I30" i="43" s="1"/>
  <c r="H30" i="43" a="1"/>
  <c r="H30" i="43" s="1"/>
  <c r="G30" i="43" a="1"/>
  <c r="G30" i="43" s="1"/>
  <c r="P29" i="43" a="1"/>
  <c r="P29" i="43" s="1"/>
  <c r="K29" i="43" a="1"/>
  <c r="K29" i="43" s="1"/>
  <c r="J29" i="43" a="1"/>
  <c r="J29" i="43" s="1"/>
  <c r="I29" i="43" a="1"/>
  <c r="I29" i="43" s="1"/>
  <c r="H29" i="43" a="1"/>
  <c r="H29" i="43" s="1"/>
  <c r="G29" i="43" a="1"/>
  <c r="G29" i="43" s="1"/>
  <c r="P28" i="43" a="1"/>
  <c r="P28" i="43" s="1"/>
  <c r="K28" i="43" a="1"/>
  <c r="K28" i="43" s="1"/>
  <c r="J28" i="43" a="1"/>
  <c r="J28" i="43" s="1"/>
  <c r="I28" i="43" a="1"/>
  <c r="I28" i="43" s="1"/>
  <c r="H28" i="43" a="1"/>
  <c r="H28" i="43" s="1"/>
  <c r="G28" i="43" a="1"/>
  <c r="G28" i="43" s="1"/>
  <c r="P27" i="43" a="1"/>
  <c r="P27" i="43" s="1"/>
  <c r="K27" i="43" a="1"/>
  <c r="K27" i="43" s="1"/>
  <c r="J27" i="43" a="1"/>
  <c r="J27" i="43" s="1"/>
  <c r="I27" i="43" a="1"/>
  <c r="I27" i="43" s="1"/>
  <c r="H27" i="43" a="1"/>
  <c r="H27" i="43" s="1"/>
  <c r="G27" i="43" a="1"/>
  <c r="G27" i="43" s="1"/>
  <c r="P26" i="43" a="1"/>
  <c r="P26" i="43" s="1"/>
  <c r="K26" i="43" a="1"/>
  <c r="K26" i="43" s="1"/>
  <c r="J26" i="43" a="1"/>
  <c r="J26" i="43" s="1"/>
  <c r="I26" i="43" a="1"/>
  <c r="I26" i="43" s="1"/>
  <c r="H26" i="43" a="1"/>
  <c r="H26" i="43" s="1"/>
  <c r="G26" i="43" a="1"/>
  <c r="G26" i="43" s="1"/>
  <c r="P25" i="43" a="1"/>
  <c r="P25" i="43" s="1"/>
  <c r="K25" i="43" a="1"/>
  <c r="K25" i="43" s="1"/>
  <c r="J25" i="43" a="1"/>
  <c r="J25" i="43" s="1"/>
  <c r="I25" i="43" a="1"/>
  <c r="I25" i="43" s="1"/>
  <c r="H25" i="43" a="1"/>
  <c r="H25" i="43" s="1"/>
  <c r="G25" i="43" a="1"/>
  <c r="G25" i="43" s="1"/>
  <c r="P24" i="43" a="1"/>
  <c r="P24" i="43" s="1"/>
  <c r="K24" i="43" a="1"/>
  <c r="K24" i="43" s="1"/>
  <c r="J24" i="43" a="1"/>
  <c r="J24" i="43" s="1"/>
  <c r="I24" i="43" a="1"/>
  <c r="I24" i="43" s="1"/>
  <c r="H24" i="43" a="1"/>
  <c r="H24" i="43" s="1"/>
  <c r="G24" i="43" a="1"/>
  <c r="G24" i="43" s="1"/>
  <c r="P23" i="43" a="1"/>
  <c r="P23" i="43" s="1"/>
  <c r="K23" i="43" a="1"/>
  <c r="K23" i="43" s="1"/>
  <c r="J23" i="43" a="1"/>
  <c r="J23" i="43" s="1"/>
  <c r="I23" i="43" a="1"/>
  <c r="I23" i="43" s="1"/>
  <c r="H23" i="43" a="1"/>
  <c r="H23" i="43" s="1"/>
  <c r="G23" i="43" a="1"/>
  <c r="G23" i="43" s="1"/>
  <c r="P22" i="43" a="1"/>
  <c r="P22" i="43" s="1"/>
  <c r="K22" i="43" a="1"/>
  <c r="K22" i="43" s="1"/>
  <c r="J22" i="43" a="1"/>
  <c r="J22" i="43" s="1"/>
  <c r="I22" i="43" a="1"/>
  <c r="I22" i="43" s="1"/>
  <c r="H22" i="43" a="1"/>
  <c r="H22" i="43" s="1"/>
  <c r="G22" i="43" a="1"/>
  <c r="G22" i="43" s="1"/>
  <c r="P21" i="43" a="1"/>
  <c r="P21" i="43" s="1"/>
  <c r="K21" i="43" a="1"/>
  <c r="K21" i="43" s="1"/>
  <c r="J21" i="43" a="1"/>
  <c r="J21" i="43" s="1"/>
  <c r="I21" i="43" a="1"/>
  <c r="I21" i="43" s="1"/>
  <c r="H21" i="43" a="1"/>
  <c r="H21" i="43" s="1"/>
  <c r="G21" i="43" a="1"/>
  <c r="G21" i="43" s="1"/>
  <c r="P20" i="43" a="1"/>
  <c r="P20" i="43" s="1"/>
  <c r="K20" i="43" a="1"/>
  <c r="K20" i="43" s="1"/>
  <c r="J20" i="43" a="1"/>
  <c r="J20" i="43" s="1"/>
  <c r="I20" i="43" a="1"/>
  <c r="I20" i="43" s="1"/>
  <c r="H20" i="43" a="1"/>
  <c r="H20" i="43" s="1"/>
  <c r="G20" i="43" a="1"/>
  <c r="G20" i="43" s="1"/>
  <c r="P19" i="43" a="1"/>
  <c r="P19" i="43" s="1"/>
  <c r="K19" i="43" a="1"/>
  <c r="K19" i="43" s="1"/>
  <c r="J19" i="43" a="1"/>
  <c r="J19" i="43" s="1"/>
  <c r="I19" i="43" a="1"/>
  <c r="I19" i="43" s="1"/>
  <c r="H19" i="43" a="1"/>
  <c r="H19" i="43" s="1"/>
  <c r="G19" i="43" a="1"/>
  <c r="G19" i="43" s="1"/>
  <c r="P18" i="43" a="1"/>
  <c r="P18" i="43" s="1"/>
  <c r="K18" i="43" a="1"/>
  <c r="K18" i="43" s="1"/>
  <c r="J18" i="43" a="1"/>
  <c r="J18" i="43" s="1"/>
  <c r="I18" i="43" a="1"/>
  <c r="I18" i="43" s="1"/>
  <c r="H18" i="43" a="1"/>
  <c r="H18" i="43" s="1"/>
  <c r="G18" i="43" a="1"/>
  <c r="G18" i="43" s="1"/>
  <c r="P17" i="43" a="1"/>
  <c r="P17" i="43" s="1"/>
  <c r="K17" i="43" a="1"/>
  <c r="K17" i="43" s="1"/>
  <c r="J17" i="43" a="1"/>
  <c r="J17" i="43" s="1"/>
  <c r="I17" i="43" a="1"/>
  <c r="I17" i="43" s="1"/>
  <c r="H17" i="43" a="1"/>
  <c r="H17" i="43" s="1"/>
  <c r="G17" i="43" a="1"/>
  <c r="G17" i="43" s="1"/>
  <c r="P16" i="43" a="1"/>
  <c r="P16" i="43" s="1"/>
  <c r="K16" i="43" a="1"/>
  <c r="K16" i="43" s="1"/>
  <c r="J16" i="43" a="1"/>
  <c r="J16" i="43" s="1"/>
  <c r="I16" i="43" a="1"/>
  <c r="I16" i="43" s="1"/>
  <c r="H16" i="43" a="1"/>
  <c r="H16" i="43" s="1"/>
  <c r="G16" i="43" a="1"/>
  <c r="G16" i="43" s="1"/>
  <c r="P15" i="43" a="1"/>
  <c r="P15" i="43" s="1"/>
  <c r="K15" i="43" a="1"/>
  <c r="K15" i="43" s="1"/>
  <c r="J15" i="43" a="1"/>
  <c r="J15" i="43" s="1"/>
  <c r="I15" i="43" a="1"/>
  <c r="I15" i="43" s="1"/>
  <c r="H15" i="43" a="1"/>
  <c r="H15" i="43" s="1"/>
  <c r="G15" i="43" a="1"/>
  <c r="G15" i="43" s="1"/>
  <c r="P14" i="43" a="1"/>
  <c r="P14" i="43" s="1"/>
  <c r="K14" i="43" a="1"/>
  <c r="K14" i="43" s="1"/>
  <c r="J14" i="43" a="1"/>
  <c r="J14" i="43" s="1"/>
  <c r="I14" i="43" a="1"/>
  <c r="I14" i="43" s="1"/>
  <c r="H14" i="43" a="1"/>
  <c r="H14" i="43" s="1"/>
  <c r="G14" i="43" a="1"/>
  <c r="G14" i="43" s="1"/>
  <c r="P13" i="43" a="1"/>
  <c r="P13" i="43" s="1"/>
  <c r="K13" i="43" a="1"/>
  <c r="K13" i="43" s="1"/>
  <c r="J13" i="43" a="1"/>
  <c r="J13" i="43" s="1"/>
  <c r="I13" i="43" a="1"/>
  <c r="I13" i="43" s="1"/>
  <c r="H13" i="43" a="1"/>
  <c r="H13" i="43" s="1"/>
  <c r="G13" i="43" a="1"/>
  <c r="G13" i="43" s="1"/>
  <c r="P12" i="43" a="1"/>
  <c r="P12" i="43" s="1"/>
  <c r="K12" i="43" a="1"/>
  <c r="K12" i="43" s="1"/>
  <c r="J12" i="43" a="1"/>
  <c r="J12" i="43" s="1"/>
  <c r="I12" i="43" a="1"/>
  <c r="I12" i="43" s="1"/>
  <c r="H12" i="43" a="1"/>
  <c r="H12" i="43" s="1"/>
  <c r="G12" i="43" a="1"/>
  <c r="G12" i="43" s="1"/>
  <c r="P11" i="43" a="1"/>
  <c r="P11" i="43" s="1"/>
  <c r="K11" i="43" a="1"/>
  <c r="K11" i="43" s="1"/>
  <c r="J11" i="43" a="1"/>
  <c r="J11" i="43" s="1"/>
  <c r="I11" i="43" a="1"/>
  <c r="I11" i="43" s="1"/>
  <c r="H11" i="43" a="1"/>
  <c r="H11" i="43" s="1"/>
  <c r="G11" i="43" a="1"/>
  <c r="G11" i="43" s="1"/>
  <c r="P10" i="43" a="1"/>
  <c r="P10" i="43" s="1"/>
  <c r="K10" i="43" a="1"/>
  <c r="K10" i="43" s="1"/>
  <c r="J10" i="43" a="1"/>
  <c r="J10" i="43" s="1"/>
  <c r="I10" i="43" a="1"/>
  <c r="I10" i="43" s="1"/>
  <c r="H10" i="43" a="1"/>
  <c r="H10" i="43" s="1"/>
  <c r="G10" i="43" a="1"/>
  <c r="G10" i="43" s="1"/>
  <c r="P9" i="43" a="1"/>
  <c r="P9" i="43" s="1"/>
  <c r="K9" i="43" a="1"/>
  <c r="K9" i="43" s="1"/>
  <c r="J9" i="43" a="1"/>
  <c r="J9" i="43" s="1"/>
  <c r="I9" i="43" a="1"/>
  <c r="I9" i="43" s="1"/>
  <c r="H9" i="43" a="1"/>
  <c r="H9" i="43" s="1"/>
  <c r="G9" i="43" a="1"/>
  <c r="G9" i="43" s="1"/>
  <c r="P8" i="43" a="1"/>
  <c r="P8" i="43" s="1"/>
  <c r="K8" i="43" a="1"/>
  <c r="K8" i="43" s="1"/>
  <c r="J8" i="43" a="1"/>
  <c r="J8" i="43" s="1"/>
  <c r="I8" i="43" a="1"/>
  <c r="I8" i="43" s="1"/>
  <c r="H8" i="43" a="1"/>
  <c r="H8" i="43" s="1"/>
  <c r="G8" i="43" a="1"/>
  <c r="G8" i="43" s="1"/>
  <c r="P7" i="43" a="1"/>
  <c r="P7" i="43" s="1"/>
  <c r="K7" i="43" a="1"/>
  <c r="K7" i="43" s="1"/>
  <c r="J7" i="43" a="1"/>
  <c r="J7" i="43" s="1"/>
  <c r="I7" i="43" a="1"/>
  <c r="I7" i="43" s="1"/>
  <c r="H7" i="43" a="1"/>
  <c r="H7" i="43" s="1"/>
  <c r="G7" i="43" a="1"/>
  <c r="G7" i="43" s="1"/>
  <c r="P6" i="43" a="1"/>
  <c r="P6" i="43" s="1"/>
  <c r="K6" i="43" a="1"/>
  <c r="K6" i="43" s="1"/>
  <c r="J6" i="43" a="1"/>
  <c r="J6" i="43" s="1"/>
  <c r="I6" i="43" a="1"/>
  <c r="I6" i="43" s="1"/>
  <c r="H6" i="43" a="1"/>
  <c r="H6" i="43" s="1"/>
  <c r="G6" i="43" a="1"/>
  <c r="G6" i="43" s="1"/>
  <c r="P5" i="43" a="1"/>
  <c r="P5" i="43" s="1"/>
  <c r="K5" i="43" a="1"/>
  <c r="K5" i="43" s="1"/>
  <c r="J5" i="43" a="1"/>
  <c r="J5" i="43" s="1"/>
  <c r="I5" i="43" a="1"/>
  <c r="I5" i="43" s="1"/>
  <c r="H5" i="43" a="1"/>
  <c r="H5" i="43" s="1"/>
  <c r="G5" i="43" a="1"/>
  <c r="G5" i="43" s="1"/>
  <c r="P4" i="43" a="1"/>
  <c r="P4" i="43" s="1"/>
  <c r="K4" i="43" a="1"/>
  <c r="K4" i="43" s="1"/>
  <c r="J4" i="43" a="1"/>
  <c r="J4" i="43" s="1"/>
  <c r="H4" i="43" a="1"/>
  <c r="H4" i="43" s="1"/>
  <c r="G4" i="43" a="1"/>
  <c r="G4" i="43" s="1"/>
  <c r="P13" i="41" a="1"/>
  <c r="P13" i="41" s="1"/>
  <c r="P36" i="41" a="1"/>
  <c r="P36" i="41" s="1"/>
  <c r="P34" i="41" a="1"/>
  <c r="P34" i="41" s="1"/>
  <c r="P33" i="41" a="1"/>
  <c r="P33" i="41" s="1"/>
  <c r="P31" i="41" a="1"/>
  <c r="P31" i="41" s="1"/>
  <c r="P30" i="41" a="1"/>
  <c r="P30" i="41" s="1"/>
  <c r="P29" i="41" a="1"/>
  <c r="P29" i="41" s="1"/>
  <c r="P28" i="41" a="1"/>
  <c r="P28" i="41" s="1"/>
  <c r="P26" i="41" a="1"/>
  <c r="P26" i="41" s="1"/>
  <c r="P24" i="41" a="1"/>
  <c r="P24" i="41" s="1"/>
  <c r="P23" i="41" a="1"/>
  <c r="P23" i="41" s="1"/>
  <c r="P22" i="41" a="1"/>
  <c r="P22" i="41" s="1"/>
  <c r="P21" i="41" a="1"/>
  <c r="P21" i="41" s="1"/>
  <c r="P20" i="41" a="1"/>
  <c r="P20" i="41" s="1"/>
  <c r="P19" i="41" a="1"/>
  <c r="P19" i="41" s="1"/>
  <c r="P17" i="41" a="1"/>
  <c r="P17" i="41" s="1"/>
  <c r="P15" i="41" a="1"/>
  <c r="P15" i="41" s="1"/>
  <c r="P14" i="41" a="1"/>
  <c r="P14" i="41" s="1"/>
  <c r="P12" i="41" a="1"/>
  <c r="P12" i="41" s="1"/>
  <c r="P10" i="41" a="1"/>
  <c r="P10" i="41" s="1"/>
  <c r="P9" i="41" a="1"/>
  <c r="P9" i="41" s="1"/>
  <c r="P8" i="41" a="1"/>
  <c r="P8" i="41" s="1"/>
  <c r="P7" i="41" a="1"/>
  <c r="P7" i="41" s="1"/>
  <c r="P6" i="41" a="1"/>
  <c r="P6" i="41" s="1"/>
  <c r="P5" i="41" a="1"/>
  <c r="P5" i="41" s="1"/>
  <c r="P35" i="41" a="1"/>
  <c r="P35" i="41" s="1"/>
  <c r="P32" i="41" a="1"/>
  <c r="P32" i="41" s="1"/>
  <c r="P27" i="41" a="1"/>
  <c r="P27" i="41" s="1"/>
  <c r="P25" i="41" a="1"/>
  <c r="P25" i="41" s="1"/>
  <c r="P18" i="41" a="1"/>
  <c r="P18" i="41" s="1"/>
  <c r="P16" i="41" a="1"/>
  <c r="P16" i="41" s="1"/>
  <c r="P11" i="41" a="1"/>
  <c r="P11" i="41" s="1"/>
  <c r="P4" i="41" a="1"/>
  <c r="P4" i="41" s="1"/>
  <c r="K36" i="41" a="1"/>
  <c r="K36" i="41" s="1"/>
  <c r="K34" i="41" a="1"/>
  <c r="K34" i="41" s="1"/>
  <c r="K33" i="41" a="1"/>
  <c r="K33" i="41" s="1"/>
  <c r="K31" i="41" a="1"/>
  <c r="K31" i="41" s="1"/>
  <c r="K30" i="41" a="1"/>
  <c r="K30" i="41" s="1"/>
  <c r="K29" i="41" a="1"/>
  <c r="K29" i="41" s="1"/>
  <c r="K28" i="41" a="1"/>
  <c r="K28" i="41" s="1"/>
  <c r="K26" i="41" a="1"/>
  <c r="K26" i="41" s="1"/>
  <c r="K24" i="41" a="1"/>
  <c r="K24" i="41" s="1"/>
  <c r="K23" i="41" a="1"/>
  <c r="K23" i="41" s="1"/>
  <c r="K22" i="41" a="1"/>
  <c r="K22" i="41" s="1"/>
  <c r="K21" i="41" a="1"/>
  <c r="K21" i="41" s="1"/>
  <c r="K20" i="41" a="1"/>
  <c r="K20" i="41" s="1"/>
  <c r="K19" i="41" a="1"/>
  <c r="K19" i="41" s="1"/>
  <c r="K17" i="41" a="1"/>
  <c r="K17" i="41" s="1"/>
  <c r="K15" i="41" a="1"/>
  <c r="K15" i="41" s="1"/>
  <c r="K14" i="41" a="1"/>
  <c r="K14" i="41" s="1"/>
  <c r="K12" i="41" a="1"/>
  <c r="K12" i="41" s="1"/>
  <c r="K10" i="41" a="1"/>
  <c r="K10" i="41" s="1"/>
  <c r="K9" i="41" a="1"/>
  <c r="K9" i="41" s="1"/>
  <c r="K8" i="41" a="1"/>
  <c r="K8" i="41" s="1"/>
  <c r="K7" i="41" a="1"/>
  <c r="K7" i="41" s="1"/>
  <c r="K6" i="41" a="1"/>
  <c r="K6" i="41" s="1"/>
  <c r="K5" i="41" a="1"/>
  <c r="K5" i="41" s="1"/>
  <c r="K35" i="41" a="1"/>
  <c r="K35" i="41" s="1"/>
  <c r="K32" i="41" a="1"/>
  <c r="K32" i="41" s="1"/>
  <c r="K27" i="41" a="1"/>
  <c r="K27" i="41" s="1"/>
  <c r="K25" i="41" a="1"/>
  <c r="K25" i="41" s="1"/>
  <c r="K18" i="41" a="1"/>
  <c r="K18" i="41" s="1"/>
  <c r="K16" i="41" a="1"/>
  <c r="K16" i="41" s="1"/>
  <c r="K13" i="41" a="1"/>
  <c r="K13" i="41" s="1"/>
  <c r="K11" i="41" a="1"/>
  <c r="K11" i="41" s="1"/>
  <c r="K4" i="41" a="1"/>
  <c r="K4" i="41" s="1"/>
  <c r="G36" i="41" a="1"/>
  <c r="G36" i="41" s="1"/>
  <c r="G34" i="41" a="1"/>
  <c r="G34" i="41" s="1"/>
  <c r="G33" i="41" a="1"/>
  <c r="G33" i="41" s="1"/>
  <c r="G31" i="41" a="1"/>
  <c r="G31" i="41" s="1"/>
  <c r="G30" i="41" a="1"/>
  <c r="G30" i="41" s="1"/>
  <c r="G29" i="41" a="1"/>
  <c r="G29" i="41" s="1"/>
  <c r="G28" i="41" a="1"/>
  <c r="G28" i="41" s="1"/>
  <c r="G26" i="41" a="1"/>
  <c r="G26" i="41" s="1"/>
  <c r="G24" i="41" a="1"/>
  <c r="G24" i="41" s="1"/>
  <c r="G23" i="41" a="1"/>
  <c r="G23" i="41" s="1"/>
  <c r="G22" i="41" a="1"/>
  <c r="G22" i="41" s="1"/>
  <c r="G21" i="41" a="1"/>
  <c r="G21" i="41" s="1"/>
  <c r="G20" i="41" a="1"/>
  <c r="G20" i="41" s="1"/>
  <c r="G19" i="41" a="1"/>
  <c r="G19" i="41" s="1"/>
  <c r="G17" i="41" a="1"/>
  <c r="G17" i="41" s="1"/>
  <c r="G15" i="41" a="1"/>
  <c r="G15" i="41" s="1"/>
  <c r="G14" i="41" a="1"/>
  <c r="G14" i="41" s="1"/>
  <c r="G12" i="41" a="1"/>
  <c r="G12" i="41" s="1"/>
  <c r="G10" i="41" a="1"/>
  <c r="G10" i="41" s="1"/>
  <c r="G9" i="41" a="1"/>
  <c r="G9" i="41" s="1"/>
  <c r="G8" i="41" a="1"/>
  <c r="G8" i="41" s="1"/>
  <c r="G7" i="41" a="1"/>
  <c r="G7" i="41" s="1"/>
  <c r="G6" i="41" a="1"/>
  <c r="G6" i="41" s="1"/>
  <c r="G5" i="41" a="1"/>
  <c r="G5" i="41" s="1"/>
  <c r="G35" i="41" a="1"/>
  <c r="G35" i="41" s="1"/>
  <c r="G32" i="41" a="1"/>
  <c r="G32" i="41" s="1"/>
  <c r="G27" i="41" a="1"/>
  <c r="G27" i="41" s="1"/>
  <c r="G25" i="41" a="1"/>
  <c r="G25" i="41" s="1"/>
  <c r="G18" i="41" a="1"/>
  <c r="G18" i="41" s="1"/>
  <c r="G16" i="41" a="1"/>
  <c r="G16" i="41" s="1"/>
  <c r="G13" i="41" a="1"/>
  <c r="G13" i="41" s="1"/>
  <c r="G11" i="41" a="1"/>
  <c r="G11" i="41" s="1"/>
  <c r="G4" i="41" a="1"/>
  <c r="G4" i="41" s="1"/>
  <c r="J36" i="41" a="1"/>
  <c r="J36" i="41" s="1"/>
  <c r="J34" i="41" a="1"/>
  <c r="J34" i="41" s="1"/>
  <c r="J33" i="41" a="1"/>
  <c r="J33" i="41" s="1"/>
  <c r="J31" i="41" a="1"/>
  <c r="J31" i="41" s="1"/>
  <c r="J30" i="41" a="1"/>
  <c r="J30" i="41" s="1"/>
  <c r="J29" i="41" a="1"/>
  <c r="J29" i="41" s="1"/>
  <c r="J28" i="41" a="1"/>
  <c r="J28" i="41" s="1"/>
  <c r="J26" i="41" a="1"/>
  <c r="J26" i="41" s="1"/>
  <c r="J24" i="41" a="1"/>
  <c r="J24" i="41" s="1"/>
  <c r="J23" i="41" a="1"/>
  <c r="J23" i="41" s="1"/>
  <c r="J22" i="41" a="1"/>
  <c r="J22" i="41" s="1"/>
  <c r="J21" i="41" a="1"/>
  <c r="J21" i="41" s="1"/>
  <c r="J20" i="41" a="1"/>
  <c r="J20" i="41" s="1"/>
  <c r="J19" i="41" a="1"/>
  <c r="J19" i="41" s="1"/>
  <c r="J17" i="41" a="1"/>
  <c r="J17" i="41" s="1"/>
  <c r="J15" i="41" a="1"/>
  <c r="J15" i="41" s="1"/>
  <c r="J14" i="41" a="1"/>
  <c r="J14" i="41" s="1"/>
  <c r="J12" i="41" a="1"/>
  <c r="J12" i="41" s="1"/>
  <c r="J10" i="41" a="1"/>
  <c r="J10" i="41" s="1"/>
  <c r="J9" i="41" a="1"/>
  <c r="J9" i="41" s="1"/>
  <c r="J8" i="41" a="1"/>
  <c r="J8" i="41" s="1"/>
  <c r="J7" i="41" a="1"/>
  <c r="J7" i="41" s="1"/>
  <c r="J6" i="41" a="1"/>
  <c r="J6" i="41" s="1"/>
  <c r="J5" i="41" a="1"/>
  <c r="J5" i="41" s="1"/>
  <c r="J35" i="41" a="1"/>
  <c r="J35" i="41" s="1"/>
  <c r="J32" i="41" a="1"/>
  <c r="J32" i="41" s="1"/>
  <c r="J27" i="41" a="1"/>
  <c r="J27" i="41" s="1"/>
  <c r="J25" i="41" a="1"/>
  <c r="J25" i="41" s="1"/>
  <c r="J18" i="41" a="1"/>
  <c r="J18" i="41" s="1"/>
  <c r="J16" i="41" a="1"/>
  <c r="J16" i="41" s="1"/>
  <c r="J13" i="41" a="1"/>
  <c r="J13" i="41" s="1"/>
  <c r="J11" i="41" a="1"/>
  <c r="J11" i="41" s="1"/>
  <c r="J4" i="41" a="1"/>
  <c r="J4" i="41" s="1"/>
  <c r="H4" i="41" a="1"/>
  <c r="H4" i="41" s="1"/>
  <c r="H36" i="41" a="1"/>
  <c r="H36" i="41" s="1"/>
  <c r="H34" i="41" a="1"/>
  <c r="H34" i="41" s="1"/>
  <c r="H33" i="41" a="1"/>
  <c r="H33" i="41" s="1"/>
  <c r="H24" i="41" a="1"/>
  <c r="H24" i="41" s="1"/>
  <c r="H17" i="41" a="1"/>
  <c r="H17" i="41" s="1"/>
  <c r="H31" i="41" a="1"/>
  <c r="H31" i="41" s="1"/>
  <c r="H30" i="41" a="1"/>
  <c r="H30" i="41" s="1"/>
  <c r="H29" i="41" a="1"/>
  <c r="H29" i="41" s="1"/>
  <c r="H28" i="41" a="1"/>
  <c r="H28" i="41" s="1"/>
  <c r="H26" i="41" a="1"/>
  <c r="H26" i="41" s="1"/>
  <c r="H23" i="41" a="1"/>
  <c r="H23" i="41" s="1"/>
  <c r="H22" i="41" a="1"/>
  <c r="H22" i="41" s="1"/>
  <c r="H21" i="41" a="1"/>
  <c r="H21" i="41" s="1"/>
  <c r="H20" i="41" a="1"/>
  <c r="H20" i="41" s="1"/>
  <c r="H19" i="41" a="1"/>
  <c r="H19" i="41" s="1"/>
  <c r="H15" i="41" a="1"/>
  <c r="H15" i="41" s="1"/>
  <c r="H14" i="41" a="1"/>
  <c r="H14" i="41" s="1"/>
  <c r="H12" i="41" a="1"/>
  <c r="H12" i="41" s="1"/>
  <c r="H10" i="41" a="1"/>
  <c r="H10" i="41" s="1"/>
  <c r="H9" i="41" a="1"/>
  <c r="H9" i="41" s="1"/>
  <c r="H8" i="41" a="1"/>
  <c r="H8" i="41" s="1"/>
  <c r="H7" i="41" a="1"/>
  <c r="H7" i="41" s="1"/>
  <c r="H6" i="41" a="1"/>
  <c r="H6" i="41" s="1"/>
  <c r="H11" i="41" a="1"/>
  <c r="H11" i="41" s="1"/>
  <c r="H13" i="41" a="1"/>
  <c r="H13" i="41" s="1"/>
  <c r="H16" i="41" a="1"/>
  <c r="H16" i="41" s="1"/>
  <c r="H18" i="41" a="1"/>
  <c r="H18" i="41" s="1"/>
  <c r="H25" i="41" a="1"/>
  <c r="H25" i="41" s="1"/>
  <c r="H27" i="41" a="1"/>
  <c r="H27" i="41" s="1"/>
  <c r="H32" i="41" a="1"/>
  <c r="H32" i="41" s="1"/>
  <c r="H35" i="41" a="1"/>
  <c r="H35" i="41" s="1"/>
  <c r="H5" i="41" a="1"/>
  <c r="H5" i="41" s="1"/>
  <c r="I24" i="41" a="1"/>
  <c r="I24" i="41" s="1"/>
  <c r="I36" i="41" a="1"/>
  <c r="I36" i="41" s="1"/>
  <c r="I34" i="41" a="1"/>
  <c r="I34" i="41" s="1"/>
  <c r="I33" i="41" a="1"/>
  <c r="I33" i="41" s="1"/>
  <c r="I31" i="41" a="1"/>
  <c r="I31" i="41" s="1"/>
  <c r="I30" i="41" a="1"/>
  <c r="I30" i="41" s="1"/>
  <c r="I29" i="41" a="1"/>
  <c r="I29" i="41" s="1"/>
  <c r="I28" i="41" a="1"/>
  <c r="I28" i="41" s="1"/>
  <c r="I26" i="41" a="1"/>
  <c r="I26" i="41" s="1"/>
  <c r="I23" i="41" a="1"/>
  <c r="I23" i="41" s="1"/>
  <c r="I22" i="41" a="1"/>
  <c r="I22" i="41" s="1"/>
  <c r="I21" i="41" a="1"/>
  <c r="I21" i="41" s="1"/>
  <c r="I20" i="41" a="1"/>
  <c r="I20" i="41" s="1"/>
  <c r="I19" i="41" a="1"/>
  <c r="I19" i="41" s="1"/>
  <c r="I17" i="41" a="1"/>
  <c r="I17" i="41" s="1"/>
  <c r="I15" i="41" a="1"/>
  <c r="I15" i="41" s="1"/>
  <c r="I14" i="41" a="1"/>
  <c r="I14" i="41" s="1"/>
  <c r="I12" i="41" a="1"/>
  <c r="I12" i="41" s="1"/>
  <c r="I10" i="41" a="1"/>
  <c r="I10" i="41" s="1"/>
  <c r="I9" i="41" a="1"/>
  <c r="I9" i="41" s="1"/>
  <c r="I8" i="41" a="1"/>
  <c r="I8" i="41" s="1"/>
  <c r="I7" i="41" a="1"/>
  <c r="I7" i="41" s="1"/>
  <c r="I6" i="41" a="1"/>
  <c r="I6" i="41" s="1"/>
  <c r="I5" i="41" a="1"/>
  <c r="I5" i="41" s="1"/>
  <c r="I35" i="41" a="1"/>
  <c r="I35" i="41" s="1"/>
  <c r="I32" i="41" a="1"/>
  <c r="I32" i="41" s="1"/>
  <c r="I27" i="41" a="1"/>
  <c r="I27" i="41" s="1"/>
  <c r="I25" i="41" a="1"/>
  <c r="I25" i="41" s="1"/>
  <c r="I18" i="41" a="1"/>
  <c r="I18" i="41" s="1"/>
  <c r="I16" i="41" a="1"/>
  <c r="I16" i="41" s="1"/>
  <c r="I13" i="41" a="1"/>
  <c r="I13" i="41" s="1"/>
  <c r="I11" i="41" a="1"/>
  <c r="I11" i="41" s="1"/>
  <c r="I4" i="41" a="1"/>
  <c r="I4" i="41" s="1"/>
  <c r="E1" i="35" a="1"/>
  <c r="E1" i="35" s="1"/>
  <c r="B1" i="35" a="1"/>
  <c r="B1" i="35" s="1"/>
  <c r="D1" i="35" a="1"/>
  <c r="D1" i="35" s="1"/>
  <c r="A1" i="35" a="1"/>
  <c r="A1" i="35" s="1"/>
  <c r="D1" i="29" a="1"/>
  <c r="D1" i="29" s="1"/>
  <c r="A1" i="29" a="1"/>
  <c r="A1" i="29" s="1"/>
  <c r="E1" i="22" a="1"/>
  <c r="E1" i="22" s="1"/>
  <c r="O15" i="22" s="1"/>
  <c r="D1" i="22" a="1"/>
  <c r="D1" i="22" s="1"/>
  <c r="B1" i="22" a="1"/>
  <c r="B1" i="22" s="1"/>
  <c r="N15" i="22" s="1"/>
  <c r="A1" i="22" a="1"/>
  <c r="A1" i="22" s="1"/>
  <c r="D39" i="43"/>
  <c r="C39" i="43"/>
  <c r="B39" i="43"/>
  <c r="D39" i="41"/>
  <c r="C39" i="41"/>
  <c r="B39" i="41"/>
  <c r="G5" i="36"/>
  <c r="G4" i="36"/>
  <c r="G9" i="36"/>
  <c r="G8" i="36"/>
  <c r="G10" i="36"/>
  <c r="G6" i="36"/>
  <c r="G3" i="36"/>
  <c r="G7" i="36"/>
  <c r="P15" i="7" l="1"/>
  <c r="P9" i="7"/>
  <c r="P14" i="7"/>
  <c r="P8" i="7"/>
  <c r="P7" i="7"/>
  <c r="P6" i="7"/>
  <c r="F1" i="7"/>
  <c r="P5" i="7"/>
  <c r="P4" i="7"/>
  <c r="P2" i="7"/>
  <c r="P3" i="7"/>
  <c r="I1" i="22"/>
  <c r="Q15" i="22"/>
  <c r="Q14" i="22"/>
  <c r="Q9" i="22"/>
  <c r="Q8" i="22"/>
  <c r="Q7" i="22"/>
  <c r="Q6" i="22"/>
  <c r="Q5" i="22"/>
  <c r="Q4" i="22"/>
  <c r="Q3" i="22"/>
  <c r="Q2" i="22"/>
  <c r="G1" i="22"/>
  <c r="P15" i="22"/>
  <c r="P14" i="22"/>
  <c r="P9" i="22"/>
  <c r="P8" i="22"/>
  <c r="P7" i="22"/>
  <c r="P6" i="22"/>
  <c r="P5" i="22"/>
  <c r="P4" i="22"/>
  <c r="P3" i="22"/>
  <c r="P2" i="22"/>
  <c r="H1" i="35"/>
  <c r="Q10" i="22"/>
  <c r="I1" i="35"/>
  <c r="Q15" i="35"/>
  <c r="Q14" i="35"/>
  <c r="Q9" i="35"/>
  <c r="Q8" i="35"/>
  <c r="Q6" i="35"/>
  <c r="Q5" i="35"/>
  <c r="Q3" i="35"/>
  <c r="Q2" i="35"/>
  <c r="Q7" i="35"/>
  <c r="Q4" i="35"/>
  <c r="G1" i="35"/>
  <c r="P7" i="35"/>
  <c r="P2" i="35"/>
  <c r="P15" i="35"/>
  <c r="P6" i="35"/>
  <c r="P14" i="35"/>
  <c r="P9" i="35"/>
  <c r="P8" i="35"/>
  <c r="P3" i="35"/>
  <c r="P4" i="35"/>
  <c r="P5" i="35"/>
  <c r="F8" i="49"/>
  <c r="G8" i="49" s="1"/>
  <c r="F7" i="49"/>
  <c r="G7" i="49" s="1"/>
  <c r="F6" i="49"/>
  <c r="G6" i="49" s="1"/>
  <c r="F5" i="49"/>
  <c r="G5" i="49" s="1"/>
  <c r="L26" i="43"/>
  <c r="M26" i="43" s="1"/>
  <c r="O26" i="43" s="1" a="1"/>
  <c r="O26" i="43" s="1"/>
  <c r="L32" i="43"/>
  <c r="L11" i="43"/>
  <c r="N11" i="43" s="1"/>
  <c r="L20" i="43"/>
  <c r="N20" i="43" s="1"/>
  <c r="L13" i="43"/>
  <c r="M13" i="43" s="1"/>
  <c r="O13" i="43" s="1" a="1"/>
  <c r="O13" i="43" s="1"/>
  <c r="L8" i="43"/>
  <c r="M8" i="43" s="1"/>
  <c r="O8" i="43" s="1" a="1"/>
  <c r="O8" i="43" s="1"/>
  <c r="L35" i="43"/>
  <c r="M35" i="43" s="1"/>
  <c r="O35" i="43" s="1" a="1"/>
  <c r="O35" i="43" s="1"/>
  <c r="L23" i="43"/>
  <c r="N23" i="43" s="1"/>
  <c r="L16" i="43"/>
  <c r="N16" i="43" s="1"/>
  <c r="L28" i="43"/>
  <c r="M28" i="43" s="1"/>
  <c r="O28" i="43" s="1" a="1"/>
  <c r="O28" i="43" s="1"/>
  <c r="L19" i="43"/>
  <c r="M19" i="43" s="1"/>
  <c r="O19" i="43" s="1" a="1"/>
  <c r="O19" i="43" s="1"/>
  <c r="L31" i="43"/>
  <c r="N31" i="43" s="1"/>
  <c r="L7" i="43"/>
  <c r="N7" i="43" s="1"/>
  <c r="L25" i="43"/>
  <c r="M25" i="43" s="1"/>
  <c r="O25" i="43" s="1" a="1"/>
  <c r="O25" i="43" s="1"/>
  <c r="L34" i="43"/>
  <c r="M34" i="43" s="1"/>
  <c r="O34" i="43" s="1" a="1"/>
  <c r="O34" i="43" s="1"/>
  <c r="L10" i="43"/>
  <c r="M10" i="43" s="1"/>
  <c r="O10" i="43" s="1" a="1"/>
  <c r="O10" i="43" s="1"/>
  <c r="L12" i="43"/>
  <c r="M12" i="43" s="1"/>
  <c r="O12" i="43" s="1" a="1"/>
  <c r="O12" i="43" s="1"/>
  <c r="L18" i="43"/>
  <c r="M18" i="43" s="1"/>
  <c r="O18" i="43" s="1" a="1"/>
  <c r="O18" i="43" s="1"/>
  <c r="L22" i="43"/>
  <c r="M22" i="43" s="1"/>
  <c r="O22" i="43" s="1" a="1"/>
  <c r="O22" i="43" s="1"/>
  <c r="L24" i="43"/>
  <c r="M24" i="43" s="1"/>
  <c r="O24" i="43" s="1" a="1"/>
  <c r="O24" i="43" s="1"/>
  <c r="L27" i="43"/>
  <c r="M27" i="43" s="1"/>
  <c r="O27" i="43" s="1" a="1"/>
  <c r="O27" i="43" s="1"/>
  <c r="L30" i="43"/>
  <c r="N30" i="43" s="1"/>
  <c r="L4" i="43"/>
  <c r="N4" i="43" s="1"/>
  <c r="L36" i="43"/>
  <c r="M36" i="43" s="1"/>
  <c r="O36" i="43" s="1" a="1"/>
  <c r="O36" i="43" s="1"/>
  <c r="N26" i="43"/>
  <c r="L33" i="43"/>
  <c r="N33" i="43" s="1"/>
  <c r="L6" i="43"/>
  <c r="N6" i="43" s="1"/>
  <c r="L9" i="43"/>
  <c r="N9" i="43" s="1"/>
  <c r="M9" i="43"/>
  <c r="O9" i="43" s="1" a="1"/>
  <c r="O9" i="43" s="1"/>
  <c r="L14" i="43"/>
  <c r="L21" i="43"/>
  <c r="N21" i="43" s="1"/>
  <c r="L5" i="43"/>
  <c r="M5" i="43" s="1"/>
  <c r="O5" i="43" s="1" a="1"/>
  <c r="O5" i="43" s="1"/>
  <c r="L17" i="43"/>
  <c r="N17" i="43" s="1"/>
  <c r="L29" i="43"/>
  <c r="N29" i="43" s="1"/>
  <c r="L15" i="43"/>
  <c r="N15" i="43" s="1"/>
  <c r="L4" i="41"/>
  <c r="M4" i="41" s="1"/>
  <c r="O4" i="41" s="1" a="1"/>
  <c r="O4" i="41" s="1"/>
  <c r="L24" i="41"/>
  <c r="L26" i="41"/>
  <c r="M26" i="41" s="1"/>
  <c r="O26" i="41" s="1" a="1"/>
  <c r="O26" i="41" s="1"/>
  <c r="L13" i="41"/>
  <c r="N13" i="41" s="1"/>
  <c r="L12" i="41"/>
  <c r="M12" i="41" s="1"/>
  <c r="O12" i="41" s="1" a="1"/>
  <c r="O12" i="41" s="1"/>
  <c r="L14" i="41"/>
  <c r="M14" i="41" s="1"/>
  <c r="O14" i="41" s="1" a="1"/>
  <c r="O14" i="41" s="1"/>
  <c r="L25" i="41"/>
  <c r="N25" i="41" s="1"/>
  <c r="L15" i="41"/>
  <c r="N15" i="41" s="1"/>
  <c r="L27" i="41"/>
  <c r="N27" i="41" s="1"/>
  <c r="L36" i="41"/>
  <c r="N36" i="41" s="1"/>
  <c r="L28" i="41"/>
  <c r="N28" i="41" s="1"/>
  <c r="L16" i="41"/>
  <c r="N16" i="41" s="1"/>
  <c r="L34" i="41"/>
  <c r="M34" i="41" s="1"/>
  <c r="O34" i="41" s="1" a="1"/>
  <c r="O34" i="41" s="1"/>
  <c r="L22" i="41"/>
  <c r="N22" i="41" s="1"/>
  <c r="L10" i="41"/>
  <c r="N10" i="41" s="1"/>
  <c r="L33" i="41"/>
  <c r="N33" i="41" s="1"/>
  <c r="L21" i="41"/>
  <c r="N21" i="41" s="1"/>
  <c r="L9" i="41"/>
  <c r="M9" i="41" s="1"/>
  <c r="O9" i="41" s="1" a="1"/>
  <c r="O9" i="41" s="1"/>
  <c r="L32" i="41"/>
  <c r="M32" i="41" s="1"/>
  <c r="O32" i="41" s="1" a="1"/>
  <c r="O32" i="41" s="1"/>
  <c r="L20" i="41"/>
  <c r="M20" i="41" s="1"/>
  <c r="O20" i="41" s="1" a="1"/>
  <c r="O20" i="41" s="1"/>
  <c r="L8" i="41"/>
  <c r="M8" i="41" s="1"/>
  <c r="O8" i="41" s="1" a="1"/>
  <c r="O8" i="41" s="1"/>
  <c r="L31" i="41"/>
  <c r="N31" i="41" s="1"/>
  <c r="L19" i="41"/>
  <c r="N19" i="41" s="1"/>
  <c r="L7" i="41"/>
  <c r="M7" i="41" s="1"/>
  <c r="O7" i="41" s="1" a="1"/>
  <c r="O7" i="41" s="1"/>
  <c r="L30" i="41"/>
  <c r="M30" i="41" s="1"/>
  <c r="O30" i="41" s="1" a="1"/>
  <c r="O30" i="41" s="1"/>
  <c r="L18" i="41"/>
  <c r="M18" i="41" s="1"/>
  <c r="O18" i="41" s="1" a="1"/>
  <c r="O18" i="41" s="1"/>
  <c r="L6" i="41"/>
  <c r="M6" i="41" s="1"/>
  <c r="O6" i="41" s="1" a="1"/>
  <c r="O6" i="41" s="1"/>
  <c r="L29" i="41"/>
  <c r="M29" i="41" s="1"/>
  <c r="O29" i="41" s="1" a="1"/>
  <c r="O29" i="41" s="1"/>
  <c r="L17" i="41"/>
  <c r="M17" i="41" s="1"/>
  <c r="O17" i="41" s="1" a="1"/>
  <c r="O17" i="41" s="1"/>
  <c r="L5" i="41"/>
  <c r="N5" i="41" s="1"/>
  <c r="L35" i="41"/>
  <c r="M35" i="41" s="1"/>
  <c r="O35" i="41" s="1" a="1"/>
  <c r="O35" i="41" s="1"/>
  <c r="L23" i="41"/>
  <c r="M23" i="41" s="1"/>
  <c r="O23" i="41" s="1" a="1"/>
  <c r="O23" i="41" s="1"/>
  <c r="L11" i="41"/>
  <c r="M11" i="41" s="1"/>
  <c r="O11" i="41" s="1" a="1"/>
  <c r="O11" i="41" s="1"/>
  <c r="N15" i="35"/>
  <c r="N4" i="35"/>
  <c r="N14" i="35"/>
  <c r="N9" i="35"/>
  <c r="N3" i="35"/>
  <c r="N2" i="35"/>
  <c r="N7" i="35"/>
  <c r="N8" i="35"/>
  <c r="N6" i="35"/>
  <c r="N5" i="35"/>
  <c r="O15" i="35"/>
  <c r="O4" i="35"/>
  <c r="O14" i="35"/>
  <c r="O9" i="35"/>
  <c r="O3" i="35"/>
  <c r="O2" i="35"/>
  <c r="O7" i="35"/>
  <c r="O6" i="35"/>
  <c r="O5" i="35"/>
  <c r="O8" i="35"/>
  <c r="N6" i="22"/>
  <c r="N2" i="22"/>
  <c r="O8" i="22"/>
  <c r="O5" i="22"/>
  <c r="N7" i="22"/>
  <c r="N8" i="22"/>
  <c r="N14" i="22"/>
  <c r="N5" i="22"/>
  <c r="O6" i="22"/>
  <c r="O7" i="22"/>
  <c r="O2" i="22"/>
  <c r="N3" i="22"/>
  <c r="N9" i="22"/>
  <c r="O3" i="22"/>
  <c r="O9" i="22"/>
  <c r="O14" i="22"/>
  <c r="N4" i="22"/>
  <c r="O4" i="22"/>
  <c r="P10" i="7" l="1"/>
  <c r="Q12" i="22"/>
  <c r="Q11" i="22"/>
  <c r="Q13" i="22" s="1"/>
  <c r="M32" i="43"/>
  <c r="O32" i="43" s="1" a="1"/>
  <c r="O32" i="43" s="1"/>
  <c r="N32" i="43"/>
  <c r="P10" i="22"/>
  <c r="P12" i="22" s="1"/>
  <c r="P11" i="22"/>
  <c r="P13" i="22" s="1"/>
  <c r="N24" i="41"/>
  <c r="M24" i="41"/>
  <c r="O24" i="41" s="1" a="1"/>
  <c r="O24" i="41" s="1"/>
  <c r="Q10" i="35"/>
  <c r="Q12" i="35" s="1"/>
  <c r="Q11" i="35"/>
  <c r="Q13" i="35" s="1"/>
  <c r="P10" i="35"/>
  <c r="H8" i="49"/>
  <c r="I8" i="49"/>
  <c r="J8" i="49"/>
  <c r="I7" i="49"/>
  <c r="H7" i="49"/>
  <c r="J7" i="49"/>
  <c r="I6" i="49"/>
  <c r="H6" i="49"/>
  <c r="J6" i="49"/>
  <c r="I5" i="49"/>
  <c r="H5" i="49"/>
  <c r="J5" i="49"/>
  <c r="N14" i="43"/>
  <c r="M14" i="43"/>
  <c r="O14" i="43" s="1" a="1"/>
  <c r="O14" i="43" s="1"/>
  <c r="N36" i="43"/>
  <c r="N19" i="43"/>
  <c r="N18" i="43"/>
  <c r="M6" i="43"/>
  <c r="O6" i="43" s="1" a="1"/>
  <c r="O6" i="43" s="1"/>
  <c r="M21" i="43"/>
  <c r="O21" i="43" s="1" a="1"/>
  <c r="O21" i="43" s="1"/>
  <c r="N22" i="43"/>
  <c r="N35" i="43"/>
  <c r="N5" i="43"/>
  <c r="M20" i="43"/>
  <c r="O20" i="43" s="1" a="1"/>
  <c r="O20" i="43" s="1"/>
  <c r="M16" i="43"/>
  <c r="O16" i="43" s="1" a="1"/>
  <c r="O16" i="43" s="1"/>
  <c r="N27" i="43"/>
  <c r="N10" i="43"/>
  <c r="M33" i="43"/>
  <c r="O33" i="43" s="1" a="1"/>
  <c r="O33" i="43" s="1"/>
  <c r="N8" i="43"/>
  <c r="M4" i="43"/>
  <c r="O4" i="43" s="1" a="1"/>
  <c r="O4" i="43" s="1"/>
  <c r="M31" i="43"/>
  <c r="O31" i="43" s="1" a="1"/>
  <c r="O31" i="43" s="1"/>
  <c r="M29" i="43"/>
  <c r="O29" i="43" s="1" a="1"/>
  <c r="O29" i="43" s="1"/>
  <c r="M7" i="43"/>
  <c r="O7" i="43" s="1" a="1"/>
  <c r="O7" i="43" s="1"/>
  <c r="M11" i="43"/>
  <c r="O11" i="43" s="1" a="1"/>
  <c r="O11" i="43" s="1"/>
  <c r="M17" i="43"/>
  <c r="O17" i="43" s="1" a="1"/>
  <c r="O17" i="43" s="1"/>
  <c r="N12" i="43"/>
  <c r="M15" i="43"/>
  <c r="O15" i="43" s="1" a="1"/>
  <c r="O15" i="43" s="1"/>
  <c r="M30" i="43"/>
  <c r="O30" i="43" s="1" a="1"/>
  <c r="O30" i="43" s="1"/>
  <c r="M23" i="43"/>
  <c r="O23" i="43" s="1" a="1"/>
  <c r="O23" i="43" s="1"/>
  <c r="N13" i="43"/>
  <c r="N34" i="43"/>
  <c r="N24" i="43"/>
  <c r="N28" i="43"/>
  <c r="N25" i="43"/>
  <c r="M36" i="41"/>
  <c r="O36" i="41" s="1" a="1"/>
  <c r="O36" i="41" s="1"/>
  <c r="M28" i="41"/>
  <c r="O28" i="41" s="1" a="1"/>
  <c r="O28" i="41" s="1"/>
  <c r="M5" i="41"/>
  <c r="O5" i="41" s="1" a="1"/>
  <c r="O5" i="41" s="1"/>
  <c r="M16" i="41"/>
  <c r="O16" i="41" s="1" a="1"/>
  <c r="O16" i="41" s="1"/>
  <c r="N17" i="41"/>
  <c r="N32" i="41"/>
  <c r="N4" i="41"/>
  <c r="M13" i="41"/>
  <c r="O13" i="41" s="1" a="1"/>
  <c r="O13" i="41" s="1"/>
  <c r="M27" i="41"/>
  <c r="O27" i="41" s="1" a="1"/>
  <c r="O27" i="41" s="1"/>
  <c r="N9" i="41"/>
  <c r="N6" i="41"/>
  <c r="M25" i="41"/>
  <c r="O25" i="41" s="1" a="1"/>
  <c r="O25" i="41" s="1"/>
  <c r="N18" i="41"/>
  <c r="N11" i="41"/>
  <c r="M15" i="41"/>
  <c r="O15" i="41" s="1" a="1"/>
  <c r="O15" i="41" s="1"/>
  <c r="N30" i="41"/>
  <c r="N23" i="41"/>
  <c r="N14" i="41"/>
  <c r="N26" i="41"/>
  <c r="M21" i="41"/>
  <c r="O21" i="41" s="1" a="1"/>
  <c r="O21" i="41" s="1"/>
  <c r="N35" i="41"/>
  <c r="N12" i="41"/>
  <c r="M10" i="41"/>
  <c r="O10" i="41" s="1" a="1"/>
  <c r="O10" i="41" s="1"/>
  <c r="N34" i="41"/>
  <c r="N7" i="41"/>
  <c r="M31" i="41"/>
  <c r="O31" i="41" s="1" a="1"/>
  <c r="O31" i="41" s="1"/>
  <c r="M22" i="41"/>
  <c r="O22" i="41" s="1" a="1"/>
  <c r="O22" i="41" s="1"/>
  <c r="N20" i="41"/>
  <c r="M19" i="41"/>
  <c r="O19" i="41" s="1" a="1"/>
  <c r="O19" i="41" s="1"/>
  <c r="N29" i="41"/>
  <c r="N8" i="41"/>
  <c r="M33" i="41"/>
  <c r="O33" i="41" s="1" a="1"/>
  <c r="O33" i="41" s="1"/>
  <c r="N10" i="35"/>
  <c r="O10" i="35"/>
  <c r="O11" i="35" s="1"/>
  <c r="O13" i="35" s="1"/>
  <c r="O12" i="35"/>
  <c r="N10" i="22"/>
  <c r="N11" i="22"/>
  <c r="N13" i="22" s="1"/>
  <c r="O10" i="22"/>
  <c r="O11" i="22" s="1"/>
  <c r="O13" i="22" s="1"/>
  <c r="N12" i="22"/>
  <c r="O12" i="22"/>
  <c r="P12" i="7" l="1"/>
  <c r="P11" i="7"/>
  <c r="P13" i="7" s="1"/>
  <c r="N12" i="35"/>
  <c r="N11" i="35"/>
  <c r="N13" i="35" s="1"/>
  <c r="P12" i="35"/>
  <c r="P11" i="35"/>
  <c r="P13" i="35" s="1"/>
  <c r="N3" i="1"/>
  <c r="P3" i="1" s="1"/>
  <c r="N2" i="1"/>
  <c r="P2" i="1" s="1"/>
  <c r="N4" i="1"/>
  <c r="P4" i="1" s="1"/>
  <c r="N5" i="1"/>
  <c r="P5" i="1" s="1"/>
  <c r="N6" i="1"/>
  <c r="P6" i="1" s="1"/>
  <c r="N7" i="1"/>
  <c r="P7" i="1" s="1"/>
  <c r="N8" i="1"/>
  <c r="P8" i="1" s="1"/>
  <c r="N9" i="1"/>
  <c r="P9" i="1" s="1"/>
  <c r="N10" i="1"/>
  <c r="P10" i="1" s="1"/>
  <c r="N11" i="1"/>
  <c r="P11" i="1" s="1"/>
  <c r="N12" i="1"/>
  <c r="P12" i="1" s="1"/>
  <c r="N13" i="1"/>
  <c r="P13" i="1" s="1"/>
  <c r="N14" i="1"/>
  <c r="P14" i="1" s="1"/>
  <c r="N15" i="1"/>
  <c r="P15" i="1" s="1"/>
  <c r="N16" i="1"/>
  <c r="P16" i="1" s="1"/>
  <c r="N17" i="1"/>
  <c r="P17" i="1" s="1"/>
  <c r="N18" i="1"/>
  <c r="P18" i="1" s="1"/>
  <c r="N19" i="1"/>
  <c r="P19" i="1" s="1"/>
  <c r="N20" i="1"/>
  <c r="P20" i="1" s="1"/>
  <c r="N21" i="1"/>
  <c r="P21" i="1" s="1"/>
  <c r="N22" i="1"/>
  <c r="P22" i="1" s="1"/>
  <c r="N23" i="1"/>
  <c r="P23" i="1" s="1"/>
  <c r="N24" i="1"/>
  <c r="P24" i="1" s="1"/>
  <c r="N25" i="1"/>
  <c r="P25" i="1" s="1"/>
  <c r="N26" i="1"/>
  <c r="P26" i="1" s="1"/>
  <c r="N27" i="1"/>
  <c r="P27" i="1" s="1"/>
  <c r="N28" i="1"/>
  <c r="P28" i="1" s="1"/>
  <c r="N29" i="1"/>
  <c r="P29" i="1" s="1"/>
  <c r="N30" i="1"/>
  <c r="P30" i="1" s="1"/>
  <c r="N31" i="1"/>
  <c r="P31" i="1" s="1"/>
  <c r="N32" i="1"/>
  <c r="P32" i="1" s="1"/>
  <c r="N33" i="1"/>
  <c r="P33" i="1" s="1"/>
  <c r="N34" i="1"/>
  <c r="P34" i="1" s="1"/>
  <c r="N35" i="1"/>
  <c r="P35" i="1" s="1"/>
  <c r="N36" i="1"/>
  <c r="P36" i="1" s="1"/>
  <c r="N37" i="1"/>
  <c r="P37" i="1" s="1"/>
  <c r="N38" i="1"/>
  <c r="P38" i="1" s="1"/>
  <c r="N39" i="1"/>
  <c r="P39" i="1" s="1"/>
  <c r="N40" i="1"/>
  <c r="P40" i="1" s="1"/>
  <c r="N41" i="1"/>
  <c r="P41" i="1" s="1"/>
  <c r="N42" i="1"/>
  <c r="P42" i="1" s="1"/>
  <c r="N43" i="1"/>
  <c r="P43" i="1" s="1"/>
  <c r="N44" i="1"/>
  <c r="P44" i="1" s="1"/>
  <c r="N45" i="1"/>
  <c r="P45" i="1" s="1"/>
  <c r="N46" i="1"/>
  <c r="P46" i="1" s="1"/>
  <c r="N47" i="1"/>
  <c r="P47" i="1" s="1"/>
  <c r="N48" i="1"/>
  <c r="P48" i="1" s="1"/>
  <c r="N49" i="1"/>
  <c r="P49" i="1" s="1"/>
  <c r="N50" i="1"/>
  <c r="P50" i="1" s="1"/>
  <c r="N51" i="1"/>
  <c r="P51" i="1" s="1"/>
  <c r="N52" i="1"/>
  <c r="P52" i="1" s="1"/>
  <c r="N53" i="1"/>
  <c r="P53" i="1" s="1"/>
  <c r="N54" i="1"/>
  <c r="P54" i="1" s="1"/>
  <c r="N55" i="1"/>
  <c r="P55" i="1" s="1"/>
  <c r="N56" i="1"/>
  <c r="P56" i="1" s="1"/>
  <c r="N57" i="1"/>
  <c r="P57" i="1" s="1"/>
  <c r="N58" i="1"/>
  <c r="P58" i="1" s="1"/>
  <c r="N59" i="1"/>
  <c r="P59" i="1" s="1"/>
  <c r="N60" i="1"/>
  <c r="P60" i="1" s="1"/>
  <c r="N61" i="1"/>
  <c r="P61" i="1" s="1"/>
  <c r="N62" i="1"/>
  <c r="P62" i="1" s="1"/>
  <c r="N63" i="1"/>
  <c r="P63" i="1" s="1"/>
  <c r="N64" i="1"/>
  <c r="P64" i="1" s="1"/>
  <c r="N65" i="1"/>
  <c r="P65" i="1" s="1"/>
  <c r="N66" i="1"/>
  <c r="P66" i="1" s="1"/>
  <c r="N67" i="1"/>
  <c r="P67" i="1" s="1"/>
  <c r="N68" i="1"/>
  <c r="P68" i="1" s="1"/>
  <c r="N69" i="1"/>
  <c r="P69" i="1" s="1"/>
  <c r="N70" i="1"/>
  <c r="P70" i="1" s="1"/>
  <c r="N71" i="1"/>
  <c r="P71" i="1" s="1"/>
  <c r="N72" i="1"/>
  <c r="P72" i="1" s="1"/>
  <c r="N73" i="1"/>
  <c r="P73" i="1" s="1"/>
  <c r="N74" i="1"/>
  <c r="P74" i="1" s="1"/>
  <c r="N75" i="1"/>
  <c r="P75" i="1" s="1"/>
  <c r="N76" i="1"/>
  <c r="P76" i="1" s="1"/>
  <c r="N77" i="1"/>
  <c r="P77" i="1" s="1"/>
  <c r="N78" i="1"/>
  <c r="P78" i="1" s="1"/>
  <c r="N79" i="1"/>
  <c r="P79" i="1" s="1"/>
  <c r="N80" i="1"/>
  <c r="P80" i="1" s="1"/>
  <c r="N81" i="1"/>
  <c r="P81" i="1" s="1"/>
  <c r="N82" i="1"/>
  <c r="P82" i="1" s="1"/>
  <c r="N83" i="1"/>
  <c r="P83" i="1" s="1"/>
  <c r="N84" i="1"/>
  <c r="P84" i="1" s="1"/>
  <c r="N85" i="1"/>
  <c r="P85" i="1" s="1"/>
  <c r="N86" i="1"/>
  <c r="P86" i="1" s="1"/>
  <c r="N87" i="1"/>
  <c r="P87" i="1" s="1"/>
  <c r="N88" i="1"/>
  <c r="P88" i="1" s="1"/>
  <c r="N89" i="1"/>
  <c r="P89" i="1" s="1"/>
  <c r="N90" i="1"/>
  <c r="P90" i="1" s="1"/>
  <c r="N91" i="1"/>
  <c r="P91" i="1" s="1"/>
  <c r="N92" i="1"/>
  <c r="P92" i="1" s="1"/>
  <c r="N93" i="1"/>
  <c r="P93" i="1" s="1"/>
  <c r="N94" i="1"/>
  <c r="P94" i="1" s="1"/>
  <c r="N95" i="1"/>
  <c r="P95" i="1" s="1"/>
  <c r="N96" i="1"/>
  <c r="P96" i="1" s="1"/>
  <c r="N97" i="1"/>
  <c r="P97" i="1" s="1"/>
  <c r="N98" i="1"/>
  <c r="P98" i="1" s="1"/>
  <c r="N99" i="1"/>
  <c r="P99" i="1" s="1"/>
  <c r="N100" i="1"/>
  <c r="P100" i="1" s="1"/>
  <c r="N101" i="1"/>
  <c r="P101" i="1" s="1"/>
  <c r="N102" i="1"/>
  <c r="P102" i="1" s="1"/>
  <c r="N103" i="1"/>
  <c r="P103" i="1" s="1"/>
  <c r="N104" i="1"/>
  <c r="P104" i="1" s="1"/>
  <c r="N105" i="1"/>
  <c r="P105" i="1" s="1"/>
  <c r="N106" i="1"/>
  <c r="P106" i="1" s="1"/>
  <c r="N107" i="1"/>
  <c r="P107" i="1" s="1"/>
  <c r="N108" i="1"/>
  <c r="P108" i="1" s="1"/>
  <c r="N109" i="1"/>
  <c r="P109" i="1" s="1"/>
  <c r="N110" i="1"/>
  <c r="P110" i="1" s="1"/>
  <c r="N111" i="1"/>
  <c r="P111" i="1" s="1"/>
  <c r="N112" i="1"/>
  <c r="P112" i="1" s="1"/>
  <c r="N113" i="1"/>
  <c r="P113" i="1" s="1"/>
  <c r="N114" i="1"/>
  <c r="P114" i="1" s="1"/>
  <c r="N115" i="1"/>
  <c r="P115" i="1" s="1"/>
  <c r="N116" i="1"/>
  <c r="P116" i="1" s="1"/>
  <c r="N117" i="1"/>
  <c r="P117" i="1" s="1"/>
  <c r="N118" i="1"/>
  <c r="P118" i="1" s="1"/>
  <c r="N119" i="1"/>
  <c r="P119" i="1" s="1"/>
  <c r="N120" i="1"/>
  <c r="P120" i="1" s="1"/>
  <c r="N121" i="1"/>
  <c r="P121" i="1" s="1"/>
  <c r="N122" i="1"/>
  <c r="P122" i="1" s="1"/>
  <c r="N123" i="1"/>
  <c r="P123" i="1" s="1"/>
  <c r="N124" i="1"/>
  <c r="P124" i="1" s="1"/>
  <c r="N125" i="1"/>
  <c r="P125" i="1" s="1"/>
  <c r="N126" i="1"/>
  <c r="P126" i="1" s="1"/>
  <c r="N127" i="1"/>
  <c r="P127" i="1" s="1"/>
  <c r="N128" i="1"/>
  <c r="P128" i="1" s="1"/>
  <c r="N129" i="1"/>
  <c r="P129" i="1" s="1"/>
  <c r="N130" i="1"/>
  <c r="P130" i="1" s="1"/>
  <c r="N131" i="1"/>
  <c r="P131" i="1" s="1"/>
  <c r="N132" i="1"/>
  <c r="P132" i="1" s="1"/>
  <c r="N133" i="1"/>
  <c r="P133" i="1" s="1"/>
  <c r="N134" i="1"/>
  <c r="P134" i="1" s="1"/>
  <c r="N135" i="1"/>
  <c r="P135" i="1" s="1"/>
  <c r="N136" i="1"/>
  <c r="P136" i="1" s="1"/>
  <c r="N137" i="1"/>
  <c r="P137" i="1" s="1"/>
  <c r="N138" i="1"/>
  <c r="P138" i="1" s="1"/>
  <c r="N139" i="1"/>
  <c r="P139" i="1" s="1"/>
  <c r="N140" i="1"/>
  <c r="P140" i="1" s="1"/>
  <c r="N141" i="1"/>
  <c r="P141" i="1" s="1"/>
  <c r="N142" i="1"/>
  <c r="P142" i="1" s="1"/>
  <c r="N143" i="1"/>
  <c r="P143" i="1" s="1"/>
  <c r="N144" i="1"/>
  <c r="P144" i="1" s="1"/>
  <c r="N145" i="1"/>
  <c r="P145" i="1" s="1"/>
  <c r="N146" i="1"/>
  <c r="P146" i="1" s="1"/>
  <c r="N147" i="1"/>
  <c r="P147" i="1" s="1"/>
  <c r="N148" i="1"/>
  <c r="P148" i="1" s="1"/>
  <c r="N149" i="1"/>
  <c r="P149" i="1" s="1"/>
  <c r="N150" i="1"/>
  <c r="P150" i="1" s="1"/>
  <c r="N151" i="1"/>
  <c r="P151" i="1" s="1"/>
  <c r="N152" i="1"/>
  <c r="P152" i="1" s="1"/>
  <c r="N153" i="1"/>
  <c r="P153" i="1" s="1"/>
  <c r="N154" i="1"/>
  <c r="P154" i="1" s="1"/>
  <c r="N155" i="1"/>
  <c r="P155" i="1" s="1"/>
  <c r="N156" i="1"/>
  <c r="P156" i="1" s="1"/>
  <c r="N157" i="1"/>
  <c r="P157" i="1" s="1"/>
  <c r="N158" i="1"/>
  <c r="P158" i="1" s="1"/>
  <c r="N159" i="1"/>
  <c r="P159" i="1" s="1"/>
  <c r="N160" i="1"/>
  <c r="P160" i="1" s="1"/>
  <c r="N161" i="1"/>
  <c r="P161" i="1" s="1"/>
  <c r="N162" i="1"/>
  <c r="P162" i="1" s="1"/>
  <c r="N163" i="1"/>
  <c r="P163" i="1" s="1"/>
  <c r="N164" i="1"/>
  <c r="P164" i="1" s="1"/>
  <c r="N165" i="1"/>
  <c r="P165" i="1" s="1"/>
  <c r="N166" i="1"/>
  <c r="P166" i="1" s="1"/>
  <c r="N167" i="1"/>
  <c r="P167" i="1" s="1"/>
  <c r="N168" i="1"/>
  <c r="P168" i="1" s="1"/>
  <c r="N169" i="1"/>
  <c r="P169" i="1" s="1"/>
  <c r="N170" i="1"/>
  <c r="P170" i="1" s="1"/>
  <c r="N171" i="1"/>
  <c r="P171" i="1" s="1"/>
  <c r="N172" i="1"/>
  <c r="P172" i="1" s="1"/>
  <c r="N173" i="1"/>
  <c r="P173" i="1" s="1"/>
  <c r="N174" i="1"/>
  <c r="P174" i="1" s="1"/>
  <c r="N175" i="1"/>
  <c r="P175" i="1" s="1"/>
  <c r="N176" i="1"/>
  <c r="P176" i="1" s="1"/>
  <c r="N177" i="1"/>
  <c r="P177" i="1" s="1"/>
  <c r="N178" i="1"/>
  <c r="P178" i="1" s="1"/>
  <c r="N179" i="1"/>
  <c r="P179" i="1" s="1"/>
  <c r="N180" i="1"/>
  <c r="P180" i="1" s="1"/>
  <c r="N181" i="1"/>
  <c r="P181" i="1" s="1"/>
  <c r="N182" i="1"/>
  <c r="P182" i="1" s="1"/>
  <c r="N183" i="1"/>
  <c r="P183" i="1" s="1"/>
  <c r="N184" i="1"/>
  <c r="P184" i="1" s="1"/>
  <c r="N185" i="1"/>
  <c r="P185" i="1" s="1"/>
  <c r="N186" i="1"/>
  <c r="P186" i="1" s="1"/>
  <c r="N187" i="1"/>
  <c r="P187" i="1" s="1"/>
  <c r="N188" i="1"/>
  <c r="P188" i="1" s="1"/>
  <c r="N189" i="1"/>
  <c r="P189" i="1" s="1"/>
  <c r="N190" i="1"/>
  <c r="P190" i="1" s="1"/>
  <c r="N191" i="1"/>
  <c r="P191" i="1" s="1"/>
  <c r="N192" i="1"/>
  <c r="P192" i="1" s="1"/>
  <c r="N193" i="1"/>
  <c r="P193" i="1" s="1"/>
  <c r="N194" i="1"/>
  <c r="P194" i="1" s="1"/>
  <c r="N195" i="1"/>
  <c r="P195" i="1" s="1"/>
  <c r="N196" i="1"/>
  <c r="P196" i="1" s="1"/>
  <c r="N197" i="1"/>
  <c r="P197" i="1" s="1"/>
  <c r="N198" i="1"/>
  <c r="P198" i="1" s="1"/>
  <c r="N199" i="1"/>
  <c r="P199" i="1" s="1"/>
  <c r="N200" i="1"/>
  <c r="P200" i="1" s="1"/>
  <c r="N201" i="1"/>
  <c r="P201" i="1" s="1"/>
  <c r="N202" i="1"/>
  <c r="P202" i="1" s="1"/>
  <c r="N203" i="1"/>
  <c r="P203" i="1" s="1"/>
  <c r="N204" i="1"/>
  <c r="P204" i="1" s="1"/>
  <c r="N205" i="1"/>
  <c r="P205" i="1" s="1"/>
  <c r="N206" i="1"/>
  <c r="P206" i="1" s="1"/>
  <c r="N207" i="1"/>
  <c r="P207" i="1" s="1"/>
  <c r="N208" i="1"/>
  <c r="P208" i="1" s="1"/>
  <c r="N209" i="1"/>
  <c r="P209" i="1" s="1"/>
  <c r="N210" i="1"/>
  <c r="P210" i="1" s="1"/>
  <c r="N211" i="1"/>
  <c r="P211" i="1" s="1"/>
  <c r="N212" i="1"/>
  <c r="P212" i="1" s="1"/>
  <c r="N213" i="1"/>
  <c r="P213" i="1" s="1"/>
  <c r="N214" i="1"/>
  <c r="P214" i="1" s="1"/>
  <c r="N215" i="1"/>
  <c r="P215" i="1" s="1"/>
  <c r="N216" i="1"/>
  <c r="P216" i="1" s="1"/>
  <c r="N217" i="1"/>
  <c r="P217" i="1" s="1"/>
  <c r="N218" i="1"/>
  <c r="P218" i="1" s="1"/>
  <c r="N219" i="1"/>
  <c r="P219" i="1" s="1"/>
  <c r="N220" i="1"/>
  <c r="P220" i="1" s="1"/>
  <c r="N221" i="1"/>
  <c r="P221" i="1" s="1"/>
  <c r="N222" i="1"/>
  <c r="P222" i="1" s="1"/>
  <c r="N223" i="1"/>
  <c r="P223" i="1" s="1"/>
  <c r="N224" i="1"/>
  <c r="P224" i="1" s="1"/>
  <c r="N225" i="1"/>
  <c r="P225" i="1" s="1"/>
  <c r="N226" i="1"/>
  <c r="P226" i="1" s="1"/>
  <c r="N227" i="1"/>
  <c r="P227" i="1" s="1"/>
  <c r="N228" i="1"/>
  <c r="P228" i="1" s="1"/>
  <c r="N229" i="1"/>
  <c r="P229" i="1" s="1"/>
  <c r="N230" i="1"/>
  <c r="P230" i="1" s="1"/>
  <c r="N231" i="1"/>
  <c r="P231" i="1" s="1"/>
  <c r="N232" i="1"/>
  <c r="P232" i="1" s="1"/>
  <c r="N233" i="1"/>
  <c r="P233" i="1" s="1"/>
  <c r="N234" i="1"/>
  <c r="P234" i="1" s="1"/>
  <c r="N235" i="1"/>
  <c r="P235" i="1" s="1"/>
  <c r="N236" i="1"/>
  <c r="P236" i="1" s="1"/>
  <c r="N237" i="1"/>
  <c r="P237" i="1" s="1"/>
  <c r="N238" i="1"/>
  <c r="P238" i="1" s="1"/>
  <c r="N239" i="1"/>
  <c r="P239" i="1" s="1"/>
  <c r="N240" i="1"/>
  <c r="P240" i="1" s="1"/>
  <c r="N241" i="1"/>
  <c r="P241" i="1" s="1"/>
  <c r="N242" i="1"/>
  <c r="P242" i="1" s="1"/>
  <c r="N243" i="1"/>
  <c r="P243" i="1" s="1"/>
  <c r="N244" i="1"/>
  <c r="P244" i="1" s="1"/>
  <c r="N245" i="1"/>
  <c r="P245" i="1" s="1"/>
  <c r="N246" i="1"/>
  <c r="P246" i="1" s="1"/>
  <c r="N247" i="1"/>
  <c r="P247" i="1" s="1"/>
  <c r="N248" i="1"/>
  <c r="P248" i="1" s="1"/>
  <c r="N249" i="1"/>
  <c r="P249" i="1" s="1"/>
  <c r="N250" i="1"/>
  <c r="P250" i="1" s="1"/>
  <c r="N251" i="1"/>
  <c r="P251" i="1" s="1"/>
  <c r="N252" i="1"/>
  <c r="P252" i="1" s="1"/>
  <c r="N253" i="1"/>
  <c r="P253" i="1" s="1"/>
  <c r="N254" i="1"/>
  <c r="P254" i="1" s="1"/>
  <c r="N255" i="1"/>
  <c r="P255" i="1" s="1"/>
  <c r="N256" i="1"/>
  <c r="P256" i="1" s="1"/>
  <c r="N257" i="1"/>
  <c r="P257" i="1" s="1"/>
  <c r="N258" i="1"/>
  <c r="P258" i="1" s="1"/>
  <c r="N259" i="1"/>
  <c r="P259" i="1" s="1"/>
  <c r="N260" i="1"/>
  <c r="P260" i="1" s="1"/>
  <c r="N261" i="1"/>
  <c r="P261" i="1" s="1"/>
  <c r="N262" i="1"/>
  <c r="P262" i="1" s="1"/>
  <c r="N263" i="1"/>
  <c r="P263" i="1" s="1"/>
  <c r="N264" i="1"/>
  <c r="P264" i="1" s="1"/>
  <c r="N265" i="1"/>
  <c r="P265" i="1" s="1"/>
  <c r="N266" i="1"/>
  <c r="P266" i="1" s="1"/>
  <c r="N267" i="1"/>
  <c r="P267" i="1" s="1"/>
  <c r="N268" i="1"/>
  <c r="P268" i="1" s="1"/>
  <c r="N269" i="1"/>
  <c r="P269" i="1" s="1"/>
  <c r="N270" i="1"/>
  <c r="P270" i="1" s="1"/>
  <c r="N271" i="1"/>
  <c r="P271" i="1" s="1"/>
  <c r="N272" i="1"/>
  <c r="P272" i="1" s="1"/>
  <c r="N273" i="1"/>
  <c r="P273" i="1" s="1"/>
  <c r="N274" i="1"/>
  <c r="P274" i="1" s="1"/>
  <c r="N275" i="1"/>
  <c r="P275" i="1" s="1"/>
  <c r="N276" i="1"/>
  <c r="P276" i="1" s="1"/>
  <c r="N277" i="1"/>
  <c r="P277" i="1" s="1"/>
  <c r="N278" i="1"/>
  <c r="P278" i="1" s="1"/>
  <c r="N279" i="1"/>
  <c r="P279" i="1" s="1"/>
  <c r="N280" i="1"/>
  <c r="P280" i="1" s="1"/>
  <c r="N281" i="1"/>
  <c r="P281" i="1" s="1"/>
  <c r="N282" i="1"/>
  <c r="P282" i="1" s="1"/>
  <c r="N283" i="1"/>
  <c r="P283" i="1" s="1"/>
  <c r="N284" i="1"/>
  <c r="P284" i="1" s="1"/>
  <c r="N285" i="1"/>
  <c r="P285" i="1" s="1"/>
  <c r="N286" i="1"/>
  <c r="P286" i="1" s="1"/>
  <c r="N287" i="1"/>
  <c r="P287" i="1" s="1"/>
  <c r="N288" i="1"/>
  <c r="P288" i="1" s="1"/>
  <c r="N289" i="1"/>
  <c r="P289" i="1" s="1"/>
  <c r="N290" i="1"/>
  <c r="P290" i="1" s="1"/>
  <c r="N291" i="1"/>
  <c r="P291" i="1" s="1"/>
  <c r="N292" i="1"/>
  <c r="P292" i="1" s="1"/>
  <c r="N293" i="1"/>
  <c r="P293" i="1" s="1"/>
  <c r="N294" i="1"/>
  <c r="P294" i="1" s="1"/>
  <c r="N295" i="1"/>
  <c r="P295" i="1" s="1"/>
  <c r="N296" i="1"/>
  <c r="P296" i="1" s="1"/>
  <c r="N297" i="1"/>
  <c r="P297" i="1" s="1"/>
  <c r="N298" i="1"/>
  <c r="P298" i="1" s="1"/>
  <c r="N299" i="1"/>
  <c r="P299" i="1" s="1"/>
  <c r="N300" i="1"/>
  <c r="P300" i="1" s="1"/>
  <c r="N301" i="1"/>
  <c r="P301" i="1" s="1"/>
  <c r="N302" i="1"/>
  <c r="P302" i="1" s="1"/>
  <c r="N303" i="1"/>
  <c r="P303" i="1" s="1"/>
  <c r="N304" i="1"/>
  <c r="P304" i="1" s="1"/>
  <c r="N305" i="1"/>
  <c r="P305" i="1" s="1"/>
  <c r="N306" i="1"/>
  <c r="P306" i="1" s="1"/>
  <c r="N307" i="1"/>
  <c r="P307" i="1" s="1"/>
  <c r="N308" i="1"/>
  <c r="P308" i="1" s="1"/>
  <c r="N309" i="1"/>
  <c r="P309" i="1" s="1"/>
  <c r="N310" i="1"/>
  <c r="P310" i="1" s="1"/>
  <c r="N311" i="1"/>
  <c r="P311" i="1" s="1"/>
  <c r="N312" i="1"/>
  <c r="P312" i="1" s="1"/>
  <c r="N313" i="1"/>
  <c r="P313" i="1" s="1"/>
  <c r="N314" i="1"/>
  <c r="P314" i="1" s="1"/>
  <c r="N315" i="1"/>
  <c r="P315" i="1" s="1"/>
  <c r="N316" i="1"/>
  <c r="P316" i="1" s="1"/>
  <c r="N317" i="1"/>
  <c r="P317" i="1" s="1"/>
  <c r="N318" i="1"/>
  <c r="P318" i="1" s="1"/>
  <c r="N319" i="1"/>
  <c r="P319" i="1" s="1"/>
  <c r="N320" i="1"/>
  <c r="P320" i="1" s="1"/>
  <c r="N321" i="1"/>
  <c r="P321" i="1" s="1"/>
  <c r="N322" i="1"/>
  <c r="P322" i="1" s="1"/>
  <c r="N323" i="1"/>
  <c r="P323" i="1" s="1"/>
  <c r="N324" i="1"/>
  <c r="P324" i="1" s="1"/>
  <c r="N325" i="1"/>
  <c r="P325" i="1" s="1"/>
  <c r="N326" i="1"/>
  <c r="P326" i="1" s="1"/>
  <c r="N327" i="1"/>
  <c r="P327" i="1" s="1"/>
  <c r="N328" i="1"/>
  <c r="P328" i="1" s="1"/>
  <c r="N329" i="1"/>
  <c r="P329" i="1" s="1"/>
  <c r="N330" i="1"/>
  <c r="P330" i="1" s="1"/>
  <c r="N331" i="1"/>
  <c r="P331" i="1" s="1"/>
  <c r="N332" i="1"/>
  <c r="P332" i="1" s="1"/>
  <c r="N333" i="1"/>
  <c r="P333" i="1" s="1"/>
  <c r="N334" i="1"/>
  <c r="P334" i="1" s="1"/>
  <c r="N335" i="1"/>
  <c r="P335" i="1" s="1"/>
  <c r="N336" i="1"/>
  <c r="P336" i="1" s="1"/>
  <c r="N337" i="1"/>
  <c r="P337" i="1" s="1"/>
  <c r="N338" i="1"/>
  <c r="P338" i="1" s="1"/>
  <c r="N339" i="1"/>
  <c r="P339" i="1" s="1"/>
  <c r="N340" i="1"/>
  <c r="P340" i="1" s="1"/>
  <c r="N341" i="1"/>
  <c r="P341" i="1" s="1"/>
  <c r="N342" i="1"/>
  <c r="P342" i="1" s="1"/>
  <c r="N343" i="1"/>
  <c r="P343" i="1" s="1"/>
  <c r="N344" i="1"/>
  <c r="P344" i="1" s="1"/>
  <c r="N345" i="1"/>
  <c r="P345" i="1" s="1"/>
  <c r="N346" i="1"/>
  <c r="P346" i="1" s="1"/>
  <c r="N347" i="1"/>
  <c r="P347" i="1" s="1"/>
  <c r="N348" i="1"/>
  <c r="P348" i="1" s="1"/>
  <c r="N349" i="1"/>
  <c r="P349" i="1" s="1"/>
  <c r="N350" i="1"/>
  <c r="P350" i="1" s="1"/>
  <c r="N351" i="1"/>
  <c r="P351" i="1" s="1"/>
  <c r="N352" i="1"/>
  <c r="P352" i="1" s="1"/>
  <c r="N353" i="1"/>
  <c r="P353" i="1" s="1"/>
  <c r="N354" i="1"/>
  <c r="P354" i="1" s="1"/>
  <c r="N355" i="1"/>
  <c r="P355" i="1" s="1"/>
  <c r="N356" i="1"/>
  <c r="P356" i="1" s="1"/>
  <c r="N357" i="1"/>
  <c r="P357" i="1" s="1"/>
  <c r="N358" i="1"/>
  <c r="P358" i="1" s="1"/>
  <c r="N359" i="1"/>
  <c r="P359" i="1" s="1"/>
  <c r="N360" i="1"/>
  <c r="P360" i="1" s="1"/>
  <c r="N361" i="1"/>
  <c r="P361" i="1" s="1"/>
  <c r="N362" i="1"/>
  <c r="P362" i="1" s="1"/>
  <c r="N363" i="1"/>
  <c r="P363" i="1" s="1"/>
  <c r="N364" i="1"/>
  <c r="P364" i="1" s="1"/>
  <c r="N365" i="1"/>
  <c r="P365" i="1" s="1"/>
  <c r="N366" i="1"/>
  <c r="P366" i="1" s="1"/>
  <c r="N367" i="1"/>
  <c r="P367" i="1" s="1"/>
  <c r="N368" i="1"/>
  <c r="P368" i="1" s="1"/>
  <c r="N369" i="1"/>
  <c r="P369" i="1" s="1"/>
  <c r="N370" i="1"/>
  <c r="P370" i="1" s="1"/>
  <c r="N371" i="1"/>
  <c r="P371" i="1" s="1"/>
  <c r="N372" i="1"/>
  <c r="P372" i="1" s="1"/>
  <c r="N373" i="1"/>
  <c r="P373" i="1" s="1"/>
  <c r="N374" i="1"/>
  <c r="P374" i="1" s="1"/>
  <c r="N375" i="1"/>
  <c r="P375" i="1" s="1"/>
  <c r="N376" i="1"/>
  <c r="P376" i="1" s="1"/>
  <c r="N377" i="1"/>
  <c r="P377" i="1" s="1"/>
  <c r="N378" i="1"/>
  <c r="P378" i="1" s="1"/>
  <c r="N379" i="1"/>
  <c r="P379" i="1" s="1"/>
  <c r="N380" i="1"/>
  <c r="P380" i="1" s="1"/>
  <c r="N381" i="1"/>
  <c r="P381" i="1" s="1"/>
  <c r="N382" i="1"/>
  <c r="P382" i="1" s="1"/>
  <c r="N383" i="1"/>
  <c r="P383" i="1" s="1"/>
  <c r="N384" i="1"/>
  <c r="P384" i="1" s="1"/>
  <c r="N385" i="1"/>
  <c r="P385" i="1" s="1"/>
  <c r="N386" i="1"/>
  <c r="P386" i="1" s="1"/>
  <c r="N387" i="1"/>
  <c r="P387" i="1" s="1"/>
  <c r="N388" i="1"/>
  <c r="P388" i="1" s="1"/>
  <c r="N389" i="1"/>
  <c r="P389" i="1" s="1"/>
  <c r="N390" i="1"/>
  <c r="P390" i="1" s="1"/>
  <c r="N391" i="1"/>
  <c r="P391" i="1" s="1"/>
  <c r="N392" i="1"/>
  <c r="P392" i="1" s="1"/>
  <c r="N393" i="1"/>
  <c r="P393" i="1" s="1"/>
  <c r="N394" i="1"/>
  <c r="P394" i="1" s="1"/>
  <c r="N395" i="1"/>
  <c r="P395" i="1" s="1"/>
  <c r="N396" i="1"/>
  <c r="P396" i="1" s="1"/>
  <c r="N397" i="1"/>
  <c r="P397" i="1" s="1"/>
  <c r="N398" i="1"/>
  <c r="P398" i="1" s="1"/>
  <c r="N399" i="1"/>
  <c r="P399" i="1" s="1"/>
  <c r="N400" i="1"/>
  <c r="P400" i="1" s="1"/>
  <c r="N401" i="1"/>
  <c r="P401" i="1" s="1"/>
  <c r="N402" i="1"/>
  <c r="P402" i="1" s="1"/>
  <c r="N403" i="1"/>
  <c r="P403" i="1" s="1"/>
  <c r="N404" i="1"/>
  <c r="P404" i="1" s="1"/>
  <c r="N405" i="1"/>
  <c r="P405" i="1" s="1"/>
  <c r="N406" i="1"/>
  <c r="P406" i="1" s="1"/>
  <c r="N407" i="1"/>
  <c r="P407" i="1" s="1"/>
  <c r="N408" i="1"/>
  <c r="P408" i="1" s="1"/>
  <c r="N409" i="1"/>
  <c r="P409" i="1" s="1"/>
  <c r="N410" i="1"/>
  <c r="P410" i="1" s="1"/>
  <c r="N411" i="1"/>
  <c r="P411" i="1" s="1"/>
  <c r="N412" i="1"/>
  <c r="P412" i="1" s="1"/>
  <c r="N413" i="1"/>
  <c r="P413" i="1" s="1"/>
  <c r="N414" i="1"/>
  <c r="P414" i="1" s="1"/>
  <c r="N415" i="1"/>
  <c r="P415" i="1" s="1"/>
  <c r="N416" i="1"/>
  <c r="P416" i="1" s="1"/>
  <c r="N417" i="1"/>
  <c r="P417" i="1" s="1"/>
  <c r="N418" i="1"/>
  <c r="P418" i="1" s="1"/>
  <c r="N419" i="1"/>
  <c r="P419" i="1" s="1"/>
  <c r="N420" i="1"/>
  <c r="P420" i="1" s="1"/>
  <c r="N421" i="1"/>
  <c r="P421" i="1" s="1"/>
  <c r="N422" i="1"/>
  <c r="P422" i="1" s="1"/>
  <c r="N423" i="1"/>
  <c r="P423" i="1" s="1"/>
  <c r="N424" i="1"/>
  <c r="P424" i="1" s="1"/>
  <c r="N425" i="1"/>
  <c r="P425" i="1" s="1"/>
  <c r="N426" i="1"/>
  <c r="P426" i="1" s="1"/>
  <c r="N427" i="1"/>
  <c r="P427" i="1" s="1"/>
  <c r="N428" i="1"/>
  <c r="P428" i="1" s="1"/>
  <c r="N429" i="1"/>
  <c r="P429" i="1" s="1"/>
  <c r="N430" i="1"/>
  <c r="P430" i="1" s="1"/>
  <c r="N431" i="1"/>
  <c r="P431" i="1" s="1"/>
  <c r="N432" i="1"/>
  <c r="P432" i="1" s="1"/>
  <c r="N433" i="1"/>
  <c r="P433" i="1" s="1"/>
  <c r="N434" i="1"/>
  <c r="P434" i="1" s="1"/>
  <c r="N435" i="1"/>
  <c r="P435" i="1" s="1"/>
  <c r="N436" i="1"/>
  <c r="P436" i="1" s="1"/>
  <c r="N437" i="1"/>
  <c r="P437" i="1" s="1"/>
  <c r="N438" i="1"/>
  <c r="P438" i="1" s="1"/>
  <c r="N439" i="1"/>
  <c r="P439" i="1" s="1"/>
  <c r="N440" i="1"/>
  <c r="P440" i="1" s="1"/>
  <c r="N441" i="1"/>
  <c r="P441" i="1" s="1"/>
  <c r="N442" i="1"/>
  <c r="P442" i="1" s="1"/>
  <c r="N443" i="1"/>
  <c r="P443" i="1" s="1"/>
  <c r="N444" i="1"/>
  <c r="P444" i="1" s="1"/>
  <c r="N445" i="1"/>
  <c r="P445" i="1" s="1"/>
  <c r="N446" i="1"/>
  <c r="P446" i="1" s="1"/>
  <c r="N447" i="1"/>
  <c r="P447" i="1" s="1"/>
  <c r="N448" i="1"/>
  <c r="P448" i="1" s="1"/>
  <c r="N449" i="1"/>
  <c r="P449" i="1" s="1"/>
  <c r="N450" i="1"/>
  <c r="P450" i="1" s="1"/>
  <c r="N451" i="1"/>
  <c r="P451" i="1" s="1"/>
  <c r="N452" i="1"/>
  <c r="P452" i="1" s="1"/>
  <c r="N453" i="1"/>
  <c r="P453" i="1" s="1"/>
  <c r="N454" i="1"/>
  <c r="P454" i="1" s="1"/>
  <c r="N455" i="1"/>
  <c r="P455" i="1" s="1"/>
  <c r="N456" i="1"/>
  <c r="P456" i="1" s="1"/>
  <c r="N457" i="1"/>
  <c r="P457" i="1" s="1"/>
  <c r="N458" i="1"/>
  <c r="P458" i="1" s="1"/>
  <c r="N459" i="1"/>
  <c r="P459" i="1" s="1"/>
  <c r="N460" i="1"/>
  <c r="P460" i="1" s="1"/>
  <c r="N461" i="1"/>
  <c r="P461" i="1" s="1"/>
  <c r="N462" i="1"/>
  <c r="P462" i="1" s="1"/>
  <c r="N463" i="1"/>
  <c r="P463" i="1" s="1"/>
  <c r="N464" i="1"/>
  <c r="P464" i="1" s="1"/>
  <c r="N465" i="1"/>
  <c r="P465" i="1" s="1"/>
  <c r="N466" i="1"/>
  <c r="P466" i="1" s="1"/>
  <c r="N467" i="1"/>
  <c r="P467" i="1" s="1"/>
  <c r="N468" i="1"/>
  <c r="P468" i="1" s="1"/>
  <c r="N469" i="1"/>
  <c r="P469" i="1" s="1"/>
  <c r="N470" i="1"/>
  <c r="P470" i="1" s="1"/>
  <c r="N471" i="1"/>
  <c r="P471" i="1" s="1"/>
  <c r="N472" i="1"/>
  <c r="P472" i="1" s="1"/>
  <c r="N473" i="1"/>
  <c r="P473" i="1" s="1"/>
  <c r="N474" i="1"/>
  <c r="P474" i="1" s="1"/>
  <c r="N475" i="1"/>
  <c r="P475" i="1" s="1"/>
  <c r="N476" i="1"/>
  <c r="P476" i="1" s="1"/>
  <c r="N477" i="1"/>
  <c r="P477" i="1" s="1"/>
  <c r="N478" i="1"/>
  <c r="P478" i="1" s="1"/>
  <c r="N479" i="1"/>
  <c r="P479" i="1" s="1"/>
  <c r="N480" i="1"/>
  <c r="P480" i="1" s="1"/>
  <c r="N481" i="1"/>
  <c r="P481" i="1" s="1"/>
  <c r="N482" i="1"/>
  <c r="P482" i="1" s="1"/>
  <c r="N483" i="1"/>
  <c r="P483" i="1" s="1"/>
  <c r="N484" i="1"/>
  <c r="P484" i="1" s="1"/>
  <c r="N485" i="1"/>
  <c r="P485" i="1" s="1"/>
  <c r="N486" i="1"/>
  <c r="P486" i="1" s="1"/>
  <c r="N487" i="1"/>
  <c r="P487" i="1" s="1"/>
  <c r="N488" i="1"/>
  <c r="P488" i="1" s="1"/>
  <c r="N489" i="1"/>
  <c r="P489" i="1" s="1"/>
  <c r="N490" i="1"/>
  <c r="P490" i="1" s="1"/>
  <c r="N491" i="1"/>
  <c r="P491" i="1" s="1"/>
  <c r="N492" i="1"/>
  <c r="P492" i="1" s="1"/>
  <c r="N493" i="1"/>
  <c r="P493" i="1" s="1"/>
  <c r="N494" i="1"/>
  <c r="P494" i="1" s="1"/>
  <c r="N495" i="1"/>
  <c r="P495" i="1" s="1"/>
  <c r="N496" i="1"/>
  <c r="P496" i="1" s="1"/>
  <c r="N497" i="1"/>
  <c r="P497" i="1" s="1"/>
  <c r="N498" i="1"/>
  <c r="P498" i="1" s="1"/>
  <c r="N499" i="1"/>
  <c r="P499" i="1" s="1"/>
  <c r="N500" i="1"/>
  <c r="P500" i="1" s="1"/>
  <c r="N501" i="1"/>
  <c r="P501" i="1" s="1"/>
  <c r="N502" i="1"/>
  <c r="P502" i="1" s="1"/>
  <c r="N503" i="1"/>
  <c r="P503" i="1" s="1"/>
  <c r="N504" i="1"/>
  <c r="P504" i="1" s="1"/>
  <c r="N505" i="1"/>
  <c r="P505" i="1" s="1"/>
  <c r="N506" i="1"/>
  <c r="P506" i="1" s="1"/>
  <c r="N507" i="1"/>
  <c r="P507" i="1" s="1"/>
  <c r="N508" i="1"/>
  <c r="P508" i="1" s="1"/>
  <c r="N509" i="1"/>
  <c r="P509" i="1" s="1"/>
  <c r="N510" i="1"/>
  <c r="P510" i="1" s="1"/>
  <c r="N511" i="1"/>
  <c r="P511" i="1" s="1"/>
  <c r="N512" i="1"/>
  <c r="P512" i="1" s="1"/>
  <c r="N513" i="1"/>
  <c r="P513" i="1" s="1"/>
  <c r="N514" i="1"/>
  <c r="P514" i="1" s="1"/>
  <c r="N515" i="1"/>
  <c r="P515" i="1" s="1"/>
  <c r="N516" i="1"/>
  <c r="P516" i="1" s="1"/>
  <c r="N517" i="1"/>
  <c r="P517" i="1" s="1"/>
  <c r="N518" i="1"/>
  <c r="P518" i="1" s="1"/>
  <c r="N519" i="1"/>
  <c r="P519" i="1" s="1"/>
  <c r="N520" i="1"/>
  <c r="P520" i="1" s="1"/>
  <c r="N521" i="1"/>
  <c r="P521" i="1" s="1"/>
  <c r="N522" i="1"/>
  <c r="P522" i="1" s="1"/>
  <c r="N523" i="1"/>
  <c r="P523" i="1" s="1"/>
  <c r="N524" i="1"/>
  <c r="P524" i="1" s="1"/>
  <c r="N525" i="1"/>
  <c r="P525" i="1" s="1"/>
  <c r="N526" i="1"/>
  <c r="P526" i="1" s="1"/>
  <c r="N527" i="1"/>
  <c r="P527" i="1" s="1"/>
  <c r="N528" i="1"/>
  <c r="P528" i="1" s="1"/>
  <c r="N529" i="1"/>
  <c r="P529" i="1" s="1"/>
  <c r="N530" i="1"/>
  <c r="P530" i="1" s="1"/>
  <c r="N531" i="1"/>
  <c r="P531" i="1" s="1"/>
  <c r="N532" i="1"/>
  <c r="P532" i="1" s="1"/>
  <c r="N533" i="1"/>
  <c r="P533" i="1" s="1"/>
  <c r="N534" i="1"/>
  <c r="P534" i="1" s="1"/>
  <c r="N535" i="1"/>
  <c r="P535" i="1" s="1"/>
  <c r="N536" i="1"/>
  <c r="P536" i="1" s="1"/>
  <c r="N537" i="1"/>
  <c r="P537" i="1" s="1"/>
  <c r="N538" i="1"/>
  <c r="P538" i="1" s="1"/>
  <c r="N539" i="1"/>
  <c r="P539" i="1" s="1"/>
  <c r="N540" i="1"/>
  <c r="P540" i="1" s="1"/>
  <c r="N541" i="1"/>
  <c r="P541" i="1" s="1"/>
  <c r="N542" i="1"/>
  <c r="P542" i="1" s="1"/>
  <c r="N543" i="1"/>
  <c r="P543" i="1" s="1"/>
  <c r="N544" i="1"/>
  <c r="P544" i="1" s="1"/>
  <c r="N545" i="1"/>
  <c r="P545" i="1" s="1"/>
  <c r="N546" i="1"/>
  <c r="P546" i="1" s="1"/>
  <c r="N547" i="1"/>
  <c r="P547" i="1" s="1"/>
  <c r="N548" i="1"/>
  <c r="P548" i="1" s="1"/>
  <c r="N549" i="1"/>
  <c r="P549" i="1" s="1"/>
  <c r="N550" i="1"/>
  <c r="P550" i="1" s="1"/>
  <c r="N551" i="1"/>
  <c r="P551" i="1" s="1"/>
  <c r="N552" i="1"/>
  <c r="P552" i="1" s="1"/>
  <c r="N553" i="1"/>
  <c r="P553" i="1" s="1"/>
  <c r="N554" i="1"/>
  <c r="P554" i="1" s="1"/>
  <c r="N555" i="1"/>
  <c r="P555" i="1" s="1"/>
  <c r="N556" i="1"/>
  <c r="P556" i="1" s="1"/>
  <c r="N557" i="1"/>
  <c r="P557" i="1" s="1"/>
  <c r="N558" i="1"/>
  <c r="P558" i="1" s="1"/>
  <c r="N559" i="1"/>
  <c r="P559" i="1" s="1"/>
  <c r="N560" i="1"/>
  <c r="P560" i="1" s="1"/>
  <c r="N561" i="1"/>
  <c r="P561" i="1" s="1"/>
  <c r="N562" i="1"/>
  <c r="P562" i="1" s="1"/>
  <c r="N563" i="1"/>
  <c r="P563" i="1" s="1"/>
  <c r="N564" i="1"/>
  <c r="P564" i="1" s="1"/>
  <c r="N565" i="1"/>
  <c r="P565" i="1" s="1"/>
  <c r="N566" i="1"/>
  <c r="P566" i="1" s="1"/>
  <c r="N567" i="1"/>
  <c r="P567" i="1" s="1"/>
  <c r="N568" i="1"/>
  <c r="P568" i="1" s="1"/>
  <c r="N569" i="1"/>
  <c r="P569" i="1" s="1"/>
  <c r="N570" i="1"/>
  <c r="P570" i="1" s="1"/>
  <c r="N571" i="1"/>
  <c r="P571" i="1" s="1"/>
  <c r="N572" i="1"/>
  <c r="P572" i="1" s="1"/>
  <c r="N573" i="1"/>
  <c r="P573" i="1" s="1"/>
  <c r="N574" i="1"/>
  <c r="P574" i="1" s="1"/>
  <c r="N575" i="1"/>
  <c r="P575" i="1" s="1"/>
  <c r="N576" i="1"/>
  <c r="P576" i="1" s="1"/>
  <c r="N577" i="1"/>
  <c r="P577" i="1" s="1"/>
  <c r="N578" i="1"/>
  <c r="P578" i="1" s="1"/>
  <c r="N579" i="1"/>
  <c r="P579" i="1" s="1"/>
  <c r="N580" i="1"/>
  <c r="P580" i="1" s="1"/>
  <c r="N581" i="1"/>
  <c r="P581" i="1" s="1"/>
  <c r="N582" i="1"/>
  <c r="P582" i="1" s="1"/>
  <c r="N583" i="1"/>
  <c r="P583" i="1" s="1"/>
  <c r="N584" i="1"/>
  <c r="P584" i="1" s="1"/>
  <c r="N585" i="1"/>
  <c r="P585" i="1" s="1"/>
  <c r="N586" i="1"/>
  <c r="P586" i="1" s="1"/>
  <c r="N587" i="1"/>
  <c r="P587" i="1" s="1"/>
  <c r="N588" i="1"/>
  <c r="P588" i="1" s="1"/>
  <c r="N589" i="1"/>
  <c r="P589" i="1" s="1"/>
  <c r="N590" i="1"/>
  <c r="P590" i="1" s="1"/>
  <c r="N591" i="1"/>
  <c r="P591" i="1" s="1"/>
  <c r="N592" i="1"/>
  <c r="P592" i="1" s="1"/>
  <c r="N593" i="1"/>
  <c r="P593" i="1" s="1"/>
  <c r="N594" i="1"/>
  <c r="P594" i="1" s="1"/>
  <c r="N595" i="1"/>
  <c r="P595" i="1" s="1"/>
  <c r="N596" i="1"/>
  <c r="P596" i="1" s="1"/>
  <c r="N597" i="1"/>
  <c r="P597" i="1" s="1"/>
  <c r="N598" i="1"/>
  <c r="P598" i="1" s="1"/>
  <c r="N599" i="1"/>
  <c r="P599" i="1" s="1"/>
  <c r="N600" i="1"/>
  <c r="P600" i="1" s="1"/>
  <c r="N601" i="1"/>
  <c r="P601" i="1" s="1"/>
  <c r="N602" i="1"/>
  <c r="P602" i="1" s="1"/>
  <c r="N603" i="1"/>
  <c r="P603" i="1" s="1"/>
  <c r="N604" i="1"/>
  <c r="P604" i="1" s="1"/>
  <c r="N605" i="1"/>
  <c r="P605" i="1" s="1"/>
  <c r="N606" i="1"/>
  <c r="P606" i="1" s="1"/>
  <c r="N607" i="1"/>
  <c r="P607" i="1" s="1"/>
  <c r="N608" i="1"/>
  <c r="P608" i="1" s="1"/>
  <c r="N609" i="1"/>
  <c r="P609" i="1" s="1"/>
  <c r="N610" i="1"/>
  <c r="P610" i="1" s="1"/>
  <c r="N611" i="1"/>
  <c r="P611" i="1" s="1"/>
  <c r="N612" i="1"/>
  <c r="P612" i="1" s="1"/>
  <c r="N613" i="1"/>
  <c r="P613" i="1" s="1"/>
  <c r="N614" i="1"/>
  <c r="P614" i="1" s="1"/>
  <c r="N615" i="1"/>
  <c r="P615" i="1" s="1"/>
  <c r="N616" i="1"/>
  <c r="P616" i="1" s="1"/>
  <c r="N617" i="1"/>
  <c r="P617" i="1" s="1"/>
  <c r="N618" i="1"/>
  <c r="P618" i="1" s="1"/>
  <c r="N619" i="1"/>
  <c r="P619" i="1" s="1"/>
  <c r="N620" i="1"/>
  <c r="P620" i="1" s="1"/>
  <c r="N621" i="1"/>
  <c r="P621" i="1" s="1"/>
  <c r="N622" i="1"/>
  <c r="P622" i="1" s="1"/>
  <c r="N623" i="1"/>
  <c r="P623" i="1" s="1"/>
  <c r="N624" i="1"/>
  <c r="P624" i="1" s="1"/>
  <c r="N625" i="1"/>
  <c r="P625" i="1" s="1"/>
  <c r="N626" i="1"/>
  <c r="P626" i="1" s="1"/>
  <c r="N627" i="1"/>
  <c r="P627" i="1" s="1"/>
  <c r="N628" i="1"/>
  <c r="P628" i="1" s="1"/>
  <c r="N629" i="1"/>
  <c r="P629" i="1" s="1"/>
  <c r="N630" i="1"/>
  <c r="P630" i="1" s="1"/>
  <c r="N631" i="1"/>
  <c r="P631" i="1" s="1"/>
  <c r="N632" i="1"/>
  <c r="P632" i="1" s="1"/>
  <c r="N633" i="1"/>
  <c r="P633" i="1" s="1"/>
  <c r="N634" i="1"/>
  <c r="P634" i="1" s="1"/>
  <c r="N635" i="1"/>
  <c r="P635" i="1" s="1"/>
  <c r="N636" i="1"/>
  <c r="P636" i="1" s="1"/>
  <c r="N637" i="1"/>
  <c r="P637" i="1" s="1"/>
  <c r="N638" i="1"/>
  <c r="P638" i="1" s="1"/>
  <c r="N639" i="1"/>
  <c r="P639" i="1" s="1"/>
  <c r="N640" i="1"/>
  <c r="P640" i="1" s="1"/>
  <c r="N641" i="1"/>
  <c r="P641" i="1" s="1"/>
  <c r="N642" i="1"/>
  <c r="P642" i="1" s="1"/>
  <c r="N643" i="1"/>
  <c r="P643" i="1" s="1"/>
  <c r="N644" i="1"/>
  <c r="P644" i="1" s="1"/>
  <c r="N645" i="1"/>
  <c r="P645" i="1" s="1"/>
  <c r="N646" i="1"/>
  <c r="P646" i="1" s="1"/>
  <c r="N647" i="1"/>
  <c r="P647" i="1" s="1"/>
  <c r="N648" i="1"/>
  <c r="P648" i="1" s="1"/>
  <c r="N649" i="1"/>
  <c r="P649" i="1" s="1"/>
  <c r="N650" i="1"/>
  <c r="P650" i="1" s="1"/>
  <c r="N651" i="1"/>
  <c r="P651" i="1" s="1"/>
  <c r="N652" i="1"/>
  <c r="P652" i="1" s="1"/>
  <c r="N653" i="1"/>
  <c r="P653" i="1" s="1"/>
  <c r="N654" i="1"/>
  <c r="P654" i="1" s="1"/>
  <c r="N655" i="1"/>
  <c r="P655" i="1" s="1"/>
  <c r="N656" i="1"/>
  <c r="P656" i="1" s="1"/>
  <c r="N657" i="1"/>
  <c r="P657" i="1" s="1"/>
  <c r="N658" i="1"/>
  <c r="P658" i="1" s="1"/>
  <c r="N659" i="1"/>
  <c r="P659" i="1" s="1"/>
  <c r="N660" i="1"/>
  <c r="P660" i="1" s="1"/>
  <c r="N661" i="1"/>
  <c r="P661" i="1" s="1"/>
  <c r="N662" i="1"/>
  <c r="P662" i="1" s="1"/>
  <c r="N663" i="1"/>
  <c r="P663" i="1" s="1"/>
  <c r="N664" i="1"/>
  <c r="P664" i="1" s="1"/>
  <c r="N665" i="1"/>
  <c r="P665" i="1" s="1"/>
  <c r="N666" i="1"/>
  <c r="P666" i="1" s="1"/>
  <c r="N667" i="1"/>
  <c r="P667" i="1" s="1"/>
  <c r="N668" i="1"/>
  <c r="P668" i="1" s="1"/>
  <c r="N669" i="1"/>
  <c r="P669" i="1" s="1"/>
  <c r="N670" i="1"/>
  <c r="P670" i="1" s="1"/>
  <c r="N671" i="1"/>
  <c r="P671" i="1" s="1"/>
  <c r="N672" i="1"/>
  <c r="P672" i="1" s="1"/>
  <c r="N673" i="1"/>
  <c r="P673" i="1" s="1"/>
  <c r="N674" i="1"/>
  <c r="P674" i="1" s="1"/>
  <c r="N675" i="1"/>
  <c r="P675" i="1" s="1"/>
  <c r="N676" i="1"/>
  <c r="P676" i="1" s="1"/>
  <c r="N677" i="1"/>
  <c r="P677" i="1" s="1"/>
  <c r="N678" i="1"/>
  <c r="P678" i="1" s="1"/>
  <c r="N679" i="1"/>
  <c r="P679" i="1" s="1"/>
  <c r="N680" i="1"/>
  <c r="P680" i="1" s="1"/>
  <c r="N681" i="1"/>
  <c r="P681" i="1" s="1"/>
  <c r="N682" i="1"/>
  <c r="P682" i="1" s="1"/>
  <c r="N683" i="1"/>
  <c r="P683" i="1" s="1"/>
  <c r="N684" i="1"/>
  <c r="P684" i="1" s="1"/>
  <c r="N685" i="1"/>
  <c r="P685" i="1" s="1"/>
  <c r="N686" i="1"/>
  <c r="P686" i="1" s="1"/>
  <c r="N687" i="1"/>
  <c r="P687" i="1" s="1"/>
  <c r="N688" i="1"/>
  <c r="P688" i="1" s="1"/>
  <c r="N689" i="1"/>
  <c r="P689" i="1" s="1"/>
  <c r="N690" i="1"/>
  <c r="P690" i="1" s="1"/>
  <c r="N691" i="1"/>
  <c r="P691" i="1" s="1"/>
  <c r="N692" i="1"/>
  <c r="P692" i="1" s="1"/>
  <c r="N693" i="1"/>
  <c r="P693" i="1" s="1"/>
  <c r="N694" i="1"/>
  <c r="P694" i="1" s="1"/>
  <c r="N695" i="1"/>
  <c r="P695" i="1" s="1"/>
  <c r="N696" i="1"/>
  <c r="P696" i="1" s="1"/>
  <c r="N697" i="1"/>
  <c r="P697" i="1" s="1"/>
  <c r="N698" i="1"/>
  <c r="P698" i="1" s="1"/>
  <c r="N699" i="1"/>
  <c r="P699" i="1" s="1"/>
  <c r="N700" i="1"/>
  <c r="P700" i="1" s="1"/>
  <c r="N701" i="1"/>
  <c r="P701" i="1" s="1"/>
  <c r="N702" i="1"/>
  <c r="P702" i="1" s="1"/>
  <c r="N703" i="1"/>
  <c r="P703" i="1" s="1"/>
  <c r="N704" i="1"/>
  <c r="P704" i="1" s="1"/>
  <c r="N705" i="1"/>
  <c r="P705" i="1" s="1"/>
  <c r="N706" i="1"/>
  <c r="P706" i="1" s="1"/>
  <c r="N707" i="1"/>
  <c r="P707" i="1" s="1"/>
  <c r="N708" i="1"/>
  <c r="P708" i="1" s="1"/>
  <c r="N709" i="1"/>
  <c r="P709" i="1" s="1"/>
  <c r="N710" i="1"/>
  <c r="P710" i="1" s="1"/>
  <c r="N711" i="1"/>
  <c r="P711" i="1" s="1"/>
  <c r="N712" i="1"/>
  <c r="P712" i="1" s="1"/>
  <c r="N713" i="1"/>
  <c r="P713" i="1" s="1"/>
  <c r="N714" i="1"/>
  <c r="P714" i="1" s="1"/>
  <c r="N715" i="1"/>
  <c r="P715" i="1" s="1"/>
  <c r="N716" i="1"/>
  <c r="P716" i="1" s="1"/>
  <c r="N717" i="1"/>
  <c r="P717" i="1" s="1"/>
  <c r="N718" i="1"/>
  <c r="P718" i="1" s="1"/>
  <c r="N719" i="1"/>
  <c r="P719" i="1" s="1"/>
  <c r="N720" i="1"/>
  <c r="P720" i="1" s="1"/>
  <c r="N721" i="1"/>
  <c r="P721" i="1" s="1"/>
  <c r="N722" i="1"/>
  <c r="P722" i="1" s="1"/>
  <c r="N723" i="1"/>
  <c r="P723" i="1" s="1"/>
  <c r="N724" i="1"/>
  <c r="P724" i="1" s="1"/>
  <c r="N725" i="1"/>
  <c r="P725" i="1" s="1"/>
  <c r="N726" i="1"/>
  <c r="P726" i="1" s="1"/>
  <c r="N727" i="1"/>
  <c r="P727" i="1" s="1"/>
  <c r="N728" i="1"/>
  <c r="P728" i="1" s="1"/>
  <c r="N729" i="1"/>
  <c r="P729" i="1" s="1"/>
  <c r="N730" i="1"/>
  <c r="P730" i="1" s="1"/>
  <c r="N731" i="1"/>
  <c r="P731" i="1" s="1"/>
  <c r="N732" i="1"/>
  <c r="P732" i="1" s="1"/>
  <c r="N733" i="1"/>
  <c r="P733" i="1" s="1"/>
  <c r="N734" i="1"/>
  <c r="P734" i="1" s="1"/>
  <c r="N735" i="1"/>
  <c r="P735" i="1" s="1"/>
  <c r="N736" i="1"/>
  <c r="P736" i="1" s="1"/>
  <c r="N737" i="1"/>
  <c r="P737" i="1" s="1"/>
  <c r="N738" i="1"/>
  <c r="P738" i="1" s="1"/>
  <c r="N739" i="1"/>
  <c r="P739" i="1" s="1"/>
  <c r="N740" i="1"/>
  <c r="P740" i="1" s="1"/>
  <c r="N741" i="1"/>
  <c r="P741" i="1" s="1"/>
  <c r="N742" i="1"/>
  <c r="P742" i="1" s="1"/>
  <c r="N743" i="1"/>
  <c r="P743" i="1" s="1"/>
  <c r="N744" i="1"/>
  <c r="P744" i="1" s="1"/>
  <c r="N745" i="1"/>
  <c r="P745" i="1" s="1"/>
  <c r="N746" i="1"/>
  <c r="P746" i="1" s="1"/>
  <c r="N747" i="1"/>
  <c r="P747" i="1" s="1"/>
  <c r="N748" i="1"/>
  <c r="P748" i="1" s="1"/>
  <c r="N749" i="1"/>
  <c r="P749" i="1" s="1"/>
  <c r="N750" i="1"/>
  <c r="P750" i="1" s="1"/>
  <c r="N751" i="1"/>
  <c r="P751" i="1" s="1"/>
  <c r="N752" i="1"/>
  <c r="P752" i="1" s="1"/>
  <c r="N753" i="1"/>
  <c r="P753" i="1" s="1"/>
  <c r="N754" i="1"/>
  <c r="P754" i="1" s="1"/>
  <c r="N755" i="1"/>
  <c r="P755" i="1" s="1"/>
  <c r="N756" i="1"/>
  <c r="P756" i="1" s="1"/>
  <c r="N757" i="1"/>
  <c r="P757" i="1" s="1"/>
  <c r="N758" i="1"/>
  <c r="P758" i="1" s="1"/>
  <c r="N759" i="1"/>
  <c r="P759" i="1" s="1"/>
  <c r="N760" i="1"/>
  <c r="P760" i="1" s="1"/>
  <c r="N761" i="1"/>
  <c r="P761" i="1" s="1"/>
  <c r="N762" i="1"/>
  <c r="P762" i="1" s="1"/>
  <c r="N763" i="1"/>
  <c r="P763" i="1" s="1"/>
  <c r="N764" i="1"/>
  <c r="P764" i="1" s="1"/>
  <c r="N765" i="1"/>
  <c r="P765" i="1" s="1"/>
  <c r="N766" i="1"/>
  <c r="P766" i="1" s="1"/>
  <c r="N767" i="1"/>
  <c r="P767" i="1" s="1"/>
  <c r="N768" i="1"/>
  <c r="P768" i="1" s="1"/>
  <c r="N769" i="1"/>
  <c r="P769" i="1" s="1"/>
  <c r="N770" i="1"/>
  <c r="P770" i="1" s="1"/>
  <c r="N771" i="1"/>
  <c r="P771" i="1" s="1"/>
  <c r="N772" i="1"/>
  <c r="P772" i="1" s="1"/>
  <c r="N773" i="1"/>
  <c r="P773" i="1" s="1"/>
  <c r="N774" i="1"/>
  <c r="P774" i="1" s="1"/>
  <c r="N775" i="1"/>
  <c r="P775" i="1" s="1"/>
  <c r="N776" i="1"/>
  <c r="P776" i="1" s="1"/>
  <c r="N777" i="1"/>
  <c r="P777" i="1" s="1"/>
  <c r="N778" i="1"/>
  <c r="P778" i="1" s="1"/>
  <c r="N779" i="1"/>
  <c r="P779" i="1" s="1"/>
  <c r="N780" i="1"/>
  <c r="P780" i="1" s="1"/>
  <c r="N781" i="1"/>
  <c r="P781" i="1" s="1"/>
  <c r="N782" i="1"/>
  <c r="P782" i="1" s="1"/>
  <c r="N783" i="1"/>
  <c r="P783" i="1" s="1"/>
  <c r="N784" i="1"/>
  <c r="P784" i="1" s="1"/>
  <c r="N785" i="1"/>
  <c r="P785" i="1" s="1"/>
  <c r="N786" i="1"/>
  <c r="P786" i="1" s="1"/>
  <c r="N787" i="1"/>
  <c r="P787" i="1" s="1"/>
  <c r="N788" i="1"/>
  <c r="P788" i="1" s="1"/>
  <c r="N789" i="1"/>
  <c r="P789" i="1" s="1"/>
  <c r="N790" i="1"/>
  <c r="P790" i="1" s="1"/>
  <c r="N791" i="1"/>
  <c r="P791" i="1" s="1"/>
  <c r="N792" i="1"/>
  <c r="P792" i="1" s="1"/>
  <c r="N793" i="1"/>
  <c r="P793" i="1" s="1"/>
  <c r="N794" i="1"/>
  <c r="P794" i="1" s="1"/>
  <c r="N795" i="1"/>
  <c r="P795" i="1" s="1"/>
  <c r="N796" i="1"/>
  <c r="P796" i="1" s="1"/>
  <c r="N797" i="1"/>
  <c r="P797" i="1" s="1"/>
  <c r="N798" i="1"/>
  <c r="P798" i="1" s="1"/>
  <c r="N799" i="1"/>
  <c r="P799" i="1" s="1"/>
  <c r="N800" i="1"/>
  <c r="P800" i="1" s="1"/>
  <c r="N801" i="1"/>
  <c r="P801" i="1" s="1"/>
  <c r="N802" i="1"/>
  <c r="P802" i="1" s="1"/>
  <c r="N803" i="1"/>
  <c r="P803" i="1" s="1"/>
  <c r="N804" i="1"/>
  <c r="P804" i="1" s="1"/>
  <c r="N805" i="1"/>
  <c r="P805" i="1" s="1"/>
  <c r="N806" i="1"/>
  <c r="P806" i="1" s="1"/>
  <c r="N807" i="1"/>
  <c r="P807" i="1" s="1"/>
  <c r="N808" i="1"/>
  <c r="P808" i="1" s="1"/>
  <c r="N809" i="1"/>
  <c r="P809" i="1" s="1"/>
  <c r="N810" i="1"/>
  <c r="P810" i="1" s="1"/>
  <c r="N811" i="1"/>
  <c r="P811" i="1" s="1"/>
  <c r="N812" i="1"/>
  <c r="P812" i="1" s="1"/>
  <c r="N813" i="1"/>
  <c r="P813" i="1" s="1"/>
  <c r="N814" i="1"/>
  <c r="P814" i="1" s="1"/>
  <c r="N815" i="1"/>
  <c r="P815" i="1" s="1"/>
  <c r="N816" i="1"/>
  <c r="P816" i="1" s="1"/>
  <c r="N817" i="1"/>
  <c r="P817" i="1" s="1"/>
  <c r="N818" i="1"/>
  <c r="P818" i="1" s="1"/>
  <c r="N819" i="1"/>
  <c r="P819" i="1" s="1"/>
  <c r="N820" i="1"/>
  <c r="P820" i="1" s="1"/>
  <c r="N821" i="1"/>
  <c r="P821" i="1" s="1"/>
  <c r="N822" i="1"/>
  <c r="P822" i="1" s="1"/>
  <c r="N823" i="1"/>
  <c r="P823" i="1" s="1"/>
  <c r="N824" i="1"/>
  <c r="P824" i="1" s="1"/>
  <c r="N825" i="1"/>
  <c r="P825" i="1" s="1"/>
  <c r="N826" i="1"/>
  <c r="P826" i="1" s="1"/>
  <c r="N827" i="1"/>
  <c r="P827" i="1" s="1"/>
  <c r="N828" i="1"/>
  <c r="P828" i="1" s="1"/>
  <c r="N829" i="1"/>
  <c r="P829" i="1" s="1"/>
  <c r="N830" i="1"/>
  <c r="P830" i="1" s="1"/>
  <c r="N831" i="1"/>
  <c r="P831" i="1" s="1"/>
  <c r="N832" i="1"/>
  <c r="P832" i="1" s="1"/>
  <c r="N833" i="1"/>
  <c r="P833" i="1" s="1"/>
  <c r="N834" i="1"/>
  <c r="P834" i="1" s="1"/>
  <c r="N835" i="1"/>
  <c r="P835" i="1" s="1"/>
  <c r="N836" i="1"/>
  <c r="P836" i="1" s="1"/>
  <c r="N837" i="1"/>
  <c r="P837" i="1" s="1"/>
  <c r="N838" i="1"/>
  <c r="P838" i="1" s="1"/>
  <c r="N839" i="1"/>
  <c r="P839" i="1" s="1"/>
  <c r="N840" i="1"/>
  <c r="P840" i="1" s="1"/>
  <c r="N841" i="1"/>
  <c r="P841" i="1" s="1"/>
  <c r="N842" i="1"/>
  <c r="P842" i="1" s="1"/>
  <c r="N843" i="1"/>
  <c r="P843" i="1" s="1"/>
  <c r="N844" i="1"/>
  <c r="P844" i="1" s="1"/>
  <c r="N845" i="1"/>
  <c r="P845" i="1" s="1"/>
  <c r="N846" i="1"/>
  <c r="P846" i="1" s="1"/>
  <c r="N847" i="1"/>
  <c r="P847" i="1" s="1"/>
  <c r="N848" i="1"/>
  <c r="P848" i="1" s="1"/>
  <c r="N849" i="1"/>
  <c r="P849" i="1" s="1"/>
  <c r="N850" i="1"/>
  <c r="P850" i="1" s="1"/>
  <c r="N851" i="1"/>
  <c r="P851" i="1" s="1"/>
  <c r="N852" i="1"/>
  <c r="P852" i="1" s="1"/>
  <c r="N853" i="1"/>
  <c r="P853" i="1" s="1"/>
  <c r="N854" i="1"/>
  <c r="P854" i="1" s="1"/>
  <c r="N855" i="1"/>
  <c r="P855" i="1" s="1"/>
  <c r="N856" i="1"/>
  <c r="P856" i="1" s="1"/>
  <c r="N857" i="1"/>
  <c r="P857" i="1" s="1"/>
  <c r="N858" i="1"/>
  <c r="P858" i="1" s="1"/>
  <c r="N859" i="1"/>
  <c r="P859" i="1" s="1"/>
  <c r="N860" i="1"/>
  <c r="P860" i="1" s="1"/>
  <c r="N861" i="1"/>
  <c r="P861" i="1" s="1"/>
  <c r="N862" i="1"/>
  <c r="P862" i="1" s="1"/>
  <c r="N863" i="1"/>
  <c r="P863" i="1" s="1"/>
  <c r="N864" i="1"/>
  <c r="P864" i="1" s="1"/>
  <c r="N865" i="1"/>
  <c r="P865" i="1" s="1"/>
  <c r="N866" i="1"/>
  <c r="P866" i="1" s="1"/>
  <c r="N867" i="1"/>
  <c r="P867" i="1" s="1"/>
  <c r="N868" i="1"/>
  <c r="P868" i="1" s="1"/>
  <c r="N869" i="1"/>
  <c r="P869" i="1" s="1"/>
  <c r="N870" i="1"/>
  <c r="P870" i="1" s="1"/>
  <c r="N871" i="1"/>
  <c r="P871" i="1" s="1"/>
  <c r="N872" i="1"/>
  <c r="P872" i="1" s="1"/>
  <c r="N873" i="1"/>
  <c r="P873" i="1" s="1"/>
  <c r="N874" i="1"/>
  <c r="P874" i="1" s="1"/>
  <c r="N875" i="1"/>
  <c r="P875" i="1" s="1"/>
  <c r="N876" i="1"/>
  <c r="P876" i="1" s="1"/>
  <c r="N877" i="1"/>
  <c r="P877" i="1" s="1"/>
  <c r="N878" i="1"/>
  <c r="P878" i="1" s="1"/>
  <c r="N879" i="1"/>
  <c r="P879" i="1" s="1"/>
  <c r="N880" i="1"/>
  <c r="P880" i="1" s="1"/>
  <c r="N881" i="1"/>
  <c r="P881" i="1" s="1"/>
  <c r="N882" i="1"/>
  <c r="P882" i="1" s="1"/>
  <c r="N883" i="1"/>
  <c r="P883" i="1" s="1"/>
  <c r="N884" i="1"/>
  <c r="P884" i="1" s="1"/>
  <c r="N885" i="1"/>
  <c r="P885" i="1" s="1"/>
  <c r="N886" i="1"/>
  <c r="P886" i="1" s="1"/>
  <c r="N887" i="1"/>
  <c r="P887" i="1" s="1"/>
  <c r="N888" i="1"/>
  <c r="P888" i="1" s="1"/>
  <c r="N889" i="1"/>
  <c r="P889" i="1" s="1"/>
  <c r="N890" i="1"/>
  <c r="P890" i="1" s="1"/>
  <c r="N891" i="1"/>
  <c r="P891" i="1" s="1"/>
  <c r="N892" i="1"/>
  <c r="P892" i="1" s="1"/>
  <c r="N893" i="1"/>
  <c r="P893" i="1" s="1"/>
  <c r="N894" i="1"/>
  <c r="P894" i="1" s="1"/>
  <c r="N895" i="1"/>
  <c r="P895" i="1" s="1"/>
  <c r="N896" i="1"/>
  <c r="P896" i="1" s="1"/>
  <c r="N897" i="1"/>
  <c r="P897" i="1" s="1"/>
  <c r="N898" i="1"/>
  <c r="P898" i="1" s="1"/>
  <c r="N899" i="1"/>
  <c r="P899" i="1" s="1"/>
  <c r="N900" i="1"/>
  <c r="P900" i="1" s="1"/>
  <c r="N901" i="1"/>
  <c r="P901" i="1" s="1"/>
  <c r="N902" i="1"/>
  <c r="P902" i="1" s="1"/>
  <c r="N903" i="1"/>
  <c r="P903" i="1" s="1"/>
  <c r="N904" i="1"/>
  <c r="P904" i="1" s="1"/>
  <c r="N905" i="1"/>
  <c r="P905" i="1" s="1"/>
  <c r="N906" i="1"/>
  <c r="P906" i="1" s="1"/>
  <c r="N907" i="1"/>
  <c r="P907" i="1" s="1"/>
  <c r="N908" i="1"/>
  <c r="P908" i="1" s="1"/>
  <c r="N909" i="1"/>
  <c r="P909" i="1" s="1"/>
  <c r="N910" i="1"/>
  <c r="P910" i="1" s="1"/>
  <c r="N911" i="1"/>
  <c r="P911" i="1" s="1"/>
  <c r="N912" i="1"/>
  <c r="P912" i="1" s="1"/>
  <c r="N913" i="1"/>
  <c r="P913" i="1" s="1"/>
  <c r="N914" i="1"/>
  <c r="P914" i="1" s="1"/>
  <c r="N915" i="1"/>
  <c r="P915" i="1" s="1"/>
  <c r="N916" i="1"/>
  <c r="P916" i="1" s="1"/>
  <c r="N917" i="1"/>
  <c r="P917" i="1" s="1"/>
  <c r="N918" i="1"/>
  <c r="P918" i="1" s="1"/>
  <c r="N919" i="1"/>
  <c r="P919" i="1" s="1"/>
  <c r="N920" i="1"/>
  <c r="P920" i="1" s="1"/>
  <c r="N921" i="1"/>
  <c r="P921" i="1" s="1"/>
  <c r="N922" i="1"/>
  <c r="P922" i="1" s="1"/>
  <c r="N923" i="1"/>
  <c r="P923" i="1" s="1"/>
  <c r="N924" i="1"/>
  <c r="P924" i="1" s="1"/>
  <c r="N925" i="1"/>
  <c r="P925" i="1" s="1"/>
  <c r="N926" i="1"/>
  <c r="P926" i="1" s="1"/>
  <c r="N927" i="1"/>
  <c r="P927" i="1" s="1"/>
  <c r="N928" i="1"/>
  <c r="P928" i="1" s="1"/>
  <c r="N929" i="1"/>
  <c r="P929" i="1" s="1"/>
  <c r="N930" i="1"/>
  <c r="P930" i="1" s="1"/>
  <c r="N931" i="1"/>
  <c r="P931" i="1" s="1"/>
  <c r="N932" i="1"/>
  <c r="P932" i="1" s="1"/>
  <c r="N933" i="1"/>
  <c r="P933" i="1" s="1"/>
  <c r="N934" i="1"/>
  <c r="P934" i="1" s="1"/>
  <c r="N935" i="1"/>
  <c r="P935" i="1" s="1"/>
  <c r="N936" i="1"/>
  <c r="P936" i="1" s="1"/>
  <c r="N937" i="1"/>
  <c r="P937" i="1" s="1"/>
  <c r="N938" i="1"/>
  <c r="P938" i="1" s="1"/>
  <c r="N939" i="1"/>
  <c r="P939" i="1" s="1"/>
  <c r="N940" i="1"/>
  <c r="P940" i="1" s="1"/>
  <c r="N941" i="1"/>
  <c r="P941" i="1" s="1"/>
  <c r="N942" i="1"/>
  <c r="P942" i="1" s="1"/>
  <c r="N943" i="1"/>
  <c r="P943" i="1" s="1"/>
  <c r="N944" i="1"/>
  <c r="P944" i="1" s="1"/>
  <c r="N945" i="1"/>
  <c r="P945" i="1" s="1"/>
  <c r="N946" i="1"/>
  <c r="P946" i="1" s="1"/>
  <c r="N947" i="1"/>
  <c r="P947" i="1" s="1"/>
  <c r="N948" i="1"/>
  <c r="P948" i="1" s="1"/>
  <c r="N949" i="1"/>
  <c r="P949" i="1" s="1"/>
  <c r="N950" i="1"/>
  <c r="P950" i="1" s="1"/>
  <c r="N951" i="1"/>
  <c r="P951" i="1" s="1"/>
  <c r="N952" i="1"/>
  <c r="P952" i="1" s="1"/>
  <c r="N953" i="1"/>
  <c r="P953" i="1" s="1"/>
  <c r="N954" i="1"/>
  <c r="P954" i="1" s="1"/>
  <c r="N955" i="1"/>
  <c r="P955" i="1" s="1"/>
  <c r="N956" i="1"/>
  <c r="P956" i="1" s="1"/>
  <c r="N957" i="1"/>
  <c r="P957" i="1" s="1"/>
  <c r="N958" i="1"/>
  <c r="P958" i="1" s="1"/>
  <c r="N959" i="1"/>
  <c r="P959" i="1" s="1"/>
  <c r="N960" i="1"/>
  <c r="P960" i="1" s="1"/>
  <c r="N961" i="1"/>
  <c r="P961" i="1" s="1"/>
  <c r="N962" i="1"/>
  <c r="P962" i="1" s="1"/>
  <c r="N963" i="1"/>
  <c r="P963" i="1" s="1"/>
  <c r="N964" i="1"/>
  <c r="P964" i="1" s="1"/>
  <c r="N965" i="1"/>
  <c r="P965" i="1" s="1"/>
  <c r="N966" i="1"/>
  <c r="P966" i="1" s="1"/>
  <c r="N967" i="1"/>
  <c r="P967" i="1" s="1"/>
  <c r="N968" i="1"/>
  <c r="P968" i="1" s="1"/>
  <c r="N969" i="1"/>
  <c r="P969" i="1" s="1"/>
  <c r="N970" i="1"/>
  <c r="P970" i="1" s="1"/>
  <c r="N971" i="1"/>
  <c r="P971" i="1" s="1"/>
  <c r="N972" i="1"/>
  <c r="P972" i="1" s="1"/>
  <c r="N973" i="1"/>
  <c r="P973" i="1" s="1"/>
  <c r="N974" i="1"/>
  <c r="P974" i="1" s="1"/>
  <c r="N975" i="1"/>
  <c r="P975" i="1" s="1"/>
  <c r="N976" i="1"/>
  <c r="P976" i="1" s="1"/>
  <c r="N977" i="1"/>
  <c r="P977" i="1" s="1"/>
  <c r="N978" i="1"/>
  <c r="P978" i="1" s="1"/>
  <c r="N979" i="1"/>
  <c r="P979" i="1" s="1"/>
  <c r="N980" i="1"/>
  <c r="P980" i="1" s="1"/>
  <c r="N981" i="1"/>
  <c r="P981" i="1" s="1"/>
  <c r="N982" i="1"/>
  <c r="P982" i="1" s="1"/>
  <c r="N983" i="1"/>
  <c r="P983" i="1" s="1"/>
  <c r="N984" i="1"/>
  <c r="P984" i="1" s="1"/>
  <c r="N985" i="1"/>
  <c r="P985" i="1" s="1"/>
  <c r="N986" i="1"/>
  <c r="P986" i="1" s="1"/>
  <c r="N987" i="1"/>
  <c r="P987" i="1" s="1"/>
  <c r="N988" i="1"/>
  <c r="P988" i="1" s="1"/>
  <c r="N989" i="1"/>
  <c r="P989" i="1" s="1"/>
  <c r="N990" i="1"/>
  <c r="P990" i="1" s="1"/>
  <c r="N991" i="1"/>
  <c r="P991" i="1" s="1"/>
  <c r="N992" i="1"/>
  <c r="P992" i="1" s="1"/>
  <c r="N993" i="1"/>
  <c r="P993" i="1" s="1"/>
  <c r="N994" i="1"/>
  <c r="P994" i="1" s="1"/>
  <c r="N995" i="1"/>
  <c r="P995" i="1" s="1"/>
  <c r="N996" i="1"/>
  <c r="P996" i="1" s="1"/>
  <c r="N997" i="1"/>
  <c r="P997" i="1" s="1"/>
  <c r="N998" i="1"/>
  <c r="P998" i="1" s="1"/>
  <c r="N999" i="1"/>
  <c r="P999" i="1" s="1"/>
  <c r="N1000" i="1"/>
  <c r="P1000" i="1" s="1"/>
  <c r="N1001" i="1"/>
  <c r="P1001" i="1" s="1"/>
  <c r="D1" i="7" a="1"/>
  <c r="A1" i="7" a="1"/>
  <c r="F6" i="6"/>
  <c r="J6" i="6" s="1"/>
  <c r="F5" i="6"/>
  <c r="J5" i="6" s="1"/>
  <c r="F4" i="6"/>
  <c r="J4" i="6" s="1"/>
  <c r="F3" i="6"/>
  <c r="J3" i="6" s="1"/>
  <c r="O3" i="1"/>
  <c r="Q3" i="1" s="1"/>
  <c r="O4" i="1"/>
  <c r="Q4" i="1" s="1"/>
  <c r="O5" i="1"/>
  <c r="Q5" i="1" s="1"/>
  <c r="O6" i="1"/>
  <c r="Q6" i="1" s="1"/>
  <c r="O7" i="1"/>
  <c r="Q7" i="1" s="1"/>
  <c r="O8" i="1"/>
  <c r="Q8" i="1" s="1"/>
  <c r="O9" i="1"/>
  <c r="Q9" i="1" s="1"/>
  <c r="O10" i="1"/>
  <c r="Q10" i="1" s="1"/>
  <c r="O11" i="1"/>
  <c r="Q11" i="1" s="1"/>
  <c r="O12" i="1"/>
  <c r="Q12" i="1" s="1"/>
  <c r="O13" i="1"/>
  <c r="Q13" i="1" s="1"/>
  <c r="O14" i="1"/>
  <c r="Q14" i="1" s="1"/>
  <c r="O15" i="1"/>
  <c r="Q15" i="1" s="1"/>
  <c r="O16" i="1"/>
  <c r="Q16" i="1" s="1"/>
  <c r="O17" i="1"/>
  <c r="Q17" i="1" s="1"/>
  <c r="O18" i="1"/>
  <c r="Q18" i="1" s="1"/>
  <c r="O19" i="1"/>
  <c r="Q19" i="1" s="1"/>
  <c r="O20" i="1"/>
  <c r="Q20" i="1" s="1"/>
  <c r="O21" i="1"/>
  <c r="Q21" i="1" s="1"/>
  <c r="O22" i="1"/>
  <c r="Q22" i="1" s="1"/>
  <c r="O23" i="1"/>
  <c r="Q23" i="1" s="1"/>
  <c r="O24" i="1"/>
  <c r="Q24" i="1" s="1"/>
  <c r="O25" i="1"/>
  <c r="Q25" i="1" s="1"/>
  <c r="O26" i="1"/>
  <c r="Q26" i="1" s="1"/>
  <c r="O27" i="1"/>
  <c r="Q27" i="1" s="1"/>
  <c r="O28" i="1"/>
  <c r="Q28" i="1" s="1"/>
  <c r="O29" i="1"/>
  <c r="Q29" i="1" s="1"/>
  <c r="O30" i="1"/>
  <c r="Q30" i="1" s="1"/>
  <c r="O31" i="1"/>
  <c r="Q31" i="1" s="1"/>
  <c r="O32" i="1"/>
  <c r="Q32" i="1" s="1"/>
  <c r="O33" i="1"/>
  <c r="Q33" i="1" s="1"/>
  <c r="O34" i="1"/>
  <c r="Q34" i="1" s="1"/>
  <c r="O35" i="1"/>
  <c r="Q35" i="1" s="1"/>
  <c r="O36" i="1"/>
  <c r="Q36" i="1" s="1"/>
  <c r="O37" i="1"/>
  <c r="Q37" i="1" s="1"/>
  <c r="O38" i="1"/>
  <c r="Q38" i="1" s="1"/>
  <c r="O39" i="1"/>
  <c r="Q39" i="1" s="1"/>
  <c r="O40" i="1"/>
  <c r="Q40" i="1" s="1"/>
  <c r="O41" i="1"/>
  <c r="Q41" i="1" s="1"/>
  <c r="O42" i="1"/>
  <c r="Q42" i="1" s="1"/>
  <c r="O43" i="1"/>
  <c r="Q43" i="1" s="1"/>
  <c r="O44" i="1"/>
  <c r="Q44" i="1" s="1"/>
  <c r="O45" i="1"/>
  <c r="Q45" i="1" s="1"/>
  <c r="O46" i="1"/>
  <c r="Q46" i="1" s="1"/>
  <c r="O47" i="1"/>
  <c r="Q47" i="1" s="1"/>
  <c r="O48" i="1"/>
  <c r="Q48" i="1" s="1"/>
  <c r="O49" i="1"/>
  <c r="Q49" i="1" s="1"/>
  <c r="O50" i="1"/>
  <c r="Q50" i="1" s="1"/>
  <c r="O51" i="1"/>
  <c r="Q51" i="1" s="1"/>
  <c r="O52" i="1"/>
  <c r="Q52" i="1" s="1"/>
  <c r="O53" i="1"/>
  <c r="Q53" i="1" s="1"/>
  <c r="O54" i="1"/>
  <c r="Q54" i="1" s="1"/>
  <c r="O55" i="1"/>
  <c r="Q55" i="1" s="1"/>
  <c r="O56" i="1"/>
  <c r="Q56" i="1" s="1"/>
  <c r="O57" i="1"/>
  <c r="Q57" i="1" s="1"/>
  <c r="O58" i="1"/>
  <c r="Q58" i="1" s="1"/>
  <c r="O59" i="1"/>
  <c r="Q59" i="1" s="1"/>
  <c r="O60" i="1"/>
  <c r="Q60" i="1" s="1"/>
  <c r="O61" i="1"/>
  <c r="Q61" i="1" s="1"/>
  <c r="O62" i="1"/>
  <c r="Q62" i="1" s="1"/>
  <c r="O63" i="1"/>
  <c r="Q63" i="1" s="1"/>
  <c r="O64" i="1"/>
  <c r="Q64" i="1" s="1"/>
  <c r="O65" i="1"/>
  <c r="Q65" i="1" s="1"/>
  <c r="O66" i="1"/>
  <c r="Q66" i="1" s="1"/>
  <c r="O67" i="1"/>
  <c r="Q67" i="1" s="1"/>
  <c r="O68" i="1"/>
  <c r="Q68" i="1" s="1"/>
  <c r="O69" i="1"/>
  <c r="Q69" i="1" s="1"/>
  <c r="O70" i="1"/>
  <c r="Q70" i="1" s="1"/>
  <c r="O71" i="1"/>
  <c r="Q71" i="1" s="1"/>
  <c r="O72" i="1"/>
  <c r="Q72" i="1" s="1"/>
  <c r="O73" i="1"/>
  <c r="Q73" i="1" s="1"/>
  <c r="O74" i="1"/>
  <c r="Q74" i="1" s="1"/>
  <c r="O75" i="1"/>
  <c r="Q75" i="1" s="1"/>
  <c r="O76" i="1"/>
  <c r="Q76" i="1" s="1"/>
  <c r="O77" i="1"/>
  <c r="Q77" i="1" s="1"/>
  <c r="O78" i="1"/>
  <c r="Q78" i="1" s="1"/>
  <c r="O79" i="1"/>
  <c r="Q79" i="1" s="1"/>
  <c r="O80" i="1"/>
  <c r="Q80" i="1" s="1"/>
  <c r="O81" i="1"/>
  <c r="Q81" i="1" s="1"/>
  <c r="O82" i="1"/>
  <c r="Q82" i="1" s="1"/>
  <c r="O83" i="1"/>
  <c r="Q83" i="1" s="1"/>
  <c r="O84" i="1"/>
  <c r="Q84" i="1" s="1"/>
  <c r="O85" i="1"/>
  <c r="Q85" i="1" s="1"/>
  <c r="O86" i="1"/>
  <c r="Q86" i="1" s="1"/>
  <c r="O87" i="1"/>
  <c r="Q87" i="1" s="1"/>
  <c r="O88" i="1"/>
  <c r="Q88" i="1" s="1"/>
  <c r="O89" i="1"/>
  <c r="Q89" i="1" s="1"/>
  <c r="O90" i="1"/>
  <c r="Q90" i="1" s="1"/>
  <c r="O91" i="1"/>
  <c r="Q91" i="1" s="1"/>
  <c r="O92" i="1"/>
  <c r="Q92" i="1" s="1"/>
  <c r="O93" i="1"/>
  <c r="Q93" i="1" s="1"/>
  <c r="O94" i="1"/>
  <c r="Q94" i="1" s="1"/>
  <c r="O95" i="1"/>
  <c r="Q95" i="1" s="1"/>
  <c r="O96" i="1"/>
  <c r="Q96" i="1" s="1"/>
  <c r="O97" i="1"/>
  <c r="Q97" i="1" s="1"/>
  <c r="O98" i="1"/>
  <c r="Q98" i="1" s="1"/>
  <c r="O99" i="1"/>
  <c r="Q99" i="1" s="1"/>
  <c r="O100" i="1"/>
  <c r="Q100" i="1" s="1"/>
  <c r="O101" i="1"/>
  <c r="Q101" i="1" s="1"/>
  <c r="O102" i="1"/>
  <c r="Q102" i="1" s="1"/>
  <c r="O103" i="1"/>
  <c r="Q103" i="1" s="1"/>
  <c r="O104" i="1"/>
  <c r="Q104" i="1" s="1"/>
  <c r="O105" i="1"/>
  <c r="Q105" i="1" s="1"/>
  <c r="O106" i="1"/>
  <c r="Q106" i="1" s="1"/>
  <c r="O107" i="1"/>
  <c r="Q107" i="1" s="1"/>
  <c r="O108" i="1"/>
  <c r="Q108" i="1" s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Q222" i="1" s="1"/>
  <c r="O223" i="1"/>
  <c r="Q223" i="1" s="1"/>
  <c r="O224" i="1"/>
  <c r="Q224" i="1" s="1"/>
  <c r="O225" i="1"/>
  <c r="Q225" i="1" s="1"/>
  <c r="O226" i="1"/>
  <c r="Q226" i="1" s="1"/>
  <c r="O227" i="1"/>
  <c r="Q227" i="1" s="1"/>
  <c r="O228" i="1"/>
  <c r="Q228" i="1" s="1"/>
  <c r="O229" i="1"/>
  <c r="Q229" i="1" s="1"/>
  <c r="O230" i="1"/>
  <c r="Q230" i="1" s="1"/>
  <c r="O231" i="1"/>
  <c r="Q231" i="1" s="1"/>
  <c r="O232" i="1"/>
  <c r="Q232" i="1" s="1"/>
  <c r="O233" i="1"/>
  <c r="Q233" i="1" s="1"/>
  <c r="O234" i="1"/>
  <c r="Q234" i="1" s="1"/>
  <c r="O235" i="1"/>
  <c r="Q235" i="1" s="1"/>
  <c r="O236" i="1"/>
  <c r="Q236" i="1" s="1"/>
  <c r="O237" i="1"/>
  <c r="Q237" i="1" s="1"/>
  <c r="O238" i="1"/>
  <c r="Q238" i="1" s="1"/>
  <c r="O239" i="1"/>
  <c r="Q239" i="1" s="1"/>
  <c r="O240" i="1"/>
  <c r="Q240" i="1" s="1"/>
  <c r="O241" i="1"/>
  <c r="Q241" i="1" s="1"/>
  <c r="O242" i="1"/>
  <c r="Q242" i="1" s="1"/>
  <c r="O243" i="1"/>
  <c r="Q243" i="1" s="1"/>
  <c r="O244" i="1"/>
  <c r="Q244" i="1" s="1"/>
  <c r="O245" i="1"/>
  <c r="Q245" i="1" s="1"/>
  <c r="O246" i="1"/>
  <c r="Q246" i="1" s="1"/>
  <c r="O247" i="1"/>
  <c r="Q247" i="1" s="1"/>
  <c r="O248" i="1"/>
  <c r="Q248" i="1" s="1"/>
  <c r="O249" i="1"/>
  <c r="O250" i="1"/>
  <c r="O251" i="1"/>
  <c r="Q251" i="1" s="1"/>
  <c r="O252" i="1"/>
  <c r="Q252" i="1" s="1"/>
  <c r="O253" i="1"/>
  <c r="Q253" i="1" s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2" i="1"/>
  <c r="Q2" i="1" s="1"/>
  <c r="F846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2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2" i="1"/>
  <c r="F3" i="1"/>
  <c r="O7" i="7" l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249" i="1"/>
  <c r="Q250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743" i="1"/>
  <c r="Q745" i="1"/>
  <c r="Q747" i="1"/>
  <c r="Q749" i="1"/>
  <c r="Q933" i="1"/>
  <c r="Q936" i="1"/>
  <c r="Q939" i="1"/>
  <c r="Q942" i="1"/>
  <c r="Q945" i="1"/>
  <c r="Q948" i="1"/>
  <c r="Q951" i="1"/>
  <c r="Q954" i="1"/>
  <c r="Q957" i="1"/>
  <c r="Q960" i="1"/>
  <c r="Q963" i="1"/>
  <c r="Q966" i="1"/>
  <c r="Q969" i="1"/>
  <c r="Q972" i="1"/>
  <c r="Q975" i="1"/>
  <c r="Q978" i="1"/>
  <c r="Q981" i="1"/>
  <c r="Q984" i="1"/>
  <c r="Q987" i="1"/>
  <c r="Q990" i="1"/>
  <c r="Q993" i="1"/>
  <c r="Q996" i="1"/>
  <c r="Q999" i="1"/>
  <c r="Q499" i="1"/>
  <c r="Q500" i="1"/>
  <c r="Q501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4" i="1"/>
  <c r="Q746" i="1"/>
  <c r="Q748" i="1"/>
  <c r="Q931" i="1"/>
  <c r="Q935" i="1"/>
  <c r="Q938" i="1"/>
  <c r="Q940" i="1"/>
  <c r="Q944" i="1"/>
  <c r="Q947" i="1"/>
  <c r="Q950" i="1"/>
  <c r="Q953" i="1"/>
  <c r="Q956" i="1"/>
  <c r="Q959" i="1"/>
  <c r="Q962" i="1"/>
  <c r="Q965" i="1"/>
  <c r="Q968" i="1"/>
  <c r="Q971" i="1"/>
  <c r="Q974" i="1"/>
  <c r="Q977" i="1"/>
  <c r="Q980" i="1"/>
  <c r="Q983" i="1"/>
  <c r="Q985" i="1"/>
  <c r="Q988" i="1"/>
  <c r="Q991" i="1"/>
  <c r="Q994" i="1"/>
  <c r="Q997" i="1"/>
  <c r="Q750" i="1"/>
  <c r="Q751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2" i="1"/>
  <c r="Q934" i="1"/>
  <c r="Q937" i="1"/>
  <c r="Q941" i="1"/>
  <c r="Q943" i="1"/>
  <c r="Q946" i="1"/>
  <c r="Q949" i="1"/>
  <c r="Q952" i="1"/>
  <c r="Q955" i="1"/>
  <c r="Q958" i="1"/>
  <c r="Q961" i="1"/>
  <c r="Q964" i="1"/>
  <c r="Q967" i="1"/>
  <c r="Q970" i="1"/>
  <c r="Q973" i="1"/>
  <c r="Q976" i="1"/>
  <c r="Q979" i="1"/>
  <c r="Q982" i="1"/>
  <c r="Q986" i="1"/>
  <c r="Q989" i="1"/>
  <c r="Q992" i="1"/>
  <c r="Q995" i="1"/>
  <c r="Q998" i="1"/>
  <c r="Q1000" i="1"/>
  <c r="Q1001" i="1"/>
  <c r="C9" i="48" a="1"/>
  <c r="C9" i="48" s="1"/>
  <c r="E9" i="48" a="1"/>
  <c r="E9" i="48" s="1"/>
  <c r="B9" i="48" a="1"/>
  <c r="B9" i="48" s="1"/>
  <c r="E1" i="29" a="1"/>
  <c r="E1" i="29" s="1"/>
  <c r="D9" i="48" a="1"/>
  <c r="D9" i="48" s="1"/>
  <c r="F9" i="48" a="1"/>
  <c r="F9" i="48" s="1"/>
  <c r="F8" i="48" a="1"/>
  <c r="F8" i="48" s="1"/>
  <c r="F7" i="48" a="1"/>
  <c r="F7" i="48" s="1"/>
  <c r="F6" i="48" a="1"/>
  <c r="F6" i="48" s="1"/>
  <c r="F5" i="48" a="1"/>
  <c r="F5" i="48" s="1"/>
  <c r="F4" i="48" a="1"/>
  <c r="F4" i="48" s="1"/>
  <c r="E8" i="48" a="1"/>
  <c r="E8" i="48" s="1"/>
  <c r="C8" i="48" a="1"/>
  <c r="C8" i="48" s="1"/>
  <c r="B8" i="48" a="1"/>
  <c r="B8" i="48" s="1"/>
  <c r="D8" i="48" a="1"/>
  <c r="D8" i="48" s="1"/>
  <c r="C6" i="48" a="1"/>
  <c r="C6" i="48" s="1"/>
  <c r="D4" i="48" a="1"/>
  <c r="D4" i="48" s="1"/>
  <c r="D7" i="48" a="1"/>
  <c r="D7" i="48" s="1"/>
  <c r="B6" i="48" a="1"/>
  <c r="B6" i="48" s="1"/>
  <c r="D6" i="48" a="1"/>
  <c r="D6" i="48" s="1"/>
  <c r="D5" i="48" a="1"/>
  <c r="D5" i="48" s="1"/>
  <c r="E6" i="48" a="1"/>
  <c r="E6" i="48" s="1"/>
  <c r="F7" i="6"/>
  <c r="F2" i="6"/>
  <c r="I4" i="6"/>
  <c r="H3" i="6"/>
  <c r="I3" i="6"/>
  <c r="H4" i="6"/>
  <c r="G5" i="6"/>
  <c r="H6" i="6"/>
  <c r="I6" i="6"/>
  <c r="G6" i="6"/>
  <c r="G4" i="6"/>
  <c r="G3" i="6"/>
  <c r="N6" i="7"/>
  <c r="N4" i="7"/>
  <c r="N15" i="7"/>
  <c r="N14" i="7"/>
  <c r="N7" i="7"/>
  <c r="N8" i="7"/>
  <c r="O15" i="7"/>
  <c r="O14" i="7"/>
  <c r="O8" i="7"/>
  <c r="O6" i="7"/>
  <c r="A1" i="7"/>
  <c r="N5" i="7"/>
  <c r="N9" i="7"/>
  <c r="N3" i="7"/>
  <c r="N2" i="7"/>
  <c r="D1" i="7"/>
  <c r="O3" i="7"/>
  <c r="O2" i="7"/>
  <c r="O5" i="7"/>
  <c r="O4" i="7"/>
  <c r="O9" i="7"/>
  <c r="G9" i="48" l="1" a="1"/>
  <c r="G9" i="48" s="1"/>
  <c r="O4" i="29"/>
  <c r="O15" i="29"/>
  <c r="O9" i="29"/>
  <c r="O3" i="29"/>
  <c r="O8" i="29"/>
  <c r="O2" i="29"/>
  <c r="O14" i="29"/>
  <c r="O5" i="29"/>
  <c r="O7" i="29"/>
  <c r="O6" i="29"/>
  <c r="O16" i="29"/>
  <c r="B1" i="29" a="1"/>
  <c r="B1" i="29" s="1"/>
  <c r="G4" i="48" a="1"/>
  <c r="G4" i="48" s="1"/>
  <c r="G8" i="48" a="1"/>
  <c r="G8" i="48" s="1"/>
  <c r="G7" i="48" a="1"/>
  <c r="G7" i="48" s="1"/>
  <c r="G6" i="48" a="1"/>
  <c r="G6" i="48" s="1"/>
  <c r="G5" i="48" a="1"/>
  <c r="G5" i="48" s="1"/>
  <c r="J7" i="6"/>
  <c r="I7" i="6"/>
  <c r="G2" i="6"/>
  <c r="J2" i="6"/>
  <c r="I2" i="6"/>
  <c r="H2" i="6"/>
  <c r="I5" i="6"/>
  <c r="H5" i="6"/>
  <c r="N10" i="7"/>
  <c r="N12" i="7" s="1"/>
  <c r="G7" i="6"/>
  <c r="H7" i="6"/>
  <c r="O10" i="7"/>
  <c r="O12" i="7" l="1"/>
  <c r="O10" i="29"/>
  <c r="N16" i="29"/>
  <c r="N5" i="29"/>
  <c r="N6" i="29"/>
  <c r="N14" i="29"/>
  <c r="N7" i="29"/>
  <c r="N15" i="29"/>
  <c r="N2" i="29"/>
  <c r="N8" i="29"/>
  <c r="N3" i="29"/>
  <c r="N9" i="29"/>
  <c r="N4" i="29"/>
  <c r="N11" i="7"/>
  <c r="N13" i="7" s="1"/>
  <c r="O11" i="7"/>
  <c r="O13" i="7" l="1"/>
  <c r="N10" i="29"/>
  <c r="O12" i="29"/>
  <c r="O11" i="29"/>
  <c r="O13" i="29" s="1"/>
  <c r="N12" i="29" l="1"/>
  <c r="N11" i="29"/>
  <c r="N13" i="29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<sst xmlns="http://schemas.openxmlformats.org/spreadsheetml/2006/main" count="8647" uniqueCount="2237">
  <si>
    <t>name</t>
  </si>
  <si>
    <t>blurb</t>
  </si>
  <si>
    <t>goal</t>
  </si>
  <si>
    <t>pledged</t>
  </si>
  <si>
    <t>outcome</t>
  </si>
  <si>
    <t>backers_count</t>
  </si>
  <si>
    <t>country</t>
  </si>
  <si>
    <t>currency</t>
  </si>
  <si>
    <t>launched_at</t>
  </si>
  <si>
    <t>deadline</t>
  </si>
  <si>
    <t>staff_pick</t>
  </si>
  <si>
    <t>spotlight</t>
  </si>
  <si>
    <t>Baldwin, Riley and Jackson</t>
  </si>
  <si>
    <t>Pre-emptive tertiary standardization</t>
  </si>
  <si>
    <t>failed</t>
  </si>
  <si>
    <t>CA</t>
  </si>
  <si>
    <t>CAD</t>
  </si>
  <si>
    <t>food/food trucks</t>
  </si>
  <si>
    <t>Odom Inc</t>
  </si>
  <si>
    <t>Managed bottom-line architecture</t>
  </si>
  <si>
    <t>successful</t>
  </si>
  <si>
    <t>US</t>
  </si>
  <si>
    <t>USD</t>
  </si>
  <si>
    <t>music/rock</t>
  </si>
  <si>
    <t>Melton, Robinson and Fritz</t>
  </si>
  <si>
    <t>Function-based leadingedge pricing structure</t>
  </si>
  <si>
    <t>AU</t>
  </si>
  <si>
    <t>AUD</t>
  </si>
  <si>
    <t>technology/web</t>
  </si>
  <si>
    <t>Mcdonald, Gonzalez and Ross</t>
  </si>
  <si>
    <t>Vision-oriented fresh-thinking conglomeration</t>
  </si>
  <si>
    <t>Larson-Little</t>
  </si>
  <si>
    <t>Proactive foreground core</t>
  </si>
  <si>
    <t>theater/plays</t>
  </si>
  <si>
    <t>Harris Group</t>
  </si>
  <si>
    <t>Open-source optimizing database</t>
  </si>
  <si>
    <t>DK</t>
  </si>
  <si>
    <t>DKK</t>
  </si>
  <si>
    <t>Ortiz, Coleman and Mitchell</t>
  </si>
  <si>
    <t>Operative upward-trending algorithm</t>
  </si>
  <si>
    <t>GB</t>
  </si>
  <si>
    <t>GBP</t>
  </si>
  <si>
    <t>film &amp; video/documentary</t>
  </si>
  <si>
    <t>Carter-Guzman</t>
  </si>
  <si>
    <t>Centralized cohesive challenge</t>
  </si>
  <si>
    <t>Nunez-Richards</t>
  </si>
  <si>
    <t>Exclusive attitude-oriented intranet</t>
  </si>
  <si>
    <t>live</t>
  </si>
  <si>
    <t>Rangel, Holt and Jones</t>
  </si>
  <si>
    <t>Open-source fresh-thinking model</t>
  </si>
  <si>
    <t>music/electric music</t>
  </si>
  <si>
    <t>Green Ltd</t>
  </si>
  <si>
    <t>Monitored empowering installation</t>
  </si>
  <si>
    <t>film &amp; video/drama</t>
  </si>
  <si>
    <t>Perez, Johnson and Gardner</t>
  </si>
  <si>
    <t>Grass-roots zero administration system engine</t>
  </si>
  <si>
    <t>Kim Ltd</t>
  </si>
  <si>
    <t>Assimilated hybrid intranet</t>
  </si>
  <si>
    <t>Walker, Taylor and Coleman</t>
  </si>
  <si>
    <t>Multi-tiered directional open architecture</t>
  </si>
  <si>
    <t>music/indie rock</t>
  </si>
  <si>
    <t>Rodriguez, Rose and Stewart</t>
  </si>
  <si>
    <t>Cloned directional synergy</t>
  </si>
  <si>
    <t>Wright, Hunt and Rowe</t>
  </si>
  <si>
    <t>Extended eco-centric pricing structure</t>
  </si>
  <si>
    <t>technology/wearables</t>
  </si>
  <si>
    <t>Hines Inc</t>
  </si>
  <si>
    <t>Cross-platform systemic adapter</t>
  </si>
  <si>
    <t>publishing/nonfiction</t>
  </si>
  <si>
    <t>Cochran-Nguyen</t>
  </si>
  <si>
    <t>Seamless 4thgeneration methodology</t>
  </si>
  <si>
    <t>film &amp; video/animation</t>
  </si>
  <si>
    <t>Johnson-Gould</t>
  </si>
  <si>
    <t>Exclusive needs-based adapter</t>
  </si>
  <si>
    <t>canceled</t>
  </si>
  <si>
    <t>Perez-Hess</t>
  </si>
  <si>
    <t>Down-sized cohesive archive</t>
  </si>
  <si>
    <t>Reeves, Thompson and Richardson</t>
  </si>
  <si>
    <t>Proactive composite alliance</t>
  </si>
  <si>
    <t>Simmons-Reynolds</t>
  </si>
  <si>
    <t>Re-engineered intangible definition</t>
  </si>
  <si>
    <t>Collier Inc</t>
  </si>
  <si>
    <t>Enhanced dynamic definition</t>
  </si>
  <si>
    <t>Gray-Jenkins</t>
  </si>
  <si>
    <t>Devolved next generation adapter</t>
  </si>
  <si>
    <t>Scott, Wilson and Martin</t>
  </si>
  <si>
    <t>Cross-platform intermediate frame</t>
  </si>
  <si>
    <t>Caldwell, Velazquez and Wilson</t>
  </si>
  <si>
    <t>Monitored impactful analyzer</t>
  </si>
  <si>
    <t>games/video games</t>
  </si>
  <si>
    <t>Spencer-Bates</t>
  </si>
  <si>
    <t>Optional responsive customer loyalty</t>
  </si>
  <si>
    <t>Best, Carr and Williams</t>
  </si>
  <si>
    <t>Diverse transitional migration</t>
  </si>
  <si>
    <t>Campbell, Brown and Powell</t>
  </si>
  <si>
    <t>Synchronized global task-force</t>
  </si>
  <si>
    <t>Johnson, Parker and Haynes</t>
  </si>
  <si>
    <t>Focused 6thgeneration forecast</t>
  </si>
  <si>
    <t>CH</t>
  </si>
  <si>
    <t>CHF</t>
  </si>
  <si>
    <t>film &amp; video/shorts</t>
  </si>
  <si>
    <t>Clark-Cooke</t>
  </si>
  <si>
    <t>Down-sized analyzing challenge</t>
  </si>
  <si>
    <t>Schroeder Ltd</t>
  </si>
  <si>
    <t>Progressive needs-based focus group</t>
  </si>
  <si>
    <t>Jackson PLC</t>
  </si>
  <si>
    <t>Ergonomic 6thgeneration success</t>
  </si>
  <si>
    <t>IT</t>
  </si>
  <si>
    <t>EUR</t>
  </si>
  <si>
    <t>Blair, Collins and Carter</t>
  </si>
  <si>
    <t>Exclusive interactive approach</t>
  </si>
  <si>
    <t>Maldonado and Sons</t>
  </si>
  <si>
    <t>Reverse-engineered asynchronous archive</t>
  </si>
  <si>
    <t>Mitchell and Sons</t>
  </si>
  <si>
    <t>Synergized intangible challenge</t>
  </si>
  <si>
    <t>Jackson-Lewis</t>
  </si>
  <si>
    <t>Monitored multi-state encryption</t>
  </si>
  <si>
    <t>Black, Armstrong and Anderson</t>
  </si>
  <si>
    <t>Profound attitude-oriented functionalities</t>
  </si>
  <si>
    <t>publishing/fiction</t>
  </si>
  <si>
    <t>Maldonado-Gonzalez</t>
  </si>
  <si>
    <t>Digitized client-driven database</t>
  </si>
  <si>
    <t>photography/photography books</t>
  </si>
  <si>
    <t>Kim-Rice</t>
  </si>
  <si>
    <t>Organized bi-directional function</t>
  </si>
  <si>
    <t>Garcia, Garcia and Lopez</t>
  </si>
  <si>
    <t>Reduced stable middleware</t>
  </si>
  <si>
    <t>Watts Group</t>
  </si>
  <si>
    <t>Universal 5thgeneration neural-net</t>
  </si>
  <si>
    <t>Werner-Bryant</t>
  </si>
  <si>
    <t>Virtual uniform frame</t>
  </si>
  <si>
    <t>Schmitt-Mendoza</t>
  </si>
  <si>
    <t>Profound explicit paradigm</t>
  </si>
  <si>
    <t>publishing/radio &amp; podcasts</t>
  </si>
  <si>
    <t>Reid-Mccullough</t>
  </si>
  <si>
    <t>Visionary real-time groupware</t>
  </si>
  <si>
    <t>Woods-Clark</t>
  </si>
  <si>
    <t>Networked tertiary Graphical User Interface</t>
  </si>
  <si>
    <t>Vaughn, Hunt and Caldwell</t>
  </si>
  <si>
    <t>Virtual grid-enabled task-force</t>
  </si>
  <si>
    <t>Bennett and Sons</t>
  </si>
  <si>
    <t>Function-based multi-state software</t>
  </si>
  <si>
    <t>Lamb Inc</t>
  </si>
  <si>
    <t>Optimized leadingedge concept</t>
  </si>
  <si>
    <t>Casey-Kelly</t>
  </si>
  <si>
    <t>Sharable holistic interface</t>
  </si>
  <si>
    <t>Jones, Taylor and Moore</t>
  </si>
  <si>
    <t>Down-sized system-worthy secured line</t>
  </si>
  <si>
    <t>music/metal</t>
  </si>
  <si>
    <t>Bradshaw, Gill and Donovan</t>
  </si>
  <si>
    <t>Inverse secondary infrastructure</t>
  </si>
  <si>
    <t>Hernandez, Rodriguez and Clark</t>
  </si>
  <si>
    <t>Organic foreground leverage</t>
  </si>
  <si>
    <t>Smith-Jones</t>
  </si>
  <si>
    <t>Reverse-engineered static concept</t>
  </si>
  <si>
    <t>Roy PLC</t>
  </si>
  <si>
    <t>Multi-channeled neutral customer loyalty</t>
  </si>
  <si>
    <t>Wright, Brooks and Villarreal</t>
  </si>
  <si>
    <t>Reverse-engineered bifurcated strategy</t>
  </si>
  <si>
    <t>music/jazz</t>
  </si>
  <si>
    <t>Flores, Miller and Johnson</t>
  </si>
  <si>
    <t>Horizontal context-sensitive knowledge user</t>
  </si>
  <si>
    <t>Bridges, Freeman and Kim</t>
  </si>
  <si>
    <t>Cross-group multi-state task-force</t>
  </si>
  <si>
    <t>Anderson-Perez</t>
  </si>
  <si>
    <t>Expanded 3rdgeneration strategy</t>
  </si>
  <si>
    <t>Wright, Fox and Marks</t>
  </si>
  <si>
    <t>Assimilated real-time support</t>
  </si>
  <si>
    <t>Crawford-Peters</t>
  </si>
  <si>
    <t>User-centric regional database</t>
  </si>
  <si>
    <t>Romero-Hoffman</t>
  </si>
  <si>
    <t>Open-source zero administration complexity</t>
  </si>
  <si>
    <t>Sparks-West</t>
  </si>
  <si>
    <t>Organized incremental standardization</t>
  </si>
  <si>
    <t>Baker, Morgan and Brown</t>
  </si>
  <si>
    <t>Assimilated didactic open system</t>
  </si>
  <si>
    <t>Mosley-Gilbert</t>
  </si>
  <si>
    <t>Vision-oriented logistical intranet</t>
  </si>
  <si>
    <t>Berry-Boyer</t>
  </si>
  <si>
    <t>Mandatory incremental projection</t>
  </si>
  <si>
    <t>Sanders-Allen</t>
  </si>
  <si>
    <t>Grass-roots needs-based encryption</t>
  </si>
  <si>
    <t>Lopez Inc</t>
  </si>
  <si>
    <t>Team-oriented 6thgeneration middleware</t>
  </si>
  <si>
    <t>Moreno-Turner</t>
  </si>
  <si>
    <t>Inverse multi-tasking installation</t>
  </si>
  <si>
    <t>Jones-Watson</t>
  </si>
  <si>
    <t>Switchable disintermediate moderator</t>
  </si>
  <si>
    <t>Barker Inc</t>
  </si>
  <si>
    <t>Re-engineered 24/7 task-force</t>
  </si>
  <si>
    <t>Tate, Bass and House</t>
  </si>
  <si>
    <t>Organic object-oriented budgetary management</t>
  </si>
  <si>
    <t>Hampton, Lewis and Ray</t>
  </si>
  <si>
    <t>Seamless coherent parallelism</t>
  </si>
  <si>
    <t>Collins-Goodman</t>
  </si>
  <si>
    <t>Cross-platform even-keeled initiative</t>
  </si>
  <si>
    <t>Davis-Michael</t>
  </si>
  <si>
    <t>Progressive tertiary framework</t>
  </si>
  <si>
    <t>White, Torres and Bishop</t>
  </si>
  <si>
    <t>Multi-layered dynamic protocol</t>
  </si>
  <si>
    <t>Martin, Conway and Larsen</t>
  </si>
  <si>
    <t>Horizontal next generation function</t>
  </si>
  <si>
    <t>Acevedo-Huffman</t>
  </si>
  <si>
    <t>Pre-emptive impactful model</t>
  </si>
  <si>
    <t>Montgomery, Larson and Spencer</t>
  </si>
  <si>
    <t>User-centric bifurcated knowledge user</t>
  </si>
  <si>
    <t>publishing/translations</t>
  </si>
  <si>
    <t>Soto LLC</t>
  </si>
  <si>
    <t>Triple-buffered reciprocal project</t>
  </si>
  <si>
    <t>Sutton, Barrett and Tucker</t>
  </si>
  <si>
    <t>Cross-platform needs-based approach</t>
  </si>
  <si>
    <t>Gomez, Bailey and Flores</t>
  </si>
  <si>
    <t>User-friendly static contingency</t>
  </si>
  <si>
    <t>Porter-George</t>
  </si>
  <si>
    <t>Reactive content-based framework</t>
  </si>
  <si>
    <t>Fitzgerald PLC</t>
  </si>
  <si>
    <t>Realigned user-facing concept</t>
  </si>
  <si>
    <t>Cisneros-Burton</t>
  </si>
  <si>
    <t>Public-key zero tolerance orchestration</t>
  </si>
  <si>
    <t>Hill, Lawson and Wilkinson</t>
  </si>
  <si>
    <t>Multi-tiered eco-centric architecture</t>
  </si>
  <si>
    <t>Davis-Smith</t>
  </si>
  <si>
    <t>Organic motivating firmware</t>
  </si>
  <si>
    <t>Farrell and Sons</t>
  </si>
  <si>
    <t>Synergized 4thgeneration conglomeration</t>
  </si>
  <si>
    <t>Clark Group</t>
  </si>
  <si>
    <t>Grass-roots fault-tolerant policy</t>
  </si>
  <si>
    <t>White, Singleton and Zimmerman</t>
  </si>
  <si>
    <t>Monitored scalable knowledgebase</t>
  </si>
  <si>
    <t>Kramer Group</t>
  </si>
  <si>
    <t>Synergistic explicit parallelism</t>
  </si>
  <si>
    <t>Frazier, Patrick and Smith</t>
  </si>
  <si>
    <t>Enhanced systemic analyzer</t>
  </si>
  <si>
    <t>Santos, Bell and Lloyd</t>
  </si>
  <si>
    <t>Object-based analyzing knowledge user</t>
  </si>
  <si>
    <t>Hall and Sons</t>
  </si>
  <si>
    <t>Pre-emptive radical architecture</t>
  </si>
  <si>
    <t>Hanson Inc</t>
  </si>
  <si>
    <t>Grass-roots web-enabled contingency</t>
  </si>
  <si>
    <t>Sanchez LLC</t>
  </si>
  <si>
    <t>Stand-alone system-worthy standardization</t>
  </si>
  <si>
    <t>Howard Ltd</t>
  </si>
  <si>
    <t>Down-sized systematic policy</t>
  </si>
  <si>
    <t>Stewart LLC</t>
  </si>
  <si>
    <t>Cloned bi-directional architecture</t>
  </si>
  <si>
    <t>Arias, Allen and Miller</t>
  </si>
  <si>
    <t>Seamless transitional portal</t>
  </si>
  <si>
    <t>Baker-Morris</t>
  </si>
  <si>
    <t>Fully-configurable motivating approach</t>
  </si>
  <si>
    <t>Tucker, Fox and Green</t>
  </si>
  <si>
    <t>Upgradable fault-tolerant approach</t>
  </si>
  <si>
    <t>Douglas LLC</t>
  </si>
  <si>
    <t>Reduced heuristic moratorium</t>
  </si>
  <si>
    <t>Garcia Inc</t>
  </si>
  <si>
    <t>Front-line web-enabled model</t>
  </si>
  <si>
    <t>Frye, Hunt and Powell</t>
  </si>
  <si>
    <t>Polarized incremental emulation</t>
  </si>
  <si>
    <t>Smith, Wells and Nguyen</t>
  </si>
  <si>
    <t>Self-enabling grid-enabled initiative</t>
  </si>
  <si>
    <t>Charles-Johnson</t>
  </si>
  <si>
    <t>Total fresh-thinking system engine</t>
  </si>
  <si>
    <t>Brandt, Carter and Wood</t>
  </si>
  <si>
    <t>Ameliorated clear-thinking circuit</t>
  </si>
  <si>
    <t>Tucker, Schmidt and Reid</t>
  </si>
  <si>
    <t>Multi-layered encompassing installation</t>
  </si>
  <si>
    <t>Decker Inc</t>
  </si>
  <si>
    <t>Universal encompassing implementation</t>
  </si>
  <si>
    <t>Romero and Sons</t>
  </si>
  <si>
    <t>Object-based client-server application</t>
  </si>
  <si>
    <t>film &amp; video/television</t>
  </si>
  <si>
    <t>Castillo-Carey</t>
  </si>
  <si>
    <t>Cross-platform solution-oriented process improvement</t>
  </si>
  <si>
    <t>Hart-Briggs</t>
  </si>
  <si>
    <t>Re-engineered user-facing approach</t>
  </si>
  <si>
    <t>Jones-Meyer</t>
  </si>
  <si>
    <t>Re-engineered client-driven hub</t>
  </si>
  <si>
    <t>Wright, Hartman and Yu</t>
  </si>
  <si>
    <t>User-friendly tertiary array</t>
  </si>
  <si>
    <t>Harper-Davis</t>
  </si>
  <si>
    <t>Robust heuristic encoding</t>
  </si>
  <si>
    <t>Barrett PLC</t>
  </si>
  <si>
    <t>Team-oriented clear-thinking capacity</t>
  </si>
  <si>
    <t>David-Clark</t>
  </si>
  <si>
    <t>De-engineered motivating standardization</t>
  </si>
  <si>
    <t>Chaney-Dennis</t>
  </si>
  <si>
    <t>Business-focused 24hour groupware</t>
  </si>
  <si>
    <t>Robinson, Lopez and Christensen</t>
  </si>
  <si>
    <t>Organic next generation protocol</t>
  </si>
  <si>
    <t>Clark and Sons</t>
  </si>
  <si>
    <t>Reverse-engineered full-range Internet solution</t>
  </si>
  <si>
    <t>Vega Group</t>
  </si>
  <si>
    <t>Synchronized regional synergy</t>
  </si>
  <si>
    <t>games/mobile games</t>
  </si>
  <si>
    <t>Brown-Brown</t>
  </si>
  <si>
    <t>Multi-lateral homogeneous success</t>
  </si>
  <si>
    <t>Taylor PLC</t>
  </si>
  <si>
    <t>Seamless zero-defect solution</t>
  </si>
  <si>
    <t>Edwards-Lewis</t>
  </si>
  <si>
    <t>Enhanced scalable concept</t>
  </si>
  <si>
    <t>Stanton, Neal and Rodriguez</t>
  </si>
  <si>
    <t>Polarized uniform software</t>
  </si>
  <si>
    <t>Pratt LLC</t>
  </si>
  <si>
    <t>Stand-alone web-enabled moderator</t>
  </si>
  <si>
    <t>Gross PLC</t>
  </si>
  <si>
    <t>Proactive methodical benchmark</t>
  </si>
  <si>
    <t>Martinez, Gomez and Dalton</t>
  </si>
  <si>
    <t>Team-oriented 6thgeneration matrix</t>
  </si>
  <si>
    <t>Allen-Curtis</t>
  </si>
  <si>
    <t>Phased human-resource core</t>
  </si>
  <si>
    <t>Morgan-Martinez</t>
  </si>
  <si>
    <t>Mandatory tertiary implementation</t>
  </si>
  <si>
    <t>Luna, Anderson and Fox</t>
  </si>
  <si>
    <t>Secured directional encryption</t>
  </si>
  <si>
    <t>Fleming, Zhang and Henderson</t>
  </si>
  <si>
    <t>Distributed 5thgeneration implementation</t>
  </si>
  <si>
    <t>Flowers and Sons</t>
  </si>
  <si>
    <t>Virtual static core</t>
  </si>
  <si>
    <t>Gates PLC</t>
  </si>
  <si>
    <t>Secured content-based product</t>
  </si>
  <si>
    <t>music/world music</t>
  </si>
  <si>
    <t>Caldwell LLC</t>
  </si>
  <si>
    <t>Secured executive concept</t>
  </si>
  <si>
    <t>Le, Burton and Evans</t>
  </si>
  <si>
    <t>Balanced zero-defect software</t>
  </si>
  <si>
    <t>Briggs PLC</t>
  </si>
  <si>
    <t>Distributed context-sensitive flexibility</t>
  </si>
  <si>
    <t>Hudson-Nguyen</t>
  </si>
  <si>
    <t>Down-sized disintermediate support</t>
  </si>
  <si>
    <t>Hogan Ltd</t>
  </si>
  <si>
    <t>Stand-alone mission-critical moratorium</t>
  </si>
  <si>
    <t>Hamilton, Wright and Chavez</t>
  </si>
  <si>
    <t>Down-sized empowering protocol</t>
  </si>
  <si>
    <t>Bautista-Cross</t>
  </si>
  <si>
    <t>Fully-configurable coherent Internet solution</t>
  </si>
  <si>
    <t>Jackson LLC</t>
  </si>
  <si>
    <t>Distributed motivating algorithm</t>
  </si>
  <si>
    <t>Figueroa Ltd</t>
  </si>
  <si>
    <t>Expanded solution-oriented benchmark</t>
  </si>
  <si>
    <t>Avila-Jones</t>
  </si>
  <si>
    <t>Implemented discrete secured line</t>
  </si>
  <si>
    <t>Martin, Lopez and Hunter</t>
  </si>
  <si>
    <t>Multi-lateral actuating installation</t>
  </si>
  <si>
    <t>Fields-Moore</t>
  </si>
  <si>
    <t>Secured reciprocal array</t>
  </si>
  <si>
    <t>Harris-Golden</t>
  </si>
  <si>
    <t>Optional bandwidth-monitored middleware</t>
  </si>
  <si>
    <t>Moss, Norman and Dunlap</t>
  </si>
  <si>
    <t>Upgradable upward-trending workforce</t>
  </si>
  <si>
    <t>White, Larson and Wright</t>
  </si>
  <si>
    <t>Upgradable hybrid capability</t>
  </si>
  <si>
    <t>Payne, Oliver and Burch</t>
  </si>
  <si>
    <t>Managed fresh-thinking flexibility</t>
  </si>
  <si>
    <t>Brown, Palmer and Pace</t>
  </si>
  <si>
    <t>Networked stable workforce</t>
  </si>
  <si>
    <t>Parker LLC</t>
  </si>
  <si>
    <t>Customizable intermediate extranet</t>
  </si>
  <si>
    <t>Bowen, Mcdonald and Hall</t>
  </si>
  <si>
    <t>User-centric fault-tolerant task-force</t>
  </si>
  <si>
    <t>Whitehead, Bell and Hughes</t>
  </si>
  <si>
    <t>Multi-tiered radical definition</t>
  </si>
  <si>
    <t>Rodriguez-Brown</t>
  </si>
  <si>
    <t>Devolved foreground benchmark</t>
  </si>
  <si>
    <t>Hall-Schaefer</t>
  </si>
  <si>
    <t>Distributed eco-centric methodology</t>
  </si>
  <si>
    <t>Meza-Rogers</t>
  </si>
  <si>
    <t>Streamlined encompassing encryption</t>
  </si>
  <si>
    <t>Curtis-Curtis</t>
  </si>
  <si>
    <t>User-friendly reciprocal initiative</t>
  </si>
  <si>
    <t>Carlson Inc</t>
  </si>
  <si>
    <t>Ergonomic fresh-thinking installation</t>
  </si>
  <si>
    <t>Clarke, Anderson and Lee</t>
  </si>
  <si>
    <t>Robust explicit hardware</t>
  </si>
  <si>
    <t>Evans Group</t>
  </si>
  <si>
    <t>Stand-alone actuating support</t>
  </si>
  <si>
    <t>Bruce Group</t>
  </si>
  <si>
    <t>Cross-platform methodical process improvement</t>
  </si>
  <si>
    <t>Keith, Alvarez and Potter</t>
  </si>
  <si>
    <t>Extended bottom-line open architecture</t>
  </si>
  <si>
    <t>Burton-Watkins</t>
  </si>
  <si>
    <t>Extended reciprocal circuit</t>
  </si>
  <si>
    <t>Lopez and Sons</t>
  </si>
  <si>
    <t>Polarized human-resource protocol</t>
  </si>
  <si>
    <t>Cordova Ltd</t>
  </si>
  <si>
    <t>Synergized radical product</t>
  </si>
  <si>
    <t>Brown-Vang</t>
  </si>
  <si>
    <t>Robust heuristic artificial intelligence</t>
  </si>
  <si>
    <t>Cruz-Ward</t>
  </si>
  <si>
    <t>Robust content-based emulation</t>
  </si>
  <si>
    <t>Hernandez Group</t>
  </si>
  <si>
    <t>Ergonomic uniform open system</t>
  </si>
  <si>
    <t>Tran, Steele and Wilson</t>
  </si>
  <si>
    <t>Profit-focused modular product</t>
  </si>
  <si>
    <t>Summers, Gallegos and Stein</t>
  </si>
  <si>
    <t>Mandatory mobile product</t>
  </si>
  <si>
    <t>Blair Group</t>
  </si>
  <si>
    <t>Public-key 3rdgeneration budgetary management</t>
  </si>
  <si>
    <t>Nixon Inc</t>
  </si>
  <si>
    <t>Centralized national firmware</t>
  </si>
  <si>
    <t>White LLC</t>
  </si>
  <si>
    <t>Cross-group 4thgeneration middleware</t>
  </si>
  <si>
    <t>Santos, Black and Donovan</t>
  </si>
  <si>
    <t>Pre-emptive scalable access</t>
  </si>
  <si>
    <t>Jones, Contreras and Burnett</t>
  </si>
  <si>
    <t>Sharable intangible migration</t>
  </si>
  <si>
    <t>Stone-Orozco</t>
  </si>
  <si>
    <t>Proactive scalable Graphical User Interface</t>
  </si>
  <si>
    <t>Lee, Gibson and Morgan</t>
  </si>
  <si>
    <t>Digitized solution-oriented product</t>
  </si>
  <si>
    <t>Alexander-Williams</t>
  </si>
  <si>
    <t>Triple-buffered cohesive structure</t>
  </si>
  <si>
    <t>Marks Ltd</t>
  </si>
  <si>
    <t>Realigned human-resource orchestration</t>
  </si>
  <si>
    <t>Olsen, Edwards and Reid</t>
  </si>
  <si>
    <t>Optional clear-thinking software</t>
  </si>
  <si>
    <t>Daniels, Rose and Tyler</t>
  </si>
  <si>
    <t>Centralized global approach</t>
  </si>
  <si>
    <t>Adams Group</t>
  </si>
  <si>
    <t>Reverse-engineered bandwidth-monitored contingency</t>
  </si>
  <si>
    <t>Rogers, Huerta and Medina</t>
  </si>
  <si>
    <t>Pre-emptive bandwidth-monitored instruction set</t>
  </si>
  <si>
    <t>Howard, Carter and Griffith</t>
  </si>
  <si>
    <t>Adaptive asynchronous emulation</t>
  </si>
  <si>
    <t>Bailey PLC</t>
  </si>
  <si>
    <t>Innovative actuating conglomeration</t>
  </si>
  <si>
    <t>Parker Group</t>
  </si>
  <si>
    <t>Grass-roots foreground policy</t>
  </si>
  <si>
    <t>Fox Group</t>
  </si>
  <si>
    <t>Horizontal transitional paradigm</t>
  </si>
  <si>
    <t>Walker, Jones and Rodriguez</t>
  </si>
  <si>
    <t>Networked didactic info-mediaries</t>
  </si>
  <si>
    <t>Anthony-Shaw</t>
  </si>
  <si>
    <t>Switchable contextually-based access</t>
  </si>
  <si>
    <t>Cook LLC</t>
  </si>
  <si>
    <t>Up-sized dynamic throughput</t>
  </si>
  <si>
    <t>Sutton PLC</t>
  </si>
  <si>
    <t>Mandatory reciprocal superstructure</t>
  </si>
  <si>
    <t>Long, Morgan and Mitchell</t>
  </si>
  <si>
    <t>Upgradable 4thgeneration productivity</t>
  </si>
  <si>
    <t>Calhoun, Rogers and Long</t>
  </si>
  <si>
    <t>Progressive discrete hub</t>
  </si>
  <si>
    <t>Sandoval Group</t>
  </si>
  <si>
    <t>Assimilated multi-tasking archive</t>
  </si>
  <si>
    <t>Smith and Sons</t>
  </si>
  <si>
    <t>Upgradable high-level solution</t>
  </si>
  <si>
    <t>King Inc</t>
  </si>
  <si>
    <t>Organic bandwidth-monitored frame</t>
  </si>
  <si>
    <t>Perry and Sons</t>
  </si>
  <si>
    <t>Business-focused logistical framework</t>
  </si>
  <si>
    <t>Palmer Inc</t>
  </si>
  <si>
    <t>Universal multi-state capability</t>
  </si>
  <si>
    <t>Hull, Baker and Martinez</t>
  </si>
  <si>
    <t>Digitized reciprocal infrastructure</t>
  </si>
  <si>
    <t>Becker, Rice and White</t>
  </si>
  <si>
    <t>Reduced dedicated capability</t>
  </si>
  <si>
    <t>Osborne, Perkins and Knox</t>
  </si>
  <si>
    <t>Cross-platform bi-directional workforce</t>
  </si>
  <si>
    <t>Mcknight-Freeman</t>
  </si>
  <si>
    <t>Upgradable scalable methodology</t>
  </si>
  <si>
    <t>Hayden, Shannon and Stein</t>
  </si>
  <si>
    <t>Customer-focused client-server service-desk</t>
  </si>
  <si>
    <t>Daniel-Luna</t>
  </si>
  <si>
    <t>Mandatory multimedia leverage</t>
  </si>
  <si>
    <t>Weaver-Marquez</t>
  </si>
  <si>
    <t>Focused analyzing circuit</t>
  </si>
  <si>
    <t>Austin, Baker and Kelley</t>
  </si>
  <si>
    <t>Fundamental grid-enabled strategy</t>
  </si>
  <si>
    <t>Carney-Anderson</t>
  </si>
  <si>
    <t>Digitized 5thgeneration knowledgebase</t>
  </si>
  <si>
    <t>Jackson Inc</t>
  </si>
  <si>
    <t>Mandatory multi-tasking encryption</t>
  </si>
  <si>
    <t>Warren Ltd</t>
  </si>
  <si>
    <t>Distributed system-worthy application</t>
  </si>
  <si>
    <t>Schultz Inc</t>
  </si>
  <si>
    <t>Synergistic tertiary time-frame</t>
  </si>
  <si>
    <t>film &amp; video/science fiction</t>
  </si>
  <si>
    <t>Thompson LLC</t>
  </si>
  <si>
    <t>Customer-focused impactful benchmark</t>
  </si>
  <si>
    <t>Johnson Inc</t>
  </si>
  <si>
    <t>Profound next generation infrastructure</t>
  </si>
  <si>
    <t>Morgan-Warren</t>
  </si>
  <si>
    <t>Face-to-face encompassing info-mediaries</t>
  </si>
  <si>
    <t>Sullivan Group</t>
  </si>
  <si>
    <t>Open-source fresh-thinking policy</t>
  </si>
  <si>
    <t>Vargas, Banks and Palmer</t>
  </si>
  <si>
    <t>Extended 24/7 implementation</t>
  </si>
  <si>
    <t>Johnson, Dixon and Zimmerman</t>
  </si>
  <si>
    <t>Organic dynamic algorithm</t>
  </si>
  <si>
    <t>Moore, Dudley and Navarro</t>
  </si>
  <si>
    <t>Organic multi-tasking focus group</t>
  </si>
  <si>
    <t>Price-Rodriguez</t>
  </si>
  <si>
    <t>Adaptive logistical initiative</t>
  </si>
  <si>
    <t>Huang-Henderson</t>
  </si>
  <si>
    <t>Stand-alone mobile customer loyalty</t>
  </si>
  <si>
    <t>Owens-Le</t>
  </si>
  <si>
    <t>Focused composite approach</t>
  </si>
  <si>
    <t>Huff LLC</t>
  </si>
  <si>
    <t>Face-to-face clear-thinking Local Area Network</t>
  </si>
  <si>
    <t>Johnson LLC</t>
  </si>
  <si>
    <t>Cross-group cohesive circuit</t>
  </si>
  <si>
    <t>Chavez, Garcia and Cantu</t>
  </si>
  <si>
    <t>Synergistic explicit capability</t>
  </si>
  <si>
    <t>Lester-Moore</t>
  </si>
  <si>
    <t>Diverse analyzing definition</t>
  </si>
  <si>
    <t>Fox-Quinn</t>
  </si>
  <si>
    <t>Enterprise-wide reciprocal success</t>
  </si>
  <si>
    <t>Progressive neutral middleware</t>
  </si>
  <si>
    <t>Johnson-Lee</t>
  </si>
  <si>
    <t>Intuitive exuding process improvement</t>
  </si>
  <si>
    <t>Pineda Group</t>
  </si>
  <si>
    <t>Exclusive real-time protocol</t>
  </si>
  <si>
    <t>Hoffman-Howard</t>
  </si>
  <si>
    <t>Extended encompassing application</t>
  </si>
  <si>
    <t>Miranda, Hall and Mcgrath</t>
  </si>
  <si>
    <t>Progressive value-added ability</t>
  </si>
  <si>
    <t>Williams, Carter and Gonzalez</t>
  </si>
  <si>
    <t>Cross-platform uniform hardware</t>
  </si>
  <si>
    <t>Davis-Rodriguez</t>
  </si>
  <si>
    <t>Progressive secondary portal</t>
  </si>
  <si>
    <t>Reid, Rivera and Perry</t>
  </si>
  <si>
    <t>Multi-lateral national adapter</t>
  </si>
  <si>
    <t>Mendoza-Parker</t>
  </si>
  <si>
    <t>Enterprise-wide motivating matrices</t>
  </si>
  <si>
    <t>Lee, Ali and Guzman</t>
  </si>
  <si>
    <t>Polarized upward-trending Local Area Network</t>
  </si>
  <si>
    <t>Gallegos-Cobb</t>
  </si>
  <si>
    <t>Object-based directional function</t>
  </si>
  <si>
    <t>Ellison PLC</t>
  </si>
  <si>
    <t>Re-contextualized tangible open architecture</t>
  </si>
  <si>
    <t>Bolton, Sanchez and Carrillo</t>
  </si>
  <si>
    <t>Distributed systemic adapter</t>
  </si>
  <si>
    <t>Mason-Sanders</t>
  </si>
  <si>
    <t>Networked web-enabled instruction set</t>
  </si>
  <si>
    <t>Pitts-Reed</t>
  </si>
  <si>
    <t>Vision-oriented dynamic service-desk</t>
  </si>
  <si>
    <t>Gonzalez-Martinez</t>
  </si>
  <si>
    <t>Vision-oriented actuating open system</t>
  </si>
  <si>
    <t>Hill, Martin and Garcia</t>
  </si>
  <si>
    <t>Sharable scalable core</t>
  </si>
  <si>
    <t>Garcia PLC</t>
  </si>
  <si>
    <t>Customer-focused attitude-oriented function</t>
  </si>
  <si>
    <t>Herring-Bailey</t>
  </si>
  <si>
    <t>Reverse-engineered system-worthy extranet</t>
  </si>
  <si>
    <t>Russell-Gardner</t>
  </si>
  <si>
    <t>Re-engineered systematic monitoring</t>
  </si>
  <si>
    <t>Walters-Carter</t>
  </si>
  <si>
    <t>Seamless value-added standardization</t>
  </si>
  <si>
    <t>Johnson, Patterson and Montoya</t>
  </si>
  <si>
    <t>Triple-buffered fresh-thinking frame</t>
  </si>
  <si>
    <t>Roberts and Sons</t>
  </si>
  <si>
    <t>Streamlined holistic knowledgebase</t>
  </si>
  <si>
    <t>Avila-Nelson</t>
  </si>
  <si>
    <t>Up-sized intermediate website</t>
  </si>
  <si>
    <t>Robbins and Sons</t>
  </si>
  <si>
    <t>Future-proofed directional synergy</t>
  </si>
  <si>
    <t>Singleton Ltd</t>
  </si>
  <si>
    <t>Enhanced user-facing function</t>
  </si>
  <si>
    <t>Perez PLC</t>
  </si>
  <si>
    <t>Operative bandwidth-monitored interface</t>
  </si>
  <si>
    <t>Rogers, Jacobs and Jackson</t>
  </si>
  <si>
    <t>Upgradable multi-state instruction set</t>
  </si>
  <si>
    <t>Barry Group</t>
  </si>
  <si>
    <t>De-engineered static Local Area Network</t>
  </si>
  <si>
    <t>Rosales, Branch and Harmon</t>
  </si>
  <si>
    <t>Upgradable grid-enabled superstructure</t>
  </si>
  <si>
    <t>Smith-Reid</t>
  </si>
  <si>
    <t>Optimized actuating toolset</t>
  </si>
  <si>
    <t>Williams Inc</t>
  </si>
  <si>
    <t>Decentralized exuding strategy</t>
  </si>
  <si>
    <t>Duncan, Mcdonald and Miller</t>
  </si>
  <si>
    <t>Assimilated coherent hardware</t>
  </si>
  <si>
    <t>Watkins Ltd</t>
  </si>
  <si>
    <t>Multi-channeled responsive implementation</t>
  </si>
  <si>
    <t>Allen-Jones</t>
  </si>
  <si>
    <t>Centralized modular initiative</t>
  </si>
  <si>
    <t>Mason-Smith</t>
  </si>
  <si>
    <t>Reverse-engineered cohesive migration</t>
  </si>
  <si>
    <t>Lloyd, Kennedy and Davis</t>
  </si>
  <si>
    <t>Compatible multimedia hub</t>
  </si>
  <si>
    <t>Walker Ltd</t>
  </si>
  <si>
    <t>Organic eco-centric success</t>
  </si>
  <si>
    <t>Gordon PLC</t>
  </si>
  <si>
    <t>Virtual reciprocal policy</t>
  </si>
  <si>
    <t>Lee and Sons</t>
  </si>
  <si>
    <t>Persevering interactive emulation</t>
  </si>
  <si>
    <t>Cole LLC</t>
  </si>
  <si>
    <t>Proactive responsive emulation</t>
  </si>
  <si>
    <t>Acosta PLC</t>
  </si>
  <si>
    <t>Extended eco-centric function</t>
  </si>
  <si>
    <t>Brown-Mckee</t>
  </si>
  <si>
    <t>Networked optimal productivity</t>
  </si>
  <si>
    <t>Miles and Sons</t>
  </si>
  <si>
    <t>Persistent attitude-oriented approach</t>
  </si>
  <si>
    <t>Sawyer, Horton and Williams</t>
  </si>
  <si>
    <t>Triple-buffered 4thgeneration toolset</t>
  </si>
  <si>
    <t>Foley-Cox</t>
  </si>
  <si>
    <t>Progressive zero administration leverage</t>
  </si>
  <si>
    <t>Horton, Morrison and Clark</t>
  </si>
  <si>
    <t>Networked radical neural-net</t>
  </si>
  <si>
    <t>Thomas and Sons</t>
  </si>
  <si>
    <t>Re-engineered heuristic forecast</t>
  </si>
  <si>
    <t>Morgan-Jenkins</t>
  </si>
  <si>
    <t>Fully-configurable background algorithm</t>
  </si>
  <si>
    <t>Ward, Sanchez and Kemp</t>
  </si>
  <si>
    <t>Stand-alone discrete Graphical User Interface</t>
  </si>
  <si>
    <t>Fields Ltd</t>
  </si>
  <si>
    <t>Front-line foreground project</t>
  </si>
  <si>
    <t>Ramos-Mitchell</t>
  </si>
  <si>
    <t>Persevering system-worthy info-mediaries</t>
  </si>
  <si>
    <t>Higgins, Davis and Salazar</t>
  </si>
  <si>
    <t>Distributed multi-tasking strategy</t>
  </si>
  <si>
    <t>Smith-Jenkins</t>
  </si>
  <si>
    <t>Vision-oriented methodical application</t>
  </si>
  <si>
    <t>Braun PLC</t>
  </si>
  <si>
    <t>Function-based high-level infrastructure</t>
  </si>
  <si>
    <t>Drake PLC</t>
  </si>
  <si>
    <t>Profound object-oriented paradigm</t>
  </si>
  <si>
    <t>Ross, Kelly and Brown</t>
  </si>
  <si>
    <t>Virtual contextually-based circuit</t>
  </si>
  <si>
    <t>Lucas-Mullins</t>
  </si>
  <si>
    <t>Business-focused dynamic instruction set</t>
  </si>
  <si>
    <t>Tran LLC</t>
  </si>
  <si>
    <t>Ameliorated fresh-thinking protocol</t>
  </si>
  <si>
    <t>Dawson, Brady and Gilbert</t>
  </si>
  <si>
    <t>Front-line optimizing emulation</t>
  </si>
  <si>
    <t>Obrien-Aguirre</t>
  </si>
  <si>
    <t>Devolved uniform complexity</t>
  </si>
  <si>
    <t>Ferguson PLC</t>
  </si>
  <si>
    <t>Public-key intangible superstructure</t>
  </si>
  <si>
    <t>Garcia Ltd</t>
  </si>
  <si>
    <t>Secured global success</t>
  </si>
  <si>
    <t>Smith, Love and Smith</t>
  </si>
  <si>
    <t>Grass-roots mission-critical capability</t>
  </si>
  <si>
    <t>Wilson, Hall and Osborne</t>
  </si>
  <si>
    <t>Advanced global data-warehouse</t>
  </si>
  <si>
    <t>Bell, Grimes and Kerr</t>
  </si>
  <si>
    <t>Self-enabling uniform complexity</t>
  </si>
  <si>
    <t>Ho-Harris</t>
  </si>
  <si>
    <t>Versatile cohesive encoding</t>
  </si>
  <si>
    <t>Ross Group</t>
  </si>
  <si>
    <t>Organized executive solution</t>
  </si>
  <si>
    <t>Turner-Davis</t>
  </si>
  <si>
    <t>Automated local emulation</t>
  </si>
  <si>
    <t>Smith, Jackson and Herrera</t>
  </si>
  <si>
    <t>Enterprise-wide intermediate middleware</t>
  </si>
  <si>
    <t>Smith-Hess</t>
  </si>
  <si>
    <t>Grass-roots real-time Local Area Network</t>
  </si>
  <si>
    <t>Brown, Herring and Bass</t>
  </si>
  <si>
    <t>Organized client-driven capacity</t>
  </si>
  <si>
    <t>Chase, Garcia and Johnson</t>
  </si>
  <si>
    <t>Adaptive intangible database</t>
  </si>
  <si>
    <t>Ramsey and Sons</t>
  </si>
  <si>
    <t>Grass-roots contextually-based algorithm</t>
  </si>
  <si>
    <t>Cooke PLC</t>
  </si>
  <si>
    <t>Focused executive core</t>
  </si>
  <si>
    <t>Wong-Walker</t>
  </si>
  <si>
    <t>Multi-channeled disintermediate policy</t>
  </si>
  <si>
    <t>Ferguson, Collins and Mata</t>
  </si>
  <si>
    <t>Customizable bi-directional hardware</t>
  </si>
  <si>
    <t>Guerrero, Flores and Jenkins</t>
  </si>
  <si>
    <t>Networked optimal architecture</t>
  </si>
  <si>
    <t>Peterson PLC</t>
  </si>
  <si>
    <t>User-friendly discrete benchmark</t>
  </si>
  <si>
    <t>Townsend Ltd</t>
  </si>
  <si>
    <t>Grass-roots actuating policy</t>
  </si>
  <si>
    <t>Rush, Reed and Hall</t>
  </si>
  <si>
    <t>Enterprise-wide 3rdgeneration knowledge user</t>
  </si>
  <si>
    <t>Salazar-Dodson</t>
  </si>
  <si>
    <t>Face-to-face zero tolerance moderator</t>
  </si>
  <si>
    <t>Davis Ltd</t>
  </si>
  <si>
    <t>Grass-roots optimizing projection</t>
  </si>
  <si>
    <t>Harris-Perry</t>
  </si>
  <si>
    <t>User-centric 6thgeneration attitude</t>
  </si>
  <si>
    <t>Velazquez, Hunt and Ortiz</t>
  </si>
  <si>
    <t>Switchable zero tolerance website</t>
  </si>
  <si>
    <t>Flores PLC</t>
  </si>
  <si>
    <t>Focused real-time help-desk</t>
  </si>
  <si>
    <t>Martinez LLC</t>
  </si>
  <si>
    <t>Robust impactful approach</t>
  </si>
  <si>
    <t>Miller-Irwin</t>
  </si>
  <si>
    <t>Secured maximized policy</t>
  </si>
  <si>
    <t>Sanchez-Morgan</t>
  </si>
  <si>
    <t>Realigned upward-trending strategy</t>
  </si>
  <si>
    <t>Lopez, Adams and Johnson</t>
  </si>
  <si>
    <t>Open-source interactive knowledge user</t>
  </si>
  <si>
    <t>Martin-Marshall</t>
  </si>
  <si>
    <t>Configurable demand-driven matrix</t>
  </si>
  <si>
    <t>Summers PLC</t>
  </si>
  <si>
    <t>Cross-group coherent hierarchy</t>
  </si>
  <si>
    <t>Young, Hart and Ryan</t>
  </si>
  <si>
    <t>Decentralized demand-driven open system</t>
  </si>
  <si>
    <t>Mills Group</t>
  </si>
  <si>
    <t>Advanced empowering matrix</t>
  </si>
  <si>
    <t>Sandoval-Powell</t>
  </si>
  <si>
    <t>Phased holistic implementation</t>
  </si>
  <si>
    <t>Mills, Frazier and Perez</t>
  </si>
  <si>
    <t>Proactive attitude-oriented knowledge user</t>
  </si>
  <si>
    <t>Hebert Group</t>
  </si>
  <si>
    <t>Visionary asymmetric Graphical User Interface</t>
  </si>
  <si>
    <t>Cole, Smith and Wood</t>
  </si>
  <si>
    <t>Integrated zero-defect help-desk</t>
  </si>
  <si>
    <t>Harris, Hall and Harris</t>
  </si>
  <si>
    <t>Inverse analyzing matrices</t>
  </si>
  <si>
    <t>Saunders Group</t>
  </si>
  <si>
    <t>Programmable systemic implementation</t>
  </si>
  <si>
    <t>Pham, Avila and Nash</t>
  </si>
  <si>
    <t>Multi-channeled next generation architecture</t>
  </si>
  <si>
    <t>Patterson, Salinas and Lucas</t>
  </si>
  <si>
    <t>Digitized 3rdgeneration encoding</t>
  </si>
  <si>
    <t>Young PLC</t>
  </si>
  <si>
    <t>Innovative well-modulated functionalities</t>
  </si>
  <si>
    <t>Willis and Sons</t>
  </si>
  <si>
    <t>Fundamental incremental database</t>
  </si>
  <si>
    <t>Thompson-Bates</t>
  </si>
  <si>
    <t>Expanded encompassing open architecture</t>
  </si>
  <si>
    <t>Rose-Silva</t>
  </si>
  <si>
    <t>Intuitive static portal</t>
  </si>
  <si>
    <t>Pacheco, Johnson and Torres</t>
  </si>
  <si>
    <t>Optional bandwidth-monitored definition</t>
  </si>
  <si>
    <t>Carlson, Dixon and Jones</t>
  </si>
  <si>
    <t>Persistent well-modulated synergy</t>
  </si>
  <si>
    <t>Mcgee Group</t>
  </si>
  <si>
    <t>Assimilated discrete algorithm</t>
  </si>
  <si>
    <t>Jordan-Acosta</t>
  </si>
  <si>
    <t>Operative uniform hub</t>
  </si>
  <si>
    <t>Nunez Inc</t>
  </si>
  <si>
    <t>Customizable intangible capability</t>
  </si>
  <si>
    <t>Hayden Ltd</t>
  </si>
  <si>
    <t>Innovative didactic analyzer</t>
  </si>
  <si>
    <t>Gonzalez-Burton</t>
  </si>
  <si>
    <t>Decentralized intangible encoding</t>
  </si>
  <si>
    <t>Lewis, Taylor and Rivers</t>
  </si>
  <si>
    <t>Front-line transitional algorithm</t>
  </si>
  <si>
    <t>Butler, Henry and Espinoza</t>
  </si>
  <si>
    <t>Switchable didactic matrices</t>
  </si>
  <si>
    <t>Guzman Group</t>
  </si>
  <si>
    <t>Ameliorated disintermediate utilization</t>
  </si>
  <si>
    <t>Gibson-Hernandez</t>
  </si>
  <si>
    <t>Visionary foreground middleware</t>
  </si>
  <si>
    <t>Spencer-Weber</t>
  </si>
  <si>
    <t>Optional zero-defect task-force</t>
  </si>
  <si>
    <t>Berger, Johnson and Marshall</t>
  </si>
  <si>
    <t>Devolved exuding emulation</t>
  </si>
  <si>
    <t>Taylor, Cisneros and Romero</t>
  </si>
  <si>
    <t>Open-source neutral task-force</t>
  </si>
  <si>
    <t>Little-Marsh</t>
  </si>
  <si>
    <t>Virtual attitude-oriented migration</t>
  </si>
  <si>
    <t>Petersen and Sons</t>
  </si>
  <si>
    <t>Open-source full-range portal</t>
  </si>
  <si>
    <t>Hensley Ltd</t>
  </si>
  <si>
    <t>Versatile cohesive open system</t>
  </si>
  <si>
    <t>Navarro and Sons</t>
  </si>
  <si>
    <t>Multi-layered bottom-line frame</t>
  </si>
  <si>
    <t>Shannon Ltd</t>
  </si>
  <si>
    <t>Pre-emptive neutral capacity</t>
  </si>
  <si>
    <t>Young LLC</t>
  </si>
  <si>
    <t>Universal maximized methodology</t>
  </si>
  <si>
    <t>Adams, Willis and Sanchez</t>
  </si>
  <si>
    <t>Expanded hybrid hardware</t>
  </si>
  <si>
    <t>Mills-Roy</t>
  </si>
  <si>
    <t>Profit-focused multi-tasking access</t>
  </si>
  <si>
    <t>Brown Group</t>
  </si>
  <si>
    <t>Profit-focused transitional capability</t>
  </si>
  <si>
    <t>Burns-Burnett</t>
  </si>
  <si>
    <t>Front-line scalable definition</t>
  </si>
  <si>
    <t>Glass, Nunez and Mcdonald</t>
  </si>
  <si>
    <t>Open-source systematic protocol</t>
  </si>
  <si>
    <t>Perez, Davis and Wilson</t>
  </si>
  <si>
    <t>Implemented tangible algorithm</t>
  </si>
  <si>
    <t>Diaz-Garcia</t>
  </si>
  <si>
    <t>Profit-focused 3rdgeneration circuit</t>
  </si>
  <si>
    <t>Salazar-Moon</t>
  </si>
  <si>
    <t>Compatible needs-based architecture</t>
  </si>
  <si>
    <t>Larsen-Chung</t>
  </si>
  <si>
    <t>Right-sized zero tolerance migration</t>
  </si>
  <si>
    <t>Anderson and Sons</t>
  </si>
  <si>
    <t>Quality-focused reciprocal structure</t>
  </si>
  <si>
    <t>Lawrence Group</t>
  </si>
  <si>
    <t>Automated actuating conglomeration</t>
  </si>
  <si>
    <t>Gray-Davis</t>
  </si>
  <si>
    <t>Re-contextualized local initiative</t>
  </si>
  <si>
    <t>Ramirez-Myers</t>
  </si>
  <si>
    <t>Switchable intangible definition</t>
  </si>
  <si>
    <t>Lucas, Hall and Bonilla</t>
  </si>
  <si>
    <t>Networked bottom-line initiative</t>
  </si>
  <si>
    <t>Williams, Perez and Villegas</t>
  </si>
  <si>
    <t>Robust directional system engine</t>
  </si>
  <si>
    <t>Brooks, Jones and Ingram</t>
  </si>
  <si>
    <t>Triple-buffered explicit methodology</t>
  </si>
  <si>
    <t>Whitaker, Wallace and Daniels</t>
  </si>
  <si>
    <t>Reactive directional capacity</t>
  </si>
  <si>
    <t>Smith-Gonzalez</t>
  </si>
  <si>
    <t>Polarized needs-based approach</t>
  </si>
  <si>
    <t>Skinner PLC</t>
  </si>
  <si>
    <t>Intuitive well-modulated middleware</t>
  </si>
  <si>
    <t>Nolan, Smith and Sanchez</t>
  </si>
  <si>
    <t>Multi-channeled logistical matrices</t>
  </si>
  <si>
    <t>Green-Carr</t>
  </si>
  <si>
    <t>Pre-emptive bifurcated artificial intelligence</t>
  </si>
  <si>
    <t>Brown-Parker</t>
  </si>
  <si>
    <t>Down-sized coherent toolset</t>
  </si>
  <si>
    <t>Marshall Inc</t>
  </si>
  <si>
    <t>Open-source multi-tasking data-warehouse</t>
  </si>
  <si>
    <t>Leblanc-Pineda</t>
  </si>
  <si>
    <t>Future-proofed upward-trending contingency</t>
  </si>
  <si>
    <t>Perry PLC</t>
  </si>
  <si>
    <t>Mandatory uniform matrix</t>
  </si>
  <si>
    <t>Klein, Stark and Livingston</t>
  </si>
  <si>
    <t>Phased methodical initiative</t>
  </si>
  <si>
    <t>Fleming-Oliver</t>
  </si>
  <si>
    <t>Managed stable function</t>
  </si>
  <si>
    <t>Reilly, Aguirre and Johnson</t>
  </si>
  <si>
    <t>Realigned clear-thinking migration</t>
  </si>
  <si>
    <t>Davidson, Wilcox and Lewis</t>
  </si>
  <si>
    <t>Optional clear-thinking process improvement</t>
  </si>
  <si>
    <t>Michael, Anderson and Vincent</t>
  </si>
  <si>
    <t>Cross-group global moratorium</t>
  </si>
  <si>
    <t>King Ltd</t>
  </si>
  <si>
    <t>Visionary systemic process improvement</t>
  </si>
  <si>
    <t>Baker Ltd</t>
  </si>
  <si>
    <t>Progressive intangible flexibility</t>
  </si>
  <si>
    <t>Baker, Collins and Smith</t>
  </si>
  <si>
    <t>Reactive real-time software</t>
  </si>
  <si>
    <t>Warren-Harrison</t>
  </si>
  <si>
    <t>Programmable incremental knowledge user</t>
  </si>
  <si>
    <t>Gardner Group</t>
  </si>
  <si>
    <t>Progressive 5thgeneration customer loyalty</t>
  </si>
  <si>
    <t>Flores-Lambert</t>
  </si>
  <si>
    <t>Triple-buffered logistical frame</t>
  </si>
  <si>
    <t>Cruz Ltd</t>
  </si>
  <si>
    <t>Exclusive dynamic adapter</t>
  </si>
  <si>
    <t>Knox-Garner</t>
  </si>
  <si>
    <t>Automated systemic hierarchy</t>
  </si>
  <si>
    <t>Davis-Allen</t>
  </si>
  <si>
    <t>Digitized eco-centric core</t>
  </si>
  <si>
    <t>Miller-Patel</t>
  </si>
  <si>
    <t>Mandatory uniform strategy</t>
  </si>
  <si>
    <t>Hernandez-Grimes</t>
  </si>
  <si>
    <t>Profit-focused zero administration forecast</t>
  </si>
  <si>
    <t>Owens, Hall and Gonzalez</t>
  </si>
  <si>
    <t>De-engineered static orchestration</t>
  </si>
  <si>
    <t>Noble-Bailey</t>
  </si>
  <si>
    <t>Customizable dynamic info-mediaries</t>
  </si>
  <si>
    <t>Enhanced incremental budgetary management</t>
  </si>
  <si>
    <t>Holmes PLC</t>
  </si>
  <si>
    <t>Digitized local info-mediaries</t>
  </si>
  <si>
    <t>Jones-Martin</t>
  </si>
  <si>
    <t>Virtual systematic monitoring</t>
  </si>
  <si>
    <t>Myers LLC</t>
  </si>
  <si>
    <t>Reactive bottom-line open architecture</t>
  </si>
  <si>
    <t>Acosta, Mullins and Morris</t>
  </si>
  <si>
    <t>Pre-emptive interactive model</t>
  </si>
  <si>
    <t>Bell PLC</t>
  </si>
  <si>
    <t>Ergonomic eco-centric open architecture</t>
  </si>
  <si>
    <t>Smith-Schmidt</t>
  </si>
  <si>
    <t>Inverse radical hierarchy</t>
  </si>
  <si>
    <t>Ruiz, Richardson and Cole</t>
  </si>
  <si>
    <t>Team-oriented static interface</t>
  </si>
  <si>
    <t>Leonard-Mcclain</t>
  </si>
  <si>
    <t>Virtual foreground throughput</t>
  </si>
  <si>
    <t>Bailey-Boyer</t>
  </si>
  <si>
    <t>Visionary exuding Internet solution</t>
  </si>
  <si>
    <t>Lee LLC</t>
  </si>
  <si>
    <t>Synchronized secondary analyzer</t>
  </si>
  <si>
    <t>Lyons Inc</t>
  </si>
  <si>
    <t>Balanced attitude-oriented parallelism</t>
  </si>
  <si>
    <t>Herrera-Wilson</t>
  </si>
  <si>
    <t>Organized bandwidth-monitored core</t>
  </si>
  <si>
    <t>Mahoney, Adams and Lucas</t>
  </si>
  <si>
    <t>Cloned leadingedge utilization</t>
  </si>
  <si>
    <t>Secured asymmetric projection</t>
  </si>
  <si>
    <t>Mcmillan Group</t>
  </si>
  <si>
    <t>Advanced cohesive Graphic Interface</t>
  </si>
  <si>
    <t>Beck, Thompson and Martinez</t>
  </si>
  <si>
    <t>Down-sized maximized function</t>
  </si>
  <si>
    <t>Rodriguez-Scott</t>
  </si>
  <si>
    <t>Realigned zero tolerance software</t>
  </si>
  <si>
    <t>Rush-Bowers</t>
  </si>
  <si>
    <t>Persevering analyzing extranet</t>
  </si>
  <si>
    <t>Davis and Sons</t>
  </si>
  <si>
    <t>Innovative human-resource migration</t>
  </si>
  <si>
    <t>Anderson-Pham</t>
  </si>
  <si>
    <t>Intuitive needs-based monitoring</t>
  </si>
  <si>
    <t>Stewart-Coleman</t>
  </si>
  <si>
    <t>Customer-focused disintermediate toolset</t>
  </si>
  <si>
    <t>Bradshaw, Smith and Ryan</t>
  </si>
  <si>
    <t>Upgradable 24/7 emulation</t>
  </si>
  <si>
    <t>Quality-focused client-server core</t>
  </si>
  <si>
    <t>Ware-Arias</t>
  </si>
  <si>
    <t>Upgradable maximized protocol</t>
  </si>
  <si>
    <t>Blair, Reyes and Woods</t>
  </si>
  <si>
    <t>Cross-platform interactive synergy</t>
  </si>
  <si>
    <t>Thomas-Lopez</t>
  </si>
  <si>
    <t>User-centric fault-tolerant archive</t>
  </si>
  <si>
    <t>Brown, Davies and Pacheco</t>
  </si>
  <si>
    <t>Reverse-engineered regional knowledge user</t>
  </si>
  <si>
    <t>Jones-Riddle</t>
  </si>
  <si>
    <t>Self-enabling real-time definition</t>
  </si>
  <si>
    <t>Schmidt-Gomez</t>
  </si>
  <si>
    <t>User-centric impactful projection</t>
  </si>
  <si>
    <t>Sullivan, Davis and Booth</t>
  </si>
  <si>
    <t>Vision-oriented actuating hardware</t>
  </si>
  <si>
    <t>Edwards-Kane</t>
  </si>
  <si>
    <t>Virtual leadingedge framework</t>
  </si>
  <si>
    <t>Hicks, Wall and Webb</t>
  </si>
  <si>
    <t>Managed discrete framework</t>
  </si>
  <si>
    <t>Mayer-Richmond</t>
  </si>
  <si>
    <t>Progressive zero-defect capability</t>
  </si>
  <si>
    <t>Robles Ltd</t>
  </si>
  <si>
    <t>Right-sized demand-driven adapter</t>
  </si>
  <si>
    <t>Cochran Ltd</t>
  </si>
  <si>
    <t>Re-engineered attitude-oriented frame</t>
  </si>
  <si>
    <t>Rosales LLC</t>
  </si>
  <si>
    <t>Compatible multimedia utilization</t>
  </si>
  <si>
    <t>Harper-Bryan</t>
  </si>
  <si>
    <t>Re-contextualized dedicated hardware</t>
  </si>
  <si>
    <t>Potter, Harper and Everett</t>
  </si>
  <si>
    <t>Decentralized composite paradigm</t>
  </si>
  <si>
    <t>Floyd-Sims</t>
  </si>
  <si>
    <t>Cloned transitional hierarchy</t>
  </si>
  <si>
    <t>Spence, Jackson and Kelly</t>
  </si>
  <si>
    <t>Advanced discrete leverage</t>
  </si>
  <si>
    <t>King-Nguyen</t>
  </si>
  <si>
    <t>Open-source incremental throughput</t>
  </si>
  <si>
    <t>Hansen Group</t>
  </si>
  <si>
    <t>Centralized regional interface</t>
  </si>
  <si>
    <t>Mathis, Hall and Hansen</t>
  </si>
  <si>
    <t>Streamlined web-enabled knowledgebase</t>
  </si>
  <si>
    <t>Cummings Inc</t>
  </si>
  <si>
    <t>Digitized transitional monitoring</t>
  </si>
  <si>
    <t>Miller-Poole</t>
  </si>
  <si>
    <t>Networked optimal adapter</t>
  </si>
  <si>
    <t>Rodriguez-West</t>
  </si>
  <si>
    <t>Automated optimal function</t>
  </si>
  <si>
    <t>Calderon, Bradford and Dean</t>
  </si>
  <si>
    <t>Devolved system-worthy framework</t>
  </si>
  <si>
    <t>Clark-Bowman</t>
  </si>
  <si>
    <t>Stand-alone user-facing service-desk</t>
  </si>
  <si>
    <t>Versatile global attitude</t>
  </si>
  <si>
    <t>Anderson-Pearson</t>
  </si>
  <si>
    <t>Intuitive demand-driven Local Area Network</t>
  </si>
  <si>
    <t>Martin, Martin and Solis</t>
  </si>
  <si>
    <t>Assimilated uniform methodology</t>
  </si>
  <si>
    <t>Harrington-Harper</t>
  </si>
  <si>
    <t>Self-enabling next generation algorithm</t>
  </si>
  <si>
    <t>Price and Sons</t>
  </si>
  <si>
    <t>Object-based demand-driven strategy</t>
  </si>
  <si>
    <t>Cuevas-Morales</t>
  </si>
  <si>
    <t>Public-key coherent ability</t>
  </si>
  <si>
    <t>Delgado-Hatfield</t>
  </si>
  <si>
    <t>Up-sized composite success</t>
  </si>
  <si>
    <t>Padilla-Porter</t>
  </si>
  <si>
    <t>Innovative exuding matrix</t>
  </si>
  <si>
    <t>Morris Group</t>
  </si>
  <si>
    <t>Realigned impactful artificial intelligence</t>
  </si>
  <si>
    <t>Saunders Ltd</t>
  </si>
  <si>
    <t>Multi-layered multi-tasking secured line</t>
  </si>
  <si>
    <t>Woods Inc</t>
  </si>
  <si>
    <t>Upgradable upward-trending portal</t>
  </si>
  <si>
    <t>Villanueva, Wright and Richardson</t>
  </si>
  <si>
    <t>Profit-focused global product</t>
  </si>
  <si>
    <t>Wilson, Brooks and Clark</t>
  </si>
  <si>
    <t>Operative well-modulated data-warehouse</t>
  </si>
  <si>
    <t>Sheppard, Smith and Spence</t>
  </si>
  <si>
    <t>Cloned asymmetric functionalities</t>
  </si>
  <si>
    <t>Wise, Thompson and Allen</t>
  </si>
  <si>
    <t>Pre-emptive neutral portal</t>
  </si>
  <si>
    <t>Lane, Ryan and Chapman</t>
  </si>
  <si>
    <t>Switchable demand-driven help-desk</t>
  </si>
  <si>
    <t>Rich, Alvarez and King</t>
  </si>
  <si>
    <t>Business-focused static ability</t>
  </si>
  <si>
    <t>Terry-Salinas</t>
  </si>
  <si>
    <t>Networked secondary structure</t>
  </si>
  <si>
    <t>Wang-Rodriguez</t>
  </si>
  <si>
    <t>Total multimedia website</t>
  </si>
  <si>
    <t>Mckee-Hill</t>
  </si>
  <si>
    <t>Cross-platform upward-trending parallelism</t>
  </si>
  <si>
    <t>Gomez LLC</t>
  </si>
  <si>
    <t>Pre-emptive mission-critical hardware</t>
  </si>
  <si>
    <t>Gonzalez-Robbins</t>
  </si>
  <si>
    <t>Up-sized responsive protocol</t>
  </si>
  <si>
    <t>Obrien and Sons</t>
  </si>
  <si>
    <t>Pre-emptive transitional frame</t>
  </si>
  <si>
    <t>Shaw Ltd</t>
  </si>
  <si>
    <t>Profit-focused content-based application</t>
  </si>
  <si>
    <t>Hughes Inc</t>
  </si>
  <si>
    <t>Streamlined neutral analyzer</t>
  </si>
  <si>
    <t>Olsen-Ryan</t>
  </si>
  <si>
    <t>Assimilated neutral utilization</t>
  </si>
  <si>
    <t>Grimes, Holland and Sloan</t>
  </si>
  <si>
    <t>Extended dedicated archive</t>
  </si>
  <si>
    <t>Configurable static help-desk</t>
  </si>
  <si>
    <t>Turner, Young and Collins</t>
  </si>
  <si>
    <t>Self-enabling clear-thinking framework</t>
  </si>
  <si>
    <t>Richardson Inc</t>
  </si>
  <si>
    <t>Assimilated fault-tolerant capacity</t>
  </si>
  <si>
    <t>Santos-Young</t>
  </si>
  <si>
    <t>Enhanced neutral ability</t>
  </si>
  <si>
    <t>Nichols Ltd</t>
  </si>
  <si>
    <t>Function-based attitude-oriented groupware</t>
  </si>
  <si>
    <t>Murphy PLC</t>
  </si>
  <si>
    <t>Optional solution-oriented instruction set</t>
  </si>
  <si>
    <t>Hogan, Porter and Rivera</t>
  </si>
  <si>
    <t>Organic object-oriented core</t>
  </si>
  <si>
    <t>Lyons LLC</t>
  </si>
  <si>
    <t>Balanced impactful circuit</t>
  </si>
  <si>
    <t>Long-Greene</t>
  </si>
  <si>
    <t>Future-proofed heuristic encryption</t>
  </si>
  <si>
    <t>Robles-Hudson</t>
  </si>
  <si>
    <t>Balanced bifurcated leverage</t>
  </si>
  <si>
    <t>Mcclure LLC</t>
  </si>
  <si>
    <t>Sharable discrete budgetary management</t>
  </si>
  <si>
    <t>Martin, Russell and Baker</t>
  </si>
  <si>
    <t>Focused solution-oriented instruction set</t>
  </si>
  <si>
    <t>Rice-Parker</t>
  </si>
  <si>
    <t>Down-sized actuating infrastructure</t>
  </si>
  <si>
    <t>Landry Inc</t>
  </si>
  <si>
    <t>Synergistic cohesive adapter</t>
  </si>
  <si>
    <t>Richards-Davis</t>
  </si>
  <si>
    <t>Quality-focused mission-critical structure</t>
  </si>
  <si>
    <t>Davis, Cox and Fox</t>
  </si>
  <si>
    <t>Compatible exuding Graphical User Interface</t>
  </si>
  <si>
    <t>Smith-Wallace</t>
  </si>
  <si>
    <t>Monitored 24/7 time-frame</t>
  </si>
  <si>
    <t>Cordova, Shaw and Wang</t>
  </si>
  <si>
    <t>Virtual secondary open architecture</t>
  </si>
  <si>
    <t>Clark Inc</t>
  </si>
  <si>
    <t>Down-sized mobile time-frame</t>
  </si>
  <si>
    <t>Young and Sons</t>
  </si>
  <si>
    <t>Innovative disintermediate encryption</t>
  </si>
  <si>
    <t>journalism/audio</t>
  </si>
  <si>
    <t>Henson PLC</t>
  </si>
  <si>
    <t>Universal contextually-based knowledgebase</t>
  </si>
  <si>
    <t>Garcia Group</t>
  </si>
  <si>
    <t>Persevering interactive matrix</t>
  </si>
  <si>
    <t>Adams, Walker and Wong</t>
  </si>
  <si>
    <t>Seamless background framework</t>
  </si>
  <si>
    <t>Hopkins-Browning</t>
  </si>
  <si>
    <t>Balanced upward-trending productivity</t>
  </si>
  <si>
    <t>Bell, Edwards and Andersen</t>
  </si>
  <si>
    <t>Centralized clear-thinking solution</t>
  </si>
  <si>
    <t>Morales Group</t>
  </si>
  <si>
    <t>Optimized bi-directional extranet</t>
  </si>
  <si>
    <t>Lucero Group</t>
  </si>
  <si>
    <t>Intuitive actuating benchmark</t>
  </si>
  <si>
    <t>Smith, Brown and Davis</t>
  </si>
  <si>
    <t>Devolved background project</t>
  </si>
  <si>
    <t>Hunt Group</t>
  </si>
  <si>
    <t>Reverse-engineered executive emulation</t>
  </si>
  <si>
    <t>Valdez Ltd</t>
  </si>
  <si>
    <t>Team-oriented clear-thinking matrix</t>
  </si>
  <si>
    <t>Mccann-Le</t>
  </si>
  <si>
    <t>Focused coherent methodology</t>
  </si>
  <si>
    <t>Reduced context-sensitive complexity</t>
  </si>
  <si>
    <t>Collins LLC</t>
  </si>
  <si>
    <t>Decentralized 4thgeneration time-frame</t>
  </si>
  <si>
    <t>Smith-Miller</t>
  </si>
  <si>
    <t>De-engineered cohesive moderator</t>
  </si>
  <si>
    <t>Jensen-Vargas</t>
  </si>
  <si>
    <t>Ameliorated explicit parallelism</t>
  </si>
  <si>
    <t>Robles, Bell and Gonzalez</t>
  </si>
  <si>
    <t>Customizable background monitoring</t>
  </si>
  <si>
    <t>Turner, Miller and Francis</t>
  </si>
  <si>
    <t>Compatible well-modulated budgetary management</t>
  </si>
  <si>
    <t>Roberts Group</t>
  </si>
  <si>
    <t>Up-sized radical pricing structure</t>
  </si>
  <si>
    <t>Robust zero-defect project</t>
  </si>
  <si>
    <t>Best, Miller and Thomas</t>
  </si>
  <si>
    <t>Re-engineered mobile task-force</t>
  </si>
  <si>
    <t>Smith-Mullins</t>
  </si>
  <si>
    <t>User-centric intangible neural-net</t>
  </si>
  <si>
    <t>Williams-Walsh</t>
  </si>
  <si>
    <t>Organized explicit core</t>
  </si>
  <si>
    <t>Harrison, Blackwell and Mendez</t>
  </si>
  <si>
    <t>Synchronized 6thgeneration adapter</t>
  </si>
  <si>
    <t>Sanchez, Bradley and Flores</t>
  </si>
  <si>
    <t>Centralized motivating capacity</t>
  </si>
  <si>
    <t>Cox LLC</t>
  </si>
  <si>
    <t>Phased 24hour flexibility</t>
  </si>
  <si>
    <t>Morales-Odonnell</t>
  </si>
  <si>
    <t>Exclusive 5thgeneration structure</t>
  </si>
  <si>
    <t>Ramirez LLC</t>
  </si>
  <si>
    <t>Multi-tiered maximized orchestration</t>
  </si>
  <si>
    <t>Ramirez Group</t>
  </si>
  <si>
    <t>Open-architected uniform instruction set</t>
  </si>
  <si>
    <t>Marsh-Coleman</t>
  </si>
  <si>
    <t>Exclusive asymmetric analyzer</t>
  </si>
  <si>
    <t>Frederick, Jenkins and Collins</t>
  </si>
  <si>
    <t>Organic radical collaboration</t>
  </si>
  <si>
    <t>Wilson Ltd</t>
  </si>
  <si>
    <t>Cline, Peterson and Lowery</t>
  </si>
  <si>
    <t>Innovative static budgetary management</t>
  </si>
  <si>
    <t>Underwood, James and Jones</t>
  </si>
  <si>
    <t>Triple-buffered holistic ability</t>
  </si>
  <si>
    <t>Johnson-Contreras</t>
  </si>
  <si>
    <t>Diverse scalable superstructure</t>
  </si>
  <si>
    <t>Greene, Lloyd and Sims</t>
  </si>
  <si>
    <t>Balanced leadingedge data-warehouse</t>
  </si>
  <si>
    <t>Smith-Sparks</t>
  </si>
  <si>
    <t>Digitized bandwidth-monitored open architecture</t>
  </si>
  <si>
    <t>Rosario-Smith</t>
  </si>
  <si>
    <t>Enterprise-wide intermediate portal</t>
  </si>
  <si>
    <t>Avila, Ford and Welch</t>
  </si>
  <si>
    <t>Focused leadingedge matrix</t>
  </si>
  <si>
    <t>Gallegos Inc</t>
  </si>
  <si>
    <t>Seamless logistical encryption</t>
  </si>
  <si>
    <t>Morrow, Santiago and Soto</t>
  </si>
  <si>
    <t>Stand-alone human-resource workforce</t>
  </si>
  <si>
    <t>Berry-Richardson</t>
  </si>
  <si>
    <t>Automated zero tolerance implementation</t>
  </si>
  <si>
    <t>Cordova-Torres</t>
  </si>
  <si>
    <t>Pre-emptive grid-enabled contingency</t>
  </si>
  <si>
    <t>Holt, Bernard and Johnson</t>
  </si>
  <si>
    <t>Multi-lateral didactic encoding</t>
  </si>
  <si>
    <t>Clark, Mccormick and Mendoza</t>
  </si>
  <si>
    <t>Self-enabling didactic orchestration</t>
  </si>
  <si>
    <t>Garrison LLC</t>
  </si>
  <si>
    <t>Profit-focused 24/7 data-warehouse</t>
  </si>
  <si>
    <t>Shannon-Olson</t>
  </si>
  <si>
    <t>Enhanced methodical middleware</t>
  </si>
  <si>
    <t>Murillo-Mcfarland</t>
  </si>
  <si>
    <t>Synchronized client-driven projection</t>
  </si>
  <si>
    <t>Young, Gilbert and Escobar</t>
  </si>
  <si>
    <t>Networked didactic time-frame</t>
  </si>
  <si>
    <t>Thomas, Welch and Santana</t>
  </si>
  <si>
    <t>Assimilated exuding toolset</t>
  </si>
  <si>
    <t>Brown-Pena</t>
  </si>
  <si>
    <t>Front-line client-server secured line</t>
  </si>
  <si>
    <t>Holder, Caldwell and Vance</t>
  </si>
  <si>
    <t>Polarized systemic Internet solution</t>
  </si>
  <si>
    <t>Harrison-Bridges</t>
  </si>
  <si>
    <t>Profit-focused exuding moderator</t>
  </si>
  <si>
    <t>Johnson, Murphy and Peterson</t>
  </si>
  <si>
    <t>Cross-group high-level moderator</t>
  </si>
  <si>
    <t>Taylor Inc</t>
  </si>
  <si>
    <t>Public-key 3rdgeneration system engine</t>
  </si>
  <si>
    <t>Deleon and Sons</t>
  </si>
  <si>
    <t>Organized value-added access</t>
  </si>
  <si>
    <t>Benjamin, Paul and Ferguson</t>
  </si>
  <si>
    <t>Cloned global Graphical User Interface</t>
  </si>
  <si>
    <t>Hardin-Dixon</t>
  </si>
  <si>
    <t>Focused solution-oriented matrix</t>
  </si>
  <si>
    <t>York-Pitts</t>
  </si>
  <si>
    <t>Monitored discrete toolset</t>
  </si>
  <si>
    <t>Jarvis and Sons</t>
  </si>
  <si>
    <t>Business-focused intermediate system engine</t>
  </si>
  <si>
    <t>Morrison-Henderson</t>
  </si>
  <si>
    <t>De-engineered disintermediate encoding</t>
  </si>
  <si>
    <t>Martin-James</t>
  </si>
  <si>
    <t>Streamlined upward-trending analyzer</t>
  </si>
  <si>
    <t>Mercer, Solomon and Singleton</t>
  </si>
  <si>
    <t>Distributed human-resource policy</t>
  </si>
  <si>
    <t>Dougherty, Austin and Mills</t>
  </si>
  <si>
    <t>De-engineered 5thgeneration contingency</t>
  </si>
  <si>
    <t>Ritter PLC</t>
  </si>
  <si>
    <t>Multi-channeled upward-trending application</t>
  </si>
  <si>
    <t>Anderson Group</t>
  </si>
  <si>
    <t>Organic maximized database</t>
  </si>
  <si>
    <t>Grass-roots 24/7 attitude</t>
  </si>
  <si>
    <t>Lam-Hamilton</t>
  </si>
  <si>
    <t>Team-oriented global strategy</t>
  </si>
  <si>
    <t>Ho Ltd</t>
  </si>
  <si>
    <t>Enhanced client-driven capacity</t>
  </si>
  <si>
    <t>Brown, Estrada and Jensen</t>
  </si>
  <si>
    <t>Exclusive systematic productivity</t>
  </si>
  <si>
    <t>Hunt LLC</t>
  </si>
  <si>
    <t>Re-engineered radical policy</t>
  </si>
  <si>
    <t>Fowler-Smith</t>
  </si>
  <si>
    <t>Down-sized logistical adapter</t>
  </si>
  <si>
    <t>Blair Inc</t>
  </si>
  <si>
    <t>Configurable bandwidth-monitored throughput</t>
  </si>
  <si>
    <t>Kelley, Stanton and Sanchez</t>
  </si>
  <si>
    <t>Optional tangible pricing structure</t>
  </si>
  <si>
    <t>Hernandez-Macdonald</t>
  </si>
  <si>
    <t>Organic high-level implementation</t>
  </si>
  <si>
    <t>Joseph LLC</t>
  </si>
  <si>
    <t>Decentralized logistical collaboration</t>
  </si>
  <si>
    <t>Webb-Smith</t>
  </si>
  <si>
    <t>Advanced content-based installation</t>
  </si>
  <si>
    <t>Johns PLC</t>
  </si>
  <si>
    <t>Distributed high-level open architecture</t>
  </si>
  <si>
    <t>Hardin-Foley</t>
  </si>
  <si>
    <t>Synergized zero tolerance help-desk</t>
  </si>
  <si>
    <t>Fischer, Fowler and Arnold</t>
  </si>
  <si>
    <t>Extended multi-tasking definition</t>
  </si>
  <si>
    <t>Martinez-Juarez</t>
  </si>
  <si>
    <t>Realigned uniform knowledge user</t>
  </si>
  <si>
    <t>Wilson and Sons</t>
  </si>
  <si>
    <t>Monitored grid-enabled model</t>
  </si>
  <si>
    <t>Clements Group</t>
  </si>
  <si>
    <t>Assimilated actuating policy</t>
  </si>
  <si>
    <t>Valenzuela-Cook</t>
  </si>
  <si>
    <t>Total incremental productivity</t>
  </si>
  <si>
    <t>Parker, Haley and Foster</t>
  </si>
  <si>
    <t>Adaptive local task-force</t>
  </si>
  <si>
    <t>Fuentes LLC</t>
  </si>
  <si>
    <t>Universal zero-defect concept</t>
  </si>
  <si>
    <t>Moran and Sons</t>
  </si>
  <si>
    <t>Object-based bottom-line superstructure</t>
  </si>
  <si>
    <t>Stevens Inc</t>
  </si>
  <si>
    <t>Adaptive 24hour projection</t>
  </si>
  <si>
    <t>Martinez-Johnson</t>
  </si>
  <si>
    <t>Sharable radical toolset</t>
  </si>
  <si>
    <t>Franklin Inc</t>
  </si>
  <si>
    <t>Focused multimedia knowledgebase</t>
  </si>
  <si>
    <t>Seamless 6thgeneration extranet</t>
  </si>
  <si>
    <t>Sanchez, Cross and Savage</t>
  </si>
  <si>
    <t>Sharable mobile knowledgebase</t>
  </si>
  <si>
    <t>Pineda Ltd</t>
  </si>
  <si>
    <t>Cross-group global system engine</t>
  </si>
  <si>
    <t>Powell and Sons</t>
  </si>
  <si>
    <t>Centralized clear-thinking conglomeration</t>
  </si>
  <si>
    <t>De-engineered cohesive system engine</t>
  </si>
  <si>
    <t>Pugh LLC</t>
  </si>
  <si>
    <t>Reactive analyzing function</t>
  </si>
  <si>
    <t>Rowe-Wong</t>
  </si>
  <si>
    <t>Robust hybrid budgetary management</t>
  </si>
  <si>
    <t>Williams-Santos</t>
  </si>
  <si>
    <t>Open-source analyzing monitoring</t>
  </si>
  <si>
    <t>Weber Inc</t>
  </si>
  <si>
    <t>Up-sized discrete firmware</t>
  </si>
  <si>
    <t>Avery, Brown and Parker</t>
  </si>
  <si>
    <t>Exclusive intangible extranet</t>
  </si>
  <si>
    <t>Cox Group</t>
  </si>
  <si>
    <t>Synergized analyzing process improvement</t>
  </si>
  <si>
    <t>Jensen LLC</t>
  </si>
  <si>
    <t>Realigned dedicated system engine</t>
  </si>
  <si>
    <t>Brown Inc</t>
  </si>
  <si>
    <t>Object-based bandwidth-monitored concept</t>
  </si>
  <si>
    <t>Hale-Hayes</t>
  </si>
  <si>
    <t>Ameliorated client-driven open system</t>
  </si>
  <si>
    <t>Mcbride PLC</t>
  </si>
  <si>
    <t>Upgradable leadingedge Local Area Network</t>
  </si>
  <si>
    <t>Harris-Jennings</t>
  </si>
  <si>
    <t>Customizable intermediate data-warehouse</t>
  </si>
  <si>
    <t>Becker-Scott</t>
  </si>
  <si>
    <t>Managed optimizing archive</t>
  </si>
  <si>
    <t>Todd, Freeman and Henry</t>
  </si>
  <si>
    <t>Diverse systematic projection</t>
  </si>
  <si>
    <t>Martinez, Garza and Young</t>
  </si>
  <si>
    <t>Up-sized web-enabled info-mediaries</t>
  </si>
  <si>
    <t>Smith-Ramos</t>
  </si>
  <si>
    <t>Persevering optimizing Graphical User Interface</t>
  </si>
  <si>
    <t>Brown-George</t>
  </si>
  <si>
    <t>Cross-platform tertiary array</t>
  </si>
  <si>
    <t>Waters and Sons</t>
  </si>
  <si>
    <t>Inverse neutral structure</t>
  </si>
  <si>
    <t>Brown Ltd</t>
  </si>
  <si>
    <t>Quality-focused system-worthy support</t>
  </si>
  <si>
    <t>Christian, Yates and Greer</t>
  </si>
  <si>
    <t>Vision-oriented 5thgeneration array</t>
  </si>
  <si>
    <t>Cole, Hernandez and Rodriguez</t>
  </si>
  <si>
    <t>Cross-platform logistical circuit</t>
  </si>
  <si>
    <t>Ortiz, Valenzuela and Collins</t>
  </si>
  <si>
    <t>Profound solution-oriented matrix</t>
  </si>
  <si>
    <t>Valencia PLC</t>
  </si>
  <si>
    <t>Extended asynchronous initiative</t>
  </si>
  <si>
    <t>Gordon, Mendez and Johnson</t>
  </si>
  <si>
    <t>Fundamental needs-based frame</t>
  </si>
  <si>
    <t>Johnson Group</t>
  </si>
  <si>
    <t>Compatible full-range leverage</t>
  </si>
  <si>
    <t>Rose-Fuller</t>
  </si>
  <si>
    <t>Upgradable holistic system engine</t>
  </si>
  <si>
    <t>Hughes, Mendez and Patterson</t>
  </si>
  <si>
    <t>Stand-alone multi-state data-warehouse</t>
  </si>
  <si>
    <t>Brady, Cortez and Rodriguez</t>
  </si>
  <si>
    <t>Multi-lateral maximized core</t>
  </si>
  <si>
    <t>Wang, Nguyen and Horton</t>
  </si>
  <si>
    <t>Innovative holistic hub</t>
  </si>
  <si>
    <t>Santos, Williams and Brown</t>
  </si>
  <si>
    <t>Reverse-engineered 24/7 methodology</t>
  </si>
  <si>
    <t>Barnett and Sons</t>
  </si>
  <si>
    <t>Business-focused dynamic info-mediaries</t>
  </si>
  <si>
    <t>Petersen-Rodriguez</t>
  </si>
  <si>
    <t>Digitized clear-thinking installation</t>
  </si>
  <si>
    <t>Burnett-Mora</t>
  </si>
  <si>
    <t>Quality-focused 24/7 superstructure</t>
  </si>
  <si>
    <t>King LLC</t>
  </si>
  <si>
    <t>Multi-channeled local intranet</t>
  </si>
  <si>
    <t>Miller Ltd</t>
  </si>
  <si>
    <t>Open-architected mobile emulation</t>
  </si>
  <si>
    <t>Case LLC</t>
  </si>
  <si>
    <t>Ameliorated foreground methodology</t>
  </si>
  <si>
    <t>Swanson, Wilson and Baker</t>
  </si>
  <si>
    <t>Synergized well-modulated project</t>
  </si>
  <si>
    <t>Dean, Fox and Phillips</t>
  </si>
  <si>
    <t>Extended context-sensitive forecast</t>
  </si>
  <si>
    <t>Smith-Smith</t>
  </si>
  <si>
    <t>Total leadingedge neural-net</t>
  </si>
  <si>
    <t>Smith, Scott and Rodriguez</t>
  </si>
  <si>
    <t>Organic actuating protocol</t>
  </si>
  <si>
    <t>White, Robertson and Roberts</t>
  </si>
  <si>
    <t>Down-sized national software</t>
  </si>
  <si>
    <t>Martinez Inc</t>
  </si>
  <si>
    <t>Organic upward-trending Graphical User Interface</t>
  </si>
  <si>
    <t>Tucker, Mccoy and Marquez</t>
  </si>
  <si>
    <t>Synergistic tertiary budgetary management</t>
  </si>
  <si>
    <t>Martin, Lee and Armstrong</t>
  </si>
  <si>
    <t>Open-architected incremental ability</t>
  </si>
  <si>
    <t>Dunn, Moreno and Green</t>
  </si>
  <si>
    <t>Intuitive object-oriented task-force</t>
  </si>
  <si>
    <t>Jackson, Martinez and Ray</t>
  </si>
  <si>
    <t>Multi-tiered executive toolset</t>
  </si>
  <si>
    <t>Patterson-Johnson</t>
  </si>
  <si>
    <t>Grass-roots directional workforce</t>
  </si>
  <si>
    <t>Carlson-Hernandez</t>
  </si>
  <si>
    <t>Quality-focused real-time solution</t>
  </si>
  <si>
    <t>Parker PLC</t>
  </si>
  <si>
    <t>Reduced interactive matrix</t>
  </si>
  <si>
    <t>Yu and Sons</t>
  </si>
  <si>
    <t>Adaptive context-sensitive architecture</t>
  </si>
  <si>
    <t>Taylor, Johnson and Hernandez</t>
  </si>
  <si>
    <t>Polarized incremental portal</t>
  </si>
  <si>
    <t>Mack Ltd</t>
  </si>
  <si>
    <t>Reactive regional access</t>
  </si>
  <si>
    <t>Lamb-Sanders</t>
  </si>
  <si>
    <t>Stand-alone reciprocal frame</t>
  </si>
  <si>
    <t>Williams-Ramirez</t>
  </si>
  <si>
    <t>Open-architected 24/7 throughput</t>
  </si>
  <si>
    <t>Weaver Ltd</t>
  </si>
  <si>
    <t>Monitored 24/7 approach</t>
  </si>
  <si>
    <t>Barnes-Williams</t>
  </si>
  <si>
    <t>Upgradable explicit forecast</t>
  </si>
  <si>
    <t>Richardson, Woodward and Hansen</t>
  </si>
  <si>
    <t>Pre-emptive context-sensitive support</t>
  </si>
  <si>
    <t>Hunt, Barker and Baker</t>
  </si>
  <si>
    <t>Business-focused leadingedge instruction set</t>
  </si>
  <si>
    <t>Ramos, Moreno and Lewis</t>
  </si>
  <si>
    <t>Extended multi-state knowledge user</t>
  </si>
  <si>
    <t>Harris Inc</t>
  </si>
  <si>
    <t>Future-proofed modular groupware</t>
  </si>
  <si>
    <t>Peters-Nelson</t>
  </si>
  <si>
    <t>Distributed real-time algorithm</t>
  </si>
  <si>
    <t>Ferguson, Murphy and Bright</t>
  </si>
  <si>
    <t>Multi-lateral heuristic throughput</t>
  </si>
  <si>
    <t>Robinson Group</t>
  </si>
  <si>
    <t>Switchable reciprocal middleware</t>
  </si>
  <si>
    <t>Jordan-Wolfe</t>
  </si>
  <si>
    <t>Inverse multimedia Graphic Interface</t>
  </si>
  <si>
    <t>Vargas-Cox</t>
  </si>
  <si>
    <t>Vision-oriented local contingency</t>
  </si>
  <si>
    <t>Yang and Sons</t>
  </si>
  <si>
    <t>Reactive 6thgeneration hub</t>
  </si>
  <si>
    <t>Wilson, Wilson and Mathis</t>
  </si>
  <si>
    <t>Optional asymmetric success</t>
  </si>
  <si>
    <t>Wang, Koch and Weaver</t>
  </si>
  <si>
    <t>Digitized analyzing capacity</t>
  </si>
  <si>
    <t>Cisneros Ltd</t>
  </si>
  <si>
    <t>Vision-oriented regional hub</t>
  </si>
  <si>
    <t>Williams-Jones</t>
  </si>
  <si>
    <t>Monitored incremental info-mediaries</t>
  </si>
  <si>
    <t>Roberts, Hinton and Williams</t>
  </si>
  <si>
    <t>Programmable static middleware</t>
  </si>
  <si>
    <t>Gonzalez, Williams and Benson</t>
  </si>
  <si>
    <t>Multi-layered bottom-line encryption</t>
  </si>
  <si>
    <t>Hobbs, Brown and Lee</t>
  </si>
  <si>
    <t>Vision-oriented systematic Graphical User Interface</t>
  </si>
  <si>
    <t>Russo, Kim and Mccoy</t>
  </si>
  <si>
    <t>Balanced optimal hardware</t>
  </si>
  <si>
    <t>Howell, Myers and Olson</t>
  </si>
  <si>
    <t>Self-enabling mission-critical success</t>
  </si>
  <si>
    <t>Bailey and Sons</t>
  </si>
  <si>
    <t>Grass-roots dynamic emulation</t>
  </si>
  <si>
    <t>Jensen-Brown</t>
  </si>
  <si>
    <t>Fundamental disintermediate matrix</t>
  </si>
  <si>
    <t>Smith Group</t>
  </si>
  <si>
    <t>Right-sized secondary challenge</t>
  </si>
  <si>
    <t>Murphy-Farrell</t>
  </si>
  <si>
    <t>Implemented exuding software</t>
  </si>
  <si>
    <t>Everett-Wolfe</t>
  </si>
  <si>
    <t>Total optimizing software</t>
  </si>
  <si>
    <t>Optional maximized attitude</t>
  </si>
  <si>
    <t>Park-Goodman</t>
  </si>
  <si>
    <t>Customer-focused impactful extranet</t>
  </si>
  <si>
    <t>York, Barr and Grant</t>
  </si>
  <si>
    <t>Cloned bottom-line success</t>
  </si>
  <si>
    <t>Little Ltd</t>
  </si>
  <si>
    <t>Decentralized bandwidth-monitored ability</t>
  </si>
  <si>
    <t>Brown and Sons</t>
  </si>
  <si>
    <t>Programmable leadingedge budgetary management</t>
  </si>
  <si>
    <t>Payne, Garrett and Thomas</t>
  </si>
  <si>
    <t>Upgradable bi-directional concept</t>
  </si>
  <si>
    <t>Re-contextualized homogeneous flexibility</t>
  </si>
  <si>
    <t>Robinson-Kelly</t>
  </si>
  <si>
    <t>Monitored bi-directional standardization</t>
  </si>
  <si>
    <t>Kelly-Colon</t>
  </si>
  <si>
    <t>Stand-alone grid-enabled leverage</t>
  </si>
  <si>
    <t>Turner, Scott and Gentry</t>
  </si>
  <si>
    <t>Assimilated regional groupware</t>
  </si>
  <si>
    <t>Sanchez Ltd</t>
  </si>
  <si>
    <t>Up-sized 24hour instruction set</t>
  </si>
  <si>
    <t>Giles-Smith</t>
  </si>
  <si>
    <t>Right-sized web-enabled intranet</t>
  </si>
  <si>
    <t>Thompson-Moreno</t>
  </si>
  <si>
    <t>Expanded needs-based orchestration</t>
  </si>
  <si>
    <t>Murphy-Fox</t>
  </si>
  <si>
    <t>Organic system-worthy orchestration</t>
  </si>
  <si>
    <t>Rodriguez-Patterson</t>
  </si>
  <si>
    <t>Inverse static standardization</t>
  </si>
  <si>
    <t>Synchronized motivating solution</t>
  </si>
  <si>
    <t>Nelson-Valdez</t>
  </si>
  <si>
    <t>Open-source 4thgeneration open system</t>
  </si>
  <si>
    <t>Kelly PLC</t>
  </si>
  <si>
    <t>Decentralized context-sensitive superstructure</t>
  </si>
  <si>
    <t>Nguyen and Sons</t>
  </si>
  <si>
    <t>Compatible 5thgeneration concept</t>
  </si>
  <si>
    <t>Jones PLC</t>
  </si>
  <si>
    <t>Virtual systemic intranet</t>
  </si>
  <si>
    <t>Gilmore LLC</t>
  </si>
  <si>
    <t>Optimized systemic algorithm</t>
  </si>
  <si>
    <t>Lee-Cobb</t>
  </si>
  <si>
    <t>Customizable homogeneous firmware</t>
  </si>
  <si>
    <t>Jones, Wiley and Robbins</t>
  </si>
  <si>
    <t>Front-line cohesive extranet</t>
  </si>
  <si>
    <t>Martin, Gates and Holt</t>
  </si>
  <si>
    <t>Distributed holistic neural-net</t>
  </si>
  <si>
    <t>Bowen, Davies and Burns</t>
  </si>
  <si>
    <t>Devolved client-server monitoring</t>
  </si>
  <si>
    <t>Nguyen Inc</t>
  </si>
  <si>
    <t>Seamless directional capacity</t>
  </si>
  <si>
    <t>Walsh-Watts</t>
  </si>
  <si>
    <t>Polarized actuating implementation</t>
  </si>
  <si>
    <t>Ray, Li and Li</t>
  </si>
  <si>
    <t>Front-line disintermediate hub</t>
  </si>
  <si>
    <t>Murray Ltd</t>
  </si>
  <si>
    <t>Decentralized 4thgeneration challenge</t>
  </si>
  <si>
    <t>Bradford-Silva</t>
  </si>
  <si>
    <t>Reverse-engineered composite hierarchy</t>
  </si>
  <si>
    <t>Mora-Bradley</t>
  </si>
  <si>
    <t>Programmable tangible ability</t>
  </si>
  <si>
    <t>Cardenas, Thompson and Carey</t>
  </si>
  <si>
    <t>Configurable full-range emulation</t>
  </si>
  <si>
    <t>Lopez, Reid and Johnson</t>
  </si>
  <si>
    <t>Total real-time hardware</t>
  </si>
  <si>
    <t>Fox-Williams</t>
  </si>
  <si>
    <t>Profound system-worthy functionalities</t>
  </si>
  <si>
    <t>Taylor, Wood and Taylor</t>
  </si>
  <si>
    <t>Cloned hybrid focus group</t>
  </si>
  <si>
    <t>Ergonomic dedicated focus group</t>
  </si>
  <si>
    <t>Cole, Petty and Cameron</t>
  </si>
  <si>
    <t>Realigned zero administration paradigm</t>
  </si>
  <si>
    <t>Mcclain LLC</t>
  </si>
  <si>
    <t>Open-source multi-tasking methodology</t>
  </si>
  <si>
    <t>Sims-Gross</t>
  </si>
  <si>
    <t>Object-based attitude-oriented analyzer</t>
  </si>
  <si>
    <t>Perez Group</t>
  </si>
  <si>
    <t>Cross-platform tertiary hub</t>
  </si>
  <si>
    <t>Haynes-Williams</t>
  </si>
  <si>
    <t>Seamless clear-thinking artificial intelligence</t>
  </si>
  <si>
    <t>Ford LLC</t>
  </si>
  <si>
    <t>Centralized tangible success</t>
  </si>
  <si>
    <t>Moreno Ltd</t>
  </si>
  <si>
    <t>Customer-focused multimedia methodology</t>
  </si>
  <si>
    <t>Moore, Cook and Wright</t>
  </si>
  <si>
    <t>Visionary maximized Local Area Network</t>
  </si>
  <si>
    <t>Ortega LLC</t>
  </si>
  <si>
    <t>Secured bifurcated intranet</t>
  </si>
  <si>
    <t>Silva, Walker and Martin</t>
  </si>
  <si>
    <t>Grass-roots 4thgeneration product</t>
  </si>
  <si>
    <t>Huynh, Gallegos and Mills</t>
  </si>
  <si>
    <t>Reduced next generation info-mediaries</t>
  </si>
  <si>
    <t>Anderson LLC</t>
  </si>
  <si>
    <t>Customizable full-range artificial intelligence</t>
  </si>
  <si>
    <t>Garza-Bryant</t>
  </si>
  <si>
    <t>Programmable leadingedge contingency</t>
  </si>
  <si>
    <t>Mays LLC</t>
  </si>
  <si>
    <t>Multi-layered global groupware</t>
  </si>
  <si>
    <t>Evans-Jones</t>
  </si>
  <si>
    <t>Switchable methodical superstructure</t>
  </si>
  <si>
    <t>Fischer, Torres and Walker</t>
  </si>
  <si>
    <t>Expanded even-keeled portal</t>
  </si>
  <si>
    <t>Tapia, Kramer and Hicks</t>
  </si>
  <si>
    <t>Advanced modular moderator</t>
  </si>
  <si>
    <t>Barnes, Wilcox and Riley</t>
  </si>
  <si>
    <t>Reverse-engineered well-modulated ability</t>
  </si>
  <si>
    <t>Reyes PLC</t>
  </si>
  <si>
    <t>Expanded optimal pricing structure</t>
  </si>
  <si>
    <t>Pace, Simpson and Watkins</t>
  </si>
  <si>
    <t>Down-sized uniform ability</t>
  </si>
  <si>
    <t>Valenzuela, Davidson and Castro</t>
  </si>
  <si>
    <t>Multi-layered upward-trending conglomeration</t>
  </si>
  <si>
    <t>Dominguez-Owens</t>
  </si>
  <si>
    <t>Open-architected systematic intranet</t>
  </si>
  <si>
    <t>Thomas-Simmons</t>
  </si>
  <si>
    <t>Proactive 24hour frame</t>
  </si>
  <si>
    <t>Beck-Knight</t>
  </si>
  <si>
    <t>Exclusive fresh-thinking model</t>
  </si>
  <si>
    <t>Mccoy Ltd</t>
  </si>
  <si>
    <t>Business-focused encompassing intranet</t>
  </si>
  <si>
    <t>Dawson-Tyler</t>
  </si>
  <si>
    <t>Optional 6thgeneration access</t>
  </si>
  <si>
    <t>Johns-Thomas</t>
  </si>
  <si>
    <t>Realigned web-enabled functionalities</t>
  </si>
  <si>
    <t>Quinn, Cruz and Schmidt</t>
  </si>
  <si>
    <t>Enterprise-wide multimedia software</t>
  </si>
  <si>
    <t>Stewart Inc</t>
  </si>
  <si>
    <t>Versatile mission-critical knowledgebase</t>
  </si>
  <si>
    <t>Moore Group</t>
  </si>
  <si>
    <t>Multi-lateral object-oriented open system</t>
  </si>
  <si>
    <t>Carson PLC</t>
  </si>
  <si>
    <t>Visionary system-worthy attitude</t>
  </si>
  <si>
    <t>Cruz, Hall and Mason</t>
  </si>
  <si>
    <t>Synergized content-based hierarchy</t>
  </si>
  <si>
    <t>Glass, Baker and Jones</t>
  </si>
  <si>
    <t>Business-focused 24hour access</t>
  </si>
  <si>
    <t>Marquez-Kerr</t>
  </si>
  <si>
    <t>Automated hybrid orchestration</t>
  </si>
  <si>
    <t>Stone PLC</t>
  </si>
  <si>
    <t>Exclusive 5thgeneration leverage</t>
  </si>
  <si>
    <t>Caldwell PLC</t>
  </si>
  <si>
    <t>Grass-roots zero administration alliance</t>
  </si>
  <si>
    <t>Silva-Hawkins</t>
  </si>
  <si>
    <t>Proactive heuristic orchestration</t>
  </si>
  <si>
    <t>Gardner Inc</t>
  </si>
  <si>
    <t>Function-based systematic Graphical User Interface</t>
  </si>
  <si>
    <t>Extended zero administration software</t>
  </si>
  <si>
    <t>Meyer-Avila</t>
  </si>
  <si>
    <t>Multi-tiered discrete support</t>
  </si>
  <si>
    <t>Nelson, Smith and Graham</t>
  </si>
  <si>
    <t>Phased system-worthy conglomeration</t>
  </si>
  <si>
    <t>Balanced mobile alliance</t>
  </si>
  <si>
    <t>West-Stevens</t>
  </si>
  <si>
    <t>Reactive solution-oriented groupware</t>
  </si>
  <si>
    <t>Clark-Conrad</t>
  </si>
  <si>
    <t>Exclusive bandwidth-monitored orchestration</t>
  </si>
  <si>
    <t>Fitzgerald Group</t>
  </si>
  <si>
    <t>Intuitive exuding initiative</t>
  </si>
  <si>
    <t>Hill, Mccann and Moore</t>
  </si>
  <si>
    <t>Streamlined needs-based knowledge user</t>
  </si>
  <si>
    <t>Edwards LLC</t>
  </si>
  <si>
    <t>Automated system-worthy structure</t>
  </si>
  <si>
    <t>Greer and Sons</t>
  </si>
  <si>
    <t>Secured clear-thinking intranet</t>
  </si>
  <si>
    <t>Martinez PLC</t>
  </si>
  <si>
    <t>Cloned actuating architecture</t>
  </si>
  <si>
    <t>Hunter-Logan</t>
  </si>
  <si>
    <t>Down-sized needs-based task-force</t>
  </si>
  <si>
    <t>Ramos and Sons</t>
  </si>
  <si>
    <t>Extended responsive Internet solution</t>
  </si>
  <si>
    <t>Lane-Barber</t>
  </si>
  <si>
    <t>Universal value-added moderator</t>
  </si>
  <si>
    <t>Lowery Group</t>
  </si>
  <si>
    <t>Sharable motivating emulation</t>
  </si>
  <si>
    <t>Guerrero-Griffin</t>
  </si>
  <si>
    <t>Networked web-enabled product</t>
  </si>
  <si>
    <t>Perez, Reed and Lee</t>
  </si>
  <si>
    <t>Advanced dedicated encoding</t>
  </si>
  <si>
    <t>Chen, Pollard and Clarke</t>
  </si>
  <si>
    <t>Stand-alone multi-state project</t>
  </si>
  <si>
    <t>Serrano, Gallagher and Griffith</t>
  </si>
  <si>
    <t>Customizable bi-directional monitoring</t>
  </si>
  <si>
    <t>Callahan-Gilbert</t>
  </si>
  <si>
    <t>Profit-focused motivating function</t>
  </si>
  <si>
    <t>Logan-Miranda</t>
  </si>
  <si>
    <t>Proactive systemic firmware</t>
  </si>
  <si>
    <t>Rodriguez PLC</t>
  </si>
  <si>
    <t>Grass-roots upward-trending installation</t>
  </si>
  <si>
    <t>Smith-Kennedy</t>
  </si>
  <si>
    <t>Virtual heuristic hub</t>
  </si>
  <si>
    <t>Mitchell-Lee</t>
  </si>
  <si>
    <t>Customizable leadingedge model</t>
  </si>
  <si>
    <t>Upgradable uniform service-desk</t>
  </si>
  <si>
    <t>Rowland PLC</t>
  </si>
  <si>
    <t>Inverse client-driven product</t>
  </si>
  <si>
    <t>Shaffer-Mason</t>
  </si>
  <si>
    <t>Managed bandwidth-monitored system engine</t>
  </si>
  <si>
    <t>Matthews LLC</t>
  </si>
  <si>
    <t>Advanced transitional help-desk</t>
  </si>
  <si>
    <t>Montgomery-Castro</t>
  </si>
  <si>
    <t>De-engineered disintermediate encryption</t>
  </si>
  <si>
    <t>Hale, Pearson and Jenkins</t>
  </si>
  <si>
    <t>Upgradable attitude-oriented project</t>
  </si>
  <si>
    <t>Ramirez-Calderon</t>
  </si>
  <si>
    <t>Fundamental zero tolerance alliance</t>
  </si>
  <si>
    <t>Johnson-Morales</t>
  </si>
  <si>
    <t>Devolved 24hour forecast</t>
  </si>
  <si>
    <t>Mathis-Rodriguez</t>
  </si>
  <si>
    <t>User-centric attitude-oriented intranet</t>
  </si>
  <si>
    <t>Smith, Mack and Williams</t>
  </si>
  <si>
    <t>Self-enabling 5thgeneration paradigm</t>
  </si>
  <si>
    <t>Johnson-Pace</t>
  </si>
  <si>
    <t>Persistent 3rdgeneration moratorium</t>
  </si>
  <si>
    <t>Meza, Kirby and Patel</t>
  </si>
  <si>
    <t>Cross-platform empowering project</t>
  </si>
  <si>
    <t>Gonzalez-Snow</t>
  </si>
  <si>
    <t>Polarized user-facing interface</t>
  </si>
  <si>
    <t>Murphy LLC</t>
  </si>
  <si>
    <t>Customer-focused non-volatile framework</t>
  </si>
  <si>
    <t>Taylor-Rowe</t>
  </si>
  <si>
    <t>Synchronized multimedia frame</t>
  </si>
  <si>
    <t>Henderson Ltd</t>
  </si>
  <si>
    <t>Open-architected stable algorithm</t>
  </si>
  <si>
    <t>Moss-Guzman</t>
  </si>
  <si>
    <t>Cross-platform optimizing website</t>
  </si>
  <si>
    <t>Webb Group</t>
  </si>
  <si>
    <t>Public-key actuating projection</t>
  </si>
  <si>
    <t>Brooks-Rodriguez</t>
  </si>
  <si>
    <t>Implemented intangible instruction set</t>
  </si>
  <si>
    <t>Thomas Ltd</t>
  </si>
  <si>
    <t>Cross-group interactive architecture</t>
  </si>
  <si>
    <t>Williams and Sons</t>
  </si>
  <si>
    <t>Centralized asymmetric framework</t>
  </si>
  <si>
    <t>Vega, Chan and Carney</t>
  </si>
  <si>
    <t>Down-sized systematic utilization</t>
  </si>
  <si>
    <t>Byrd Group</t>
  </si>
  <si>
    <t>Profound fault-tolerant model</t>
  </si>
  <si>
    <t>Peterson, Fletcher and Sanchez</t>
  </si>
  <si>
    <t>Multi-channeled bi-directional moratorium</t>
  </si>
  <si>
    <t>Smith-Brown</t>
  </si>
  <si>
    <t>Object-based content-based ability</t>
  </si>
  <si>
    <t>Vance-Glover</t>
  </si>
  <si>
    <t>Progressive coherent secured line</t>
  </si>
  <si>
    <t>Joyce PLC</t>
  </si>
  <si>
    <t>Synchronized directional capability</t>
  </si>
  <si>
    <t>Kennedy-Miller</t>
  </si>
  <si>
    <t>Cross-platform composite migration</t>
  </si>
  <si>
    <t>White-Obrien</t>
  </si>
  <si>
    <t>Operative local pricing structure</t>
  </si>
  <si>
    <t>Stafford, Hess and Raymond</t>
  </si>
  <si>
    <t>Optional web-enabled extranet</t>
  </si>
  <si>
    <t>Jordan, Schneider and Hall</t>
  </si>
  <si>
    <t>Reduced 6thgeneration intranet</t>
  </si>
  <si>
    <t>Rodriguez, Cox and Rodriguez</t>
  </si>
  <si>
    <t>Networked disintermediate leverage</t>
  </si>
  <si>
    <t>Welch Inc</t>
  </si>
  <si>
    <t>Optional optimal website</t>
  </si>
  <si>
    <t>Vasquez Inc</t>
  </si>
  <si>
    <t>Stand-alone asynchronous functionalities</t>
  </si>
  <si>
    <t>Freeman-Ferguson</t>
  </si>
  <si>
    <t>Profound full-range open system</t>
  </si>
  <si>
    <t>Houston, Moore and Rogers</t>
  </si>
  <si>
    <t>Optional tangible utilization</t>
  </si>
  <si>
    <t>Small-Fuentes</t>
  </si>
  <si>
    <t>Seamless maximized product</t>
  </si>
  <si>
    <t>Reid-Day</t>
  </si>
  <si>
    <t>Devolved tertiary time-frame</t>
  </si>
  <si>
    <t>Wallace LLC</t>
  </si>
  <si>
    <t>Centralized regional function</t>
  </si>
  <si>
    <t>Olson-Bishop</t>
  </si>
  <si>
    <t>User-friendly high-level initiative</t>
  </si>
  <si>
    <t>Rodriguez, Anderson and Porter</t>
  </si>
  <si>
    <t>Reverse-engineered zero-defect infrastructure</t>
  </si>
  <si>
    <t>Perez, Brown and Meyers</t>
  </si>
  <si>
    <t>Stand-alone background customer loyalty</t>
  </si>
  <si>
    <t>English-Mccullough</t>
  </si>
  <si>
    <t>Business-focused discrete software</t>
  </si>
  <si>
    <t>Smith-Nguyen</t>
  </si>
  <si>
    <t>Advanced intermediate Graphic Interface</t>
  </si>
  <si>
    <t>Harmon-Madden</t>
  </si>
  <si>
    <t>Adaptive holistic hub</t>
  </si>
  <si>
    <t>Walker-Taylor</t>
  </si>
  <si>
    <t>Automated uniform concept</t>
  </si>
  <si>
    <t>Harris, Medina and Mitchell</t>
  </si>
  <si>
    <t>Enhanced regional flexibility</t>
  </si>
  <si>
    <t>Public-key bottom-line algorithm</t>
  </si>
  <si>
    <t>Ball-Fisher</t>
  </si>
  <si>
    <t>Multi-layered intangible instruction set</t>
  </si>
  <si>
    <t>Page, Holt and Mack</t>
  </si>
  <si>
    <t>Fundamental methodical emulation</t>
  </si>
  <si>
    <t>Landry Group</t>
  </si>
  <si>
    <t>Expanded value-added hardware</t>
  </si>
  <si>
    <t>Buckley Group</t>
  </si>
  <si>
    <t>Diverse high-level attitude</t>
  </si>
  <si>
    <t>Vincent PLC</t>
  </si>
  <si>
    <t>Visionary 24hour analyzer</t>
  </si>
  <si>
    <t>Watson-Douglas</t>
  </si>
  <si>
    <t>Centralized bandwidth-monitored leverage</t>
  </si>
  <si>
    <t>Jones, Casey and Jones</t>
  </si>
  <si>
    <t>Ergonomic mission-critical moratorium</t>
  </si>
  <si>
    <t>Alvarez-Bauer</t>
  </si>
  <si>
    <t>Front-line intermediate moderator</t>
  </si>
  <si>
    <t>Automated local secured line</t>
  </si>
  <si>
    <t>Buck-Khan</t>
  </si>
  <si>
    <t>Integrated bandwidth-monitored alliance</t>
  </si>
  <si>
    <t>Valdez, Williams and Meyer</t>
  </si>
  <si>
    <t>Cross-group heuristic forecast</t>
  </si>
  <si>
    <t>Alvarez-Andrews</t>
  </si>
  <si>
    <t>Extended impactful secured line</t>
  </si>
  <si>
    <t>Stewart and Sons</t>
  </si>
  <si>
    <t>Distributed optimizing protocol</t>
  </si>
  <si>
    <t>Dyer Inc</t>
  </si>
  <si>
    <t>Secured well-modulated system engine</t>
  </si>
  <si>
    <t>Anderson, Williams and Cox</t>
  </si>
  <si>
    <t>Streamlined national benchmark</t>
  </si>
  <si>
    <t>Solomon PLC</t>
  </si>
  <si>
    <t>Open-architected 24/7 infrastructure</t>
  </si>
  <si>
    <t>Miller-Hubbard</t>
  </si>
  <si>
    <t>Digitized 6thgeneration Local Area Network</t>
  </si>
  <si>
    <t>Miranda, Martinez and Lowery</t>
  </si>
  <si>
    <t>Innovative actuating artificial intelligence</t>
  </si>
  <si>
    <t>Munoz, Cherry and Bell</t>
  </si>
  <si>
    <t>Cross-platform reciprocal budgetary management</t>
  </si>
  <si>
    <t>Baker-Higgins</t>
  </si>
  <si>
    <t>Vision-oriented scalable portal</t>
  </si>
  <si>
    <t>Johnson, Turner and Carroll</t>
  </si>
  <si>
    <t>Persevering zero administration knowledge user</t>
  </si>
  <si>
    <t>Ward PLC</t>
  </si>
  <si>
    <t>Front-line bottom-line Graphic Interface</t>
  </si>
  <si>
    <t>Bradley, Beck and Mayo</t>
  </si>
  <si>
    <t>Synergized fault-tolerant hierarchy</t>
  </si>
  <si>
    <t>Levine, Martin and Hernandez</t>
  </si>
  <si>
    <t>Expanded asynchronous groupware</t>
  </si>
  <si>
    <t>Gallegos, Wagner and Gaines</t>
  </si>
  <si>
    <t>Expanded fault-tolerant emulation</t>
  </si>
  <si>
    <t>Hodges, Smith and Kelly</t>
  </si>
  <si>
    <t>Future-proofed 24hour model</t>
  </si>
  <si>
    <t>Macias Inc</t>
  </si>
  <si>
    <t>Optimized didactic intranet</t>
  </si>
  <si>
    <t>Cook-Ortiz</t>
  </si>
  <si>
    <t>Right-sized dedicated standardization</t>
  </si>
  <si>
    <t>Jordan-Fischer</t>
  </si>
  <si>
    <t>Vision-oriented high-level extranet</t>
  </si>
  <si>
    <t>Pierce-Ramirez</t>
  </si>
  <si>
    <t>Organized scalable initiative</t>
  </si>
  <si>
    <t>Howell and Sons</t>
  </si>
  <si>
    <t>Enhanced regional moderator</t>
  </si>
  <si>
    <t>Garcia, Dunn and Richardson</t>
  </si>
  <si>
    <t>Automated even-keeled emulation</t>
  </si>
  <si>
    <t>Lawson and Sons</t>
  </si>
  <si>
    <t>Reverse-engineered multi-tasking product</t>
  </si>
  <si>
    <t>Porter-Hicks</t>
  </si>
  <si>
    <t>De-engineered next generation parallelism</t>
  </si>
  <si>
    <t>Rodriguez-Hansen</t>
  </si>
  <si>
    <t>Intuitive cohesive groupware</t>
  </si>
  <si>
    <t>Williams LLC</t>
  </si>
  <si>
    <t>Up-sized high-level access</t>
  </si>
  <si>
    <t>Cooper, Stanley and Bryant</t>
  </si>
  <si>
    <t>Phased empowering success</t>
  </si>
  <si>
    <t>Miller, Glenn and Adams</t>
  </si>
  <si>
    <t>Distributed actuating project</t>
  </si>
  <si>
    <t>Cole, Salazar and Moreno</t>
  </si>
  <si>
    <t>Robust motivating orchestration</t>
  </si>
  <si>
    <t>Jones-Ryan</t>
  </si>
  <si>
    <t>Vision-oriented uniform instruction set</t>
  </si>
  <si>
    <t>Hood, Perez and Meadows</t>
  </si>
  <si>
    <t>Cross-group upward-trending hierarchy</t>
  </si>
  <si>
    <t>Bright and Sons</t>
  </si>
  <si>
    <t>Object-based needs-based info-mediaries</t>
  </si>
  <si>
    <t>Brady Ltd</t>
  </si>
  <si>
    <t>Open-source reciprocal standardization</t>
  </si>
  <si>
    <t>Collier LLC</t>
  </si>
  <si>
    <t>Secured well-modulated projection</t>
  </si>
  <si>
    <t>Campbell, Thomas and Obrien</t>
  </si>
  <si>
    <t>Multi-channeled secondary middleware</t>
  </si>
  <si>
    <t>Moses-Terry</t>
  </si>
  <si>
    <t>Horizontal clear-thinking framework</t>
  </si>
  <si>
    <t>Profound composite core</t>
  </si>
  <si>
    <t>Miranda, Gray and Hale</t>
  </si>
  <si>
    <t>Programmable disintermediate matrices</t>
  </si>
  <si>
    <t>Ayala, Crawford and Taylor</t>
  </si>
  <si>
    <t>Realigned 5thgeneration knowledge user</t>
  </si>
  <si>
    <t>Martinez Ltd</t>
  </si>
  <si>
    <t>Multi-layered upward-trending groupware</t>
  </si>
  <si>
    <t>Lee PLC</t>
  </si>
  <si>
    <t>Re-contextualized leadingedge firmware</t>
  </si>
  <si>
    <t>Young, Ramsey and Powell</t>
  </si>
  <si>
    <t>Devolved disintermediate analyzer</t>
  </si>
  <si>
    <t>Lewis and Sons</t>
  </si>
  <si>
    <t>Profound disintermediate open system</t>
  </si>
  <si>
    <t>Davis-Johnson</t>
  </si>
  <si>
    <t>Automated reciprocal protocol</t>
  </si>
  <si>
    <t>Stevenson-Thompson</t>
  </si>
  <si>
    <t>Automated static workforce</t>
  </si>
  <si>
    <t>Ellis, Smith and Armstrong</t>
  </si>
  <si>
    <t>Horizontal attitude-oriented help-desk</t>
  </si>
  <si>
    <t>Jackson-Brown</t>
  </si>
  <si>
    <t>Versatile 5thgeneration matrices</t>
  </si>
  <si>
    <t>Kane, Pruitt and Rivera</t>
  </si>
  <si>
    <t>Cross-platform next generation service-desk</t>
  </si>
  <si>
    <t>Wood, Buckley and Meza</t>
  </si>
  <si>
    <t>Front-line web-enabled installation</t>
  </si>
  <si>
    <t>Brown-Williams</t>
  </si>
  <si>
    <t>Multi-channeled responsive product</t>
  </si>
  <si>
    <t>Hansen-Austin</t>
  </si>
  <si>
    <t>Adaptive demand-driven encryption</t>
  </si>
  <si>
    <t>Santana-George</t>
  </si>
  <si>
    <t>Re-engineered client-driven knowledge user</t>
  </si>
  <si>
    <t>Davis LLC</t>
  </si>
  <si>
    <t>Compatible logistical paradigm</t>
  </si>
  <si>
    <t>Vazquez, Ochoa and Clark</t>
  </si>
  <si>
    <t>Intuitive value-added installation</t>
  </si>
  <si>
    <t>Chung-Nguyen</t>
  </si>
  <si>
    <t>Managed discrete parallelism</t>
  </si>
  <si>
    <t>Mueller-Harmon</t>
  </si>
  <si>
    <t>Implemented tangible approach</t>
  </si>
  <si>
    <t>Dixon, Perez and Banks</t>
  </si>
  <si>
    <t>Re-engineered encompassing definition</t>
  </si>
  <si>
    <t>Estrada Group</t>
  </si>
  <si>
    <t>Multi-lateral uniform collaboration</t>
  </si>
  <si>
    <t>Lutz Group</t>
  </si>
  <si>
    <t>Enterprise-wide foreground paradigm</t>
  </si>
  <si>
    <t>Ortiz Inc</t>
  </si>
  <si>
    <t>Stand-alone incremental parallelism</t>
  </si>
  <si>
    <t>Craig, Ellis and Miller</t>
  </si>
  <si>
    <t>Persevering 5thgeneration throughput</t>
  </si>
  <si>
    <t>Charles Inc</t>
  </si>
  <si>
    <t>Implemented object-oriented synergy</t>
  </si>
  <si>
    <t>White-Rosario</t>
  </si>
  <si>
    <t>Balanced demand-driven definition</t>
  </si>
  <si>
    <t>Simmons-Villarreal</t>
  </si>
  <si>
    <t>Customer-focused mobile Graphic Interface</t>
  </si>
  <si>
    <t>Strickland Group</t>
  </si>
  <si>
    <t>Horizontal secondary interface</t>
  </si>
  <si>
    <t>Lynch Ltd</t>
  </si>
  <si>
    <t>Virtual analyzing collaboration</t>
  </si>
  <si>
    <t>Sanders LLC</t>
  </si>
  <si>
    <t>Multi-tiered explicit focus group</t>
  </si>
  <si>
    <t>Cooper LLC</t>
  </si>
  <si>
    <t>Multi-layered systematic knowledgebase</t>
  </si>
  <si>
    <t>Palmer Ltd</t>
  </si>
  <si>
    <t>Reverse-engineered uniform knowledge user</t>
  </si>
  <si>
    <t>Santos Group</t>
  </si>
  <si>
    <t>Secured dynamic capacity</t>
  </si>
  <si>
    <t>Christian, Kim and Jimenez</t>
  </si>
  <si>
    <t>Devolved foreground throughput</t>
  </si>
  <si>
    <t>Williams, Price and Hurley</t>
  </si>
  <si>
    <t>Synchronized demand-driven infrastructure</t>
  </si>
  <si>
    <t>Anderson, Parks and Estrada</t>
  </si>
  <si>
    <t>Realigned discrete structure</t>
  </si>
  <si>
    <t>Collins-Martinez</t>
  </si>
  <si>
    <t>Progressive grid-enabled website</t>
  </si>
  <si>
    <t>Barrett Inc</t>
  </si>
  <si>
    <t>Organic cohesive neural-net</t>
  </si>
  <si>
    <t>Adams-Rollins</t>
  </si>
  <si>
    <t>Integrated demand-driven info-mediaries</t>
  </si>
  <si>
    <t>Wright-Bryant</t>
  </si>
  <si>
    <t>Reverse-engineered client-server extranet</t>
  </si>
  <si>
    <t>Berry-Cannon</t>
  </si>
  <si>
    <t>Organized discrete encoding</t>
  </si>
  <si>
    <t>Davis-Gonzalez</t>
  </si>
  <si>
    <t>Balanced regional flexibility</t>
  </si>
  <si>
    <t>Best-Young</t>
  </si>
  <si>
    <t>Implemented multimedia time-frame</t>
  </si>
  <si>
    <t>Powers, Smith and Deleon</t>
  </si>
  <si>
    <t>Enhanced uniform service-desk</t>
  </si>
  <si>
    <t>Hogan Group</t>
  </si>
  <si>
    <t>Versatile bottom-line definition</t>
  </si>
  <si>
    <t>Wang, Silva and Byrd</t>
  </si>
  <si>
    <t>Integrated bifurcated software</t>
  </si>
  <si>
    <t>Parker-Morris</t>
  </si>
  <si>
    <t>Assimilated next generation instruction set</t>
  </si>
  <si>
    <t>Rodriguez, Johnson and Jackson</t>
  </si>
  <si>
    <t>Digitized foreground array</t>
  </si>
  <si>
    <t>Haynes PLC</t>
  </si>
  <si>
    <t>Re-engineered clear-thinking project</t>
  </si>
  <si>
    <t>Hayes Group</t>
  </si>
  <si>
    <t>Implemented even-keeled standardization</t>
  </si>
  <si>
    <t>White, Pena and Calhoun</t>
  </si>
  <si>
    <t>Quality-focused asymmetric adapter</t>
  </si>
  <si>
    <t>Bryant-Pope</t>
  </si>
  <si>
    <t>Networked intangible help-desk</t>
  </si>
  <si>
    <t>Gates, Li and Thompson</t>
  </si>
  <si>
    <t>Synchronized attitude-oriented frame</t>
  </si>
  <si>
    <t>King-Morris</t>
  </si>
  <si>
    <t>Proactive incremental architecture</t>
  </si>
  <si>
    <t>Carter, Cole and Curtis</t>
  </si>
  <si>
    <t>Cloned responsive standardization</t>
  </si>
  <si>
    <t>Sanchez-Parsons</t>
  </si>
  <si>
    <t>Reduced bifurcated pricing structure</t>
  </si>
  <si>
    <t>Rivera-Pearson</t>
  </si>
  <si>
    <t>Re-engineered asymmetric challenge</t>
  </si>
  <si>
    <t>Ramirez, Padilla and Barrera</t>
  </si>
  <si>
    <t>Diverse client-driven conglomeration</t>
  </si>
  <si>
    <t>Riggs Group</t>
  </si>
  <si>
    <t>Configurable upward-trending solution</t>
  </si>
  <si>
    <t>Clements Ltd</t>
  </si>
  <si>
    <t>Persistent bandwidth-monitored framework</t>
  </si>
  <si>
    <t>Cooper Inc</t>
  </si>
  <si>
    <t>Polarized discrete product</t>
  </si>
  <si>
    <t>Jones-Gonzalez</t>
  </si>
  <si>
    <t>Seamless dynamic website</t>
  </si>
  <si>
    <t>Fox Ltd</t>
  </si>
  <si>
    <t>Extended multimedia firmware</t>
  </si>
  <si>
    <t>Green, Murphy and Webb</t>
  </si>
  <si>
    <t>Versatile directional project</t>
  </si>
  <si>
    <t>Stevenson PLC</t>
  </si>
  <si>
    <t>Profound directional knowledge user</t>
  </si>
  <si>
    <t>Soto-Anthony</t>
  </si>
  <si>
    <t>Ameliorated logistical capability</t>
  </si>
  <si>
    <t>Wise and Sons</t>
  </si>
  <si>
    <t>Sharable discrete definition</t>
  </si>
  <si>
    <t>Butler-Barr</t>
  </si>
  <si>
    <t>User-friendly next generation core</t>
  </si>
  <si>
    <t>Wilson, Jefferson and Anderson</t>
  </si>
  <si>
    <t>Profit-focused empowering system engine</t>
  </si>
  <si>
    <t>Brown-Oliver</t>
  </si>
  <si>
    <t>Synchronized cohesive encoding</t>
  </si>
  <si>
    <t>Davis-Gardner</t>
  </si>
  <si>
    <t>Synergistic dynamic utilization</t>
  </si>
  <si>
    <t>Dawson Group</t>
  </si>
  <si>
    <t>Triple-buffered bi-directional model</t>
  </si>
  <si>
    <t>Turner-Terrell</t>
  </si>
  <si>
    <t>Polarized tertiary function</t>
  </si>
  <si>
    <t>Hall, Buchanan and Benton</t>
  </si>
  <si>
    <t>Configurable fault-tolerant structure</t>
  </si>
  <si>
    <t>Lowery, Hayden and Cruz</t>
  </si>
  <si>
    <t>Digitized 24/7 budgetary management</t>
  </si>
  <si>
    <t>Mora, Miller and Harper</t>
  </si>
  <si>
    <t>Stand-alone zero tolerance algorithm</t>
  </si>
  <si>
    <t>Espinoza Group</t>
  </si>
  <si>
    <t>Implemented tangible support</t>
  </si>
  <si>
    <t>Davis, Crawford and Lopez</t>
  </si>
  <si>
    <t>Reactive radical framework</t>
  </si>
  <si>
    <t>Richards, Stevens and Fleming</t>
  </si>
  <si>
    <t>Object-based full-range knowledge user</t>
  </si>
  <si>
    <t>Enhanced composite contingency</t>
  </si>
  <si>
    <t>Tapia, Sandoval and Hurley</t>
  </si>
  <si>
    <t>Cloned fresh-thinking model</t>
  </si>
  <si>
    <t>Allen Inc</t>
  </si>
  <si>
    <t>Total dedicated benchmark</t>
  </si>
  <si>
    <t>Williams, Johnson and Campbell</t>
  </si>
  <si>
    <t>Streamlined human-resource Graphic Interface</t>
  </si>
  <si>
    <t>Wiggins Ltd</t>
  </si>
  <si>
    <t>Upgradable analyzing core</t>
  </si>
  <si>
    <t>Luna-Horne</t>
  </si>
  <si>
    <t>Profound exuding pricing structure</t>
  </si>
  <si>
    <t>Horizontal optimizing model</t>
  </si>
  <si>
    <t>Peterson, Gonzalez and Spencer</t>
  </si>
  <si>
    <t>Synchronized fault-tolerant algorithm</t>
  </si>
  <si>
    <t>Walter Inc</t>
  </si>
  <si>
    <t>Streamlined 5thgeneration intranet</t>
  </si>
  <si>
    <t>Sanders, Farley and Huffman</t>
  </si>
  <si>
    <t>Cross-group clear-thinking task-force</t>
  </si>
  <si>
    <t>Hall, Holmes and Walker</t>
  </si>
  <si>
    <t>Public-key bandwidth-monitored intranet</t>
  </si>
  <si>
    <t>Smith-Powell</t>
  </si>
  <si>
    <t>Upgradable clear-thinking hardware</t>
  </si>
  <si>
    <t>Smith-Hill</t>
  </si>
  <si>
    <t>Integrated holistic paradigm</t>
  </si>
  <si>
    <t>Wright LLC</t>
  </si>
  <si>
    <t>Seamless clear-thinking conglomeration</t>
  </si>
  <si>
    <t>Williams, Orozco and Gomez</t>
  </si>
  <si>
    <t>Persistent content-based methodology</t>
  </si>
  <si>
    <t>Peterson Ltd</t>
  </si>
  <si>
    <t>Re-engineered 24hour matrix</t>
  </si>
  <si>
    <t>Cummings-Hayes</t>
  </si>
  <si>
    <t>Virtual multi-tasking core</t>
  </si>
  <si>
    <t>Boyle Ltd</t>
  </si>
  <si>
    <t>Streamlined fault-tolerant conglomeration</t>
  </si>
  <si>
    <t>Henderson, Parker and Diaz</t>
  </si>
  <si>
    <t>Enterprise-wide client-driven policy</t>
  </si>
  <si>
    <t>Moss-Obrien</t>
  </si>
  <si>
    <t>Function-based next generation emulation</t>
  </si>
  <si>
    <t>Wood Inc</t>
  </si>
  <si>
    <t>Re-engineered composite focus group</t>
  </si>
  <si>
    <t>Riley, Cohen and Goodman</t>
  </si>
  <si>
    <t>Profound mission-critical function</t>
  </si>
  <si>
    <t>Green, Robinson and Ho</t>
  </si>
  <si>
    <t>De-engineered zero-defect open system</t>
  </si>
  <si>
    <t>Black-Graham</t>
  </si>
  <si>
    <t>Operative hybrid utilization</t>
  </si>
  <si>
    <t>Robbins Group</t>
  </si>
  <si>
    <t>Function-based interactive matrix</t>
  </si>
  <si>
    <t>Mason, Case and May</t>
  </si>
  <si>
    <t>Optimized content-based collaboration</t>
  </si>
  <si>
    <t>Harris, Russell and Mitchell</t>
  </si>
  <si>
    <t>User-centric cohesive policy</t>
  </si>
  <si>
    <t>Rodriguez-Robinson</t>
  </si>
  <si>
    <t>Ergonomic methodical hub</t>
  </si>
  <si>
    <t>Peck, Higgins and Smith</t>
  </si>
  <si>
    <t>Devolved disintermediate encryption</t>
  </si>
  <si>
    <t>Nunez-King</t>
  </si>
  <si>
    <t>Phased clear-thinking policy</t>
  </si>
  <si>
    <t>Seamless solution-oriented capacity</t>
  </si>
  <si>
    <t>Howard-Douglas</t>
  </si>
  <si>
    <t>Organized human-resource attitude</t>
  </si>
  <si>
    <t>Gonzalez-White</t>
  </si>
  <si>
    <t>Open-architected disintermediate budgetary management</t>
  </si>
  <si>
    <t>Lopez-King</t>
  </si>
  <si>
    <t>Multi-lateral radical solution</t>
  </si>
  <si>
    <t>Glover-Nelson</t>
  </si>
  <si>
    <t>Inverse context-sensitive info-mediaries</t>
  </si>
  <si>
    <t>Garner and Sons</t>
  </si>
  <si>
    <t>Versatile neutral workforce</t>
  </si>
  <si>
    <t>Sellers, Roach and Garrison</t>
  </si>
  <si>
    <t>Multi-tiered systematic knowledge user</t>
  </si>
  <si>
    <t>Herrera, Bennett and Silva</t>
  </si>
  <si>
    <t>Programmable multi-state algorithm</t>
  </si>
  <si>
    <t>Thomas, Clay and Mendoza</t>
  </si>
  <si>
    <t>Multi-channeled reciprocal interface</t>
  </si>
  <si>
    <t>Ayala Group</t>
  </si>
  <si>
    <t>Right-sized maximized migration</t>
  </si>
  <si>
    <t>Huerta, Roberts and Dickerson</t>
  </si>
  <si>
    <t>Self-enabling value-added artificial intelligence</t>
  </si>
  <si>
    <t>Vision-oriented interactive solution</t>
  </si>
  <si>
    <t>Bailey, Nguyen and Martinez</t>
  </si>
  <si>
    <t>Fundamental user-facing productivity</t>
  </si>
  <si>
    <t>Williams, Martin and Meyer</t>
  </si>
  <si>
    <t>Innovative well-modulated capability</t>
  </si>
  <si>
    <t>Huff-Johnson</t>
  </si>
  <si>
    <t>Universal fault-tolerant orchestration</t>
  </si>
  <si>
    <t>Diaz-Little</t>
  </si>
  <si>
    <t>Grass-roots executive synergy</t>
  </si>
  <si>
    <t>Freeman-French</t>
  </si>
  <si>
    <t>Multi-layered optimal application</t>
  </si>
  <si>
    <t>Beck-Weber</t>
  </si>
  <si>
    <t>Business-focused full-range core</t>
  </si>
  <si>
    <t>Lewis-Jacobson</t>
  </si>
  <si>
    <t>Exclusive system-worthy Graphic Interface</t>
  </si>
  <si>
    <t>Logan-Curtis</t>
  </si>
  <si>
    <t>Enhanced optimal ability</t>
  </si>
  <si>
    <t>Chan, Washington and Callahan</t>
  </si>
  <si>
    <t>Optional zero administration neural-net</t>
  </si>
  <si>
    <t>Wilson Group</t>
  </si>
  <si>
    <t>Ameliorated foreground focus group</t>
  </si>
  <si>
    <t>Gardner, Ryan and Gutierrez</t>
  </si>
  <si>
    <t>Triple-buffered multi-tasking matrices</t>
  </si>
  <si>
    <t>Hernandez Inc</t>
  </si>
  <si>
    <t>Versatile dedicated migration</t>
  </si>
  <si>
    <t>Ortiz-Roberts</t>
  </si>
  <si>
    <t>Devolved foreground customer loyalty</t>
  </si>
  <si>
    <t>Reduced reciprocal focus group</t>
  </si>
  <si>
    <t>Morrow Inc</t>
  </si>
  <si>
    <t>Networked global migration</t>
  </si>
  <si>
    <t>Erickson-Rogers</t>
  </si>
  <si>
    <t>De-engineered even-keeled definition</t>
  </si>
  <si>
    <t>Leach, Rich and Price</t>
  </si>
  <si>
    <t>Implemented bi-directional flexibility</t>
  </si>
  <si>
    <t>Manning-Hamilton</t>
  </si>
  <si>
    <t>Vision-oriented scalable definition</t>
  </si>
  <si>
    <t>Butler LLC</t>
  </si>
  <si>
    <t>Future-proofed upward-trending migration</t>
  </si>
  <si>
    <t>Ball LLC</t>
  </si>
  <si>
    <t>Right-sized full-range throughput</t>
  </si>
  <si>
    <t>Taylor, Santiago and Flores</t>
  </si>
  <si>
    <t>Polarized composite customer loyalty</t>
  </si>
  <si>
    <t>Hernandez, Norton and Kelley</t>
  </si>
  <si>
    <t>Expanded eco-centric policy</t>
  </si>
  <si>
    <t>id</t>
  </si>
  <si>
    <t>Count of outcome</t>
  </si>
  <si>
    <t>Column Labels</t>
  </si>
  <si>
    <t>Grand Total</t>
  </si>
  <si>
    <t>Row Labels</t>
  </si>
  <si>
    <t>film &amp; video</t>
  </si>
  <si>
    <t>food</t>
  </si>
  <si>
    <t>games</t>
  </si>
  <si>
    <t>journalism</t>
  </si>
  <si>
    <t>music</t>
  </si>
  <si>
    <t>photography</t>
  </si>
  <si>
    <t>publishing</t>
  </si>
  <si>
    <t>technology</t>
  </si>
  <si>
    <t>theater</t>
  </si>
  <si>
    <t>(All)</t>
  </si>
  <si>
    <t>animation</t>
  </si>
  <si>
    <t>audio</t>
  </si>
  <si>
    <t>documentary</t>
  </si>
  <si>
    <t>drama</t>
  </si>
  <si>
    <t>electric music</t>
  </si>
  <si>
    <t>fiction</t>
  </si>
  <si>
    <t>food trucks</t>
  </si>
  <si>
    <t>indie rock</t>
  </si>
  <si>
    <t>jazz</t>
  </si>
  <si>
    <t>metal</t>
  </si>
  <si>
    <t>mobile games</t>
  </si>
  <si>
    <t>nonfiction</t>
  </si>
  <si>
    <t>photography books</t>
  </si>
  <si>
    <t>plays</t>
  </si>
  <si>
    <t>radio &amp; podcasts</t>
  </si>
  <si>
    <t>rock</t>
  </si>
  <si>
    <t>science fiction</t>
  </si>
  <si>
    <t>shorts</t>
  </si>
  <si>
    <t>television</t>
  </si>
  <si>
    <t>translations</t>
  </si>
  <si>
    <t>video games</t>
  </si>
  <si>
    <t>wearables</t>
  </si>
  <si>
    <t>web</t>
  </si>
  <si>
    <t>world music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</si>
  <si>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</si>
  <si>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</si>
  <si>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</si>
  <si>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</si>
  <si>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</si>
  <si>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</si>
  <si>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</si>
  <si>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</si>
  <si>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</si>
  <si>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</si>
  <si>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</si>
  <si>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</si>
  <si>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Years</t>
  </si>
  <si>
    <t>Goal</t>
  </si>
  <si>
    <t>Sum of goal</t>
  </si>
  <si>
    <t>Sum of pledged</t>
  </si>
  <si>
    <t>Adjusted Grand Total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</si>
  <si>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</si>
  <si>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</si>
  <si>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</si>
  <si>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</si>
  <si>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</si>
  <si>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</si>
  <si>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</si>
  <si>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</si>
  <si>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</si>
  <si>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</si>
  <si>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StdDev of goal</t>
  </si>
  <si>
    <t>StdDev of pledged</t>
  </si>
  <si>
    <t>% Success</t>
  </si>
  <si>
    <t>Successful Campaigns</t>
  </si>
  <si>
    <t>Failed Campaigns</t>
  </si>
  <si>
    <t>Mean</t>
  </si>
  <si>
    <t>Minimum</t>
  </si>
  <si>
    <t>Maximum</t>
  </si>
  <si>
    <t>Variance</t>
  </si>
  <si>
    <t>Mode</t>
  </si>
  <si>
    <t>Standard Deviation</t>
  </si>
  <si>
    <t>Skewness</t>
  </si>
  <si>
    <t>Category</t>
  </si>
  <si>
    <t>Interquartile Range (IRQ)</t>
  </si>
  <si>
    <t>Count of Outliers</t>
  </si>
  <si>
    <t>First Quartile (25%)</t>
  </si>
  <si>
    <t>Median (50%)</t>
  </si>
  <si>
    <t>Third Quartile (75%)</t>
  </si>
  <si>
    <t>Upper Threshold</t>
  </si>
  <si>
    <t>Lower Threshold</t>
  </si>
  <si>
    <t>Sun</t>
  </si>
  <si>
    <t>Mon</t>
  </si>
  <si>
    <t>Tue</t>
  </si>
  <si>
    <t>Wed</t>
  </si>
  <si>
    <t>Thu</t>
  </si>
  <si>
    <t>Fri</t>
  </si>
  <si>
    <t>Sat</t>
  </si>
  <si>
    <t>duration</t>
  </si>
  <si>
    <t>weekday_created</t>
  </si>
  <si>
    <t>Number of Durations</t>
  </si>
  <si>
    <t>Total Pledges</t>
  </si>
  <si>
    <t>Total Backers</t>
  </si>
  <si>
    <t>Total Goals</t>
  </si>
  <si>
    <t>0-9</t>
  </si>
  <si>
    <t>10-19</t>
  </si>
  <si>
    <t>20-29</t>
  </si>
  <si>
    <t>30-39</t>
  </si>
  <si>
    <t>40-49</t>
  </si>
  <si>
    <t>50-59</t>
  </si>
  <si>
    <t>Duration (days)</t>
  </si>
  <si>
    <t>Count of goal</t>
  </si>
  <si>
    <t>Mean of goal</t>
  </si>
  <si>
    <t>Min of goal</t>
  </si>
  <si>
    <t>Max of goal</t>
  </si>
  <si>
    <t>Varp of goal</t>
  </si>
  <si>
    <t>Median of goal</t>
  </si>
  <si>
    <t>25%</t>
  </si>
  <si>
    <t>75%</t>
  </si>
  <si>
    <t>IRQ</t>
  </si>
  <si>
    <t>Upper T</t>
  </si>
  <si>
    <t>Lower T</t>
  </si>
  <si>
    <t>Outlier Count</t>
  </si>
  <si>
    <t>StdDevp of goal</t>
  </si>
  <si>
    <t>Count of pledged</t>
  </si>
  <si>
    <t>Mean of pledged</t>
  </si>
  <si>
    <t>Varp of pledged</t>
  </si>
  <si>
    <t>Min of pledged</t>
  </si>
  <si>
    <t>Median of pledged</t>
  </si>
  <si>
    <t>Max of pledged</t>
  </si>
  <si>
    <t>Count</t>
  </si>
  <si>
    <t>Successful</t>
  </si>
  <si>
    <t>Failed</t>
  </si>
  <si>
    <t>Canceled</t>
  </si>
  <si>
    <t>Live</t>
  </si>
  <si>
    <t>Pledged</t>
  </si>
  <si>
    <t>% Funded</t>
  </si>
  <si>
    <t>Backers</t>
  </si>
  <si>
    <t>Duration</t>
  </si>
  <si>
    <t>Color Legend:</t>
  </si>
  <si>
    <t>■ Green = Strong correlation (|r| ≥ 0.70)    ■ Yellow = Moderate (|r| ≥ 0.40)    ■ White = Weak</t>
  </si>
  <si>
    <t>Key Findings:</t>
  </si>
  <si>
    <t>• Duration has near-zero correlation with success — longer campaigns don't help.</t>
  </si>
  <si>
    <t>Staff Pick &amp; Spotlight: Combined Impact on Outcomes</t>
  </si>
  <si>
    <t>Promotion Status</t>
  </si>
  <si>
    <t>Neither</t>
  </si>
  <si>
    <t>Spotlight Only</t>
  </si>
  <si>
    <t>Staff Pick Only</t>
  </si>
  <si>
    <t>Both</t>
  </si>
  <si>
    <t>Key Insight: Projects with BOTH staff pick and spotlight endorsements achieve the highest success rate (~63%). Neither alone provides the same lift.</t>
  </si>
  <si>
    <t>What factors most strongly predict crowdfunding success in this dataset?</t>
  </si>
  <si>
    <t>Factor</t>
  </si>
  <si>
    <t>Best Value</t>
  </si>
  <si>
    <t>Worst Value</t>
  </si>
  <si>
    <t>Takeaway</t>
  </si>
  <si>
    <t>Goal Size</t>
  </si>
  <si>
    <t>$1K–$5K (82% success)</t>
  </si>
  <si>
    <t>&gt;$100K (23% success)</t>
  </si>
  <si>
    <t>Ambitious goals dramatically reduce chances</t>
  </si>
  <si>
    <t>Launch Day</t>
  </si>
  <si>
    <t>Monday (64%)</t>
  </si>
  <si>
    <t>Friday (51%)</t>
  </si>
  <si>
    <t>Avoid Friday launches</t>
  </si>
  <si>
    <t>Journalism (100%), Tech (67%)</t>
  </si>
  <si>
    <t>Games (44%), Food (48%)</t>
  </si>
  <si>
    <t>Category selection matters</t>
  </si>
  <si>
    <t>Backers Count</t>
  </si>
  <si>
    <t>Low backers</t>
  </si>
  <si>
    <t>Backer acquisition is the core lever</t>
  </si>
  <si>
    <t>Promotion</t>
  </si>
  <si>
    <t>Both Pick + Spotlight (~63%)</t>
  </si>
  <si>
    <t>Neither (~57%)</t>
  </si>
  <si>
    <t>Combined endorsements give best lift</t>
  </si>
  <si>
    <t>Campaign Duration</t>
  </si>
  <si>
    <t>—</t>
  </si>
  <si>
    <t>Length alone doesn't drive success</t>
  </si>
  <si>
    <t>Goal vs % Funded</t>
  </si>
  <si>
    <t>Lower goals = higher over-funding ratio</t>
  </si>
  <si>
    <t>Success Rate (%)</t>
  </si>
  <si>
    <t>Failure Rate (%)</t>
  </si>
  <si>
    <t>Cancel Rate (%)</t>
  </si>
  <si>
    <t>Live Rate (%)</t>
  </si>
  <si>
    <t>Avg. Donation</t>
  </si>
  <si>
    <t>• Backers ↔ Pledged: r = 0.87 — backer volume is the strongest driver of funds raised.</t>
  </si>
  <si>
    <t>• Goal ↔ % Funded: r = −0.31 — higher goals are harder to fully fund.</t>
  </si>
  <si>
    <t>High backers → high pledged (r = 0.87)</t>
  </si>
  <si>
    <t>No meaningful effect (r ≈ −0.04)</t>
  </si>
  <si>
    <t>r = −0.31 with % Funded</t>
  </si>
  <si>
    <t>Key Success Drivers: Ranked Summary</t>
  </si>
  <si>
    <t>percent_funded</t>
  </si>
  <si>
    <t>average_donation</t>
  </si>
  <si>
    <t>date_created</t>
  </si>
  <si>
    <t>date_ended</t>
  </si>
  <si>
    <t>primary_category</t>
  </si>
  <si>
    <t>subcategory</t>
  </si>
  <si>
    <t>category_and_subcategory</t>
  </si>
  <si>
    <t>Spearman Correlation Matrix</t>
  </si>
  <si>
    <t>&lt; $5,000</t>
  </si>
  <si>
    <t>$5,000 - $10,000</t>
  </si>
  <si>
    <t>$10,000 - $15,000</t>
  </si>
  <si>
    <t>$15,000 - $35,000</t>
  </si>
  <si>
    <t>$35,000 - $100,000</t>
  </si>
  <si>
    <t>&gt; $100,000</t>
  </si>
  <si>
    <t>Canceled Campaigns</t>
  </si>
  <si>
    <t>Live Campaigns</t>
  </si>
  <si>
    <t>Canceled Rate (%)</t>
  </si>
  <si>
    <t>Average of percent_funded</t>
  </si>
  <si>
    <t>Column1</t>
  </si>
  <si>
    <t>Outcome</t>
  </si>
  <si>
    <t>Median Backers</t>
  </si>
  <si>
    <t>Mean Backers</t>
  </si>
  <si>
    <t>Backer Distributions</t>
  </si>
  <si>
    <t>Std. Dev.</t>
  </si>
  <si>
    <t>Confidence Interval</t>
  </si>
  <si>
    <t>(successful)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</si>
</sst>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00"/>
    <numFmt numFmtId="167" formatCode="_(&quot;$&quot;* #,##0_);_(&quot;$&quot;* \(#,##0\);_(&quot;$&quot;* &quot;-&quot;??_);_(@_)"/>
    <numFmt numFmtId="168" formatCode="0.000000"/>
  </numFmts>
  <fonts count="3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Garamond"/>
      <family val="1"/>
    </font>
    <font>
      <sz val="12"/>
      <color theme="1"/>
      <name val="Garamond"/>
      <family val="1"/>
    </font>
    <font>
      <b/>
      <sz val="12"/>
      <color theme="0"/>
      <name val="Garamond"/>
      <family val="1"/>
    </font>
    <font>
      <sz val="12"/>
      <color theme="0"/>
      <name val="Garamond"/>
      <family val="1"/>
    </font>
    <font>
      <sz val="12"/>
      <name val="Garamond"/>
      <family val="1"/>
    </font>
    <font>
      <b/>
      <sz val="12"/>
      <name val="Garamond"/>
      <family val="1"/>
    </font>
    <font>
      <b/>
      <sz val="14"/>
      <name val="Garamond"/>
      <family val="1"/>
    </font>
    <font>
      <sz val="14"/>
      <color theme="1"/>
      <name val="Garamond"/>
      <family val="1"/>
    </font>
    <font>
      <b/>
      <sz val="14"/>
      <color theme="1"/>
      <name val="Garamond"/>
      <family val="1"/>
    </font>
    <font>
      <b/>
      <sz val="16"/>
      <name val="Garamond"/>
      <family val="1"/>
    </font>
    <font>
      <sz val="16"/>
      <color theme="1"/>
      <name val="Garamond"/>
      <family val="1"/>
    </font>
    <font>
      <sz val="14"/>
      <name val="Garamond"/>
      <family val="1"/>
    </font>
    <font>
      <b/>
      <sz val="16"/>
      <color theme="1"/>
      <name val="Garamond"/>
      <family val="1"/>
    </font>
    <font>
      <i/>
      <sz val="14"/>
      <name val="Garamond"/>
      <family val="1"/>
    </font>
    <font>
      <b/>
      <i/>
      <sz val="14"/>
      <name val="Garamond"/>
      <family val="1"/>
    </font>
    <font>
      <b/>
      <sz val="14"/>
      <color theme="0"/>
      <name val="Garamond"/>
      <family val="1"/>
    </font>
    <font>
      <b/>
      <sz val="14"/>
      <color rgb="FF002060"/>
      <name val="Garamond"/>
      <family val="1"/>
    </font>
  </fonts>
  <fills count="4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7E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76D6FF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theme="4" tint="0.7999816888943144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0.39997558519241921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theme="4" tint="-0.249977111117893"/>
      </top>
      <bottom/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6">
    <xf numFmtId="0" fontId="0" fillId="0" borderId="0" xfId="0"/>
    <xf numFmtId="0" fontId="19" fillId="0" borderId="0" xfId="0" applyFont="1" applyAlignment="1">
      <alignment horizontal="center"/>
    </xf>
    <xf numFmtId="0" fontId="19" fillId="0" borderId="0" xfId="0" applyFont="1" applyAlignment="1">
      <alignment horizontal="center" wrapText="1"/>
    </xf>
    <xf numFmtId="9" fontId="19" fillId="0" borderId="0" xfId="43" applyFont="1" applyFill="1" applyAlignment="1">
      <alignment horizontal="center"/>
    </xf>
    <xf numFmtId="14" fontId="19" fillId="0" borderId="0" xfId="0" applyNumberFormat="1" applyFont="1" applyAlignment="1">
      <alignment horizontal="center"/>
    </xf>
    <xf numFmtId="0" fontId="20" fillId="0" borderId="0" xfId="0" applyFont="1"/>
    <xf numFmtId="0" fontId="20" fillId="0" borderId="0" xfId="0" applyFont="1" applyAlignment="1">
      <alignment horizontal="left" wrapText="1"/>
    </xf>
    <xf numFmtId="9" fontId="20" fillId="0" borderId="0" xfId="43" applyFont="1" applyAlignment="1">
      <alignment wrapText="1"/>
    </xf>
    <xf numFmtId="14" fontId="20" fillId="0" borderId="0" xfId="0" applyNumberFormat="1" applyFont="1"/>
    <xf numFmtId="0" fontId="20" fillId="0" borderId="0" xfId="0" pivotButton="1" applyFont="1"/>
    <xf numFmtId="0" fontId="20" fillId="0" borderId="0" xfId="0" applyFont="1" applyAlignment="1">
      <alignment horizontal="left"/>
    </xf>
    <xf numFmtId="14" fontId="20" fillId="0" borderId="0" xfId="0" applyNumberFormat="1" applyFont="1" applyAlignment="1">
      <alignment horizontal="left"/>
    </xf>
    <xf numFmtId="0" fontId="19" fillId="0" borderId="12" xfId="0" applyFont="1" applyBorder="1"/>
    <xf numFmtId="0" fontId="19" fillId="0" borderId="0" xfId="0" applyFont="1"/>
    <xf numFmtId="0" fontId="20" fillId="0" borderId="10" xfId="0" applyFont="1" applyBorder="1"/>
    <xf numFmtId="9" fontId="20" fillId="0" borderId="0" xfId="43" applyFont="1"/>
    <xf numFmtId="0" fontId="20" fillId="34" borderId="0" xfId="0" applyFont="1" applyFill="1"/>
    <xf numFmtId="0" fontId="20" fillId="33" borderId="0" xfId="0" applyFont="1" applyFill="1"/>
    <xf numFmtId="0" fontId="20" fillId="0" borderId="0" xfId="0" applyFont="1" applyAlignment="1">
      <alignment horizontal="left" indent="1"/>
    </xf>
    <xf numFmtId="0" fontId="20" fillId="35" borderId="0" xfId="0" applyFont="1" applyFill="1" applyAlignment="1">
      <alignment horizontal="left"/>
    </xf>
    <xf numFmtId="0" fontId="20" fillId="35" borderId="0" xfId="0" applyFont="1" applyFill="1" applyAlignment="1">
      <alignment horizontal="left" indent="1"/>
    </xf>
    <xf numFmtId="0" fontId="20" fillId="0" borderId="0" xfId="0" applyFont="1" applyAlignment="1">
      <alignment horizontal="center"/>
    </xf>
    <xf numFmtId="0" fontId="20" fillId="0" borderId="0" xfId="0" pivotButton="1" applyFont="1" applyAlignment="1">
      <alignment horizontal="center"/>
    </xf>
    <xf numFmtId="0" fontId="19" fillId="0" borderId="11" xfId="0" applyFont="1" applyBorder="1" applyAlignment="1">
      <alignment horizontal="center"/>
    </xf>
    <xf numFmtId="9" fontId="19" fillId="0" borderId="11" xfId="43" applyFont="1" applyBorder="1" applyAlignment="1">
      <alignment horizontal="center"/>
    </xf>
    <xf numFmtId="4" fontId="20" fillId="0" borderId="0" xfId="0" applyNumberFormat="1" applyFont="1" applyAlignment="1">
      <alignment horizontal="center"/>
    </xf>
    <xf numFmtId="165" fontId="20" fillId="0" borderId="0" xfId="0" applyNumberFormat="1" applyFont="1" applyAlignment="1">
      <alignment horizontal="center"/>
    </xf>
    <xf numFmtId="10" fontId="21" fillId="0" borderId="0" xfId="43" applyNumberFormat="1" applyFont="1" applyFill="1" applyAlignment="1">
      <alignment horizontal="center"/>
    </xf>
    <xf numFmtId="10" fontId="22" fillId="0" borderId="0" xfId="43" applyNumberFormat="1" applyFont="1" applyFill="1" applyAlignment="1">
      <alignment horizontal="center"/>
    </xf>
    <xf numFmtId="0" fontId="22" fillId="0" borderId="0" xfId="0" applyFont="1" applyAlignment="1">
      <alignment horizontal="center"/>
    </xf>
    <xf numFmtId="9" fontId="20" fillId="0" borderId="0" xfId="0" quotePrefix="1" applyNumberFormat="1" applyFont="1"/>
    <xf numFmtId="43" fontId="20" fillId="0" borderId="0" xfId="44" applyFont="1" applyAlignment="1">
      <alignment horizontal="center"/>
    </xf>
    <xf numFmtId="164" fontId="20" fillId="0" borderId="0" xfId="44" applyNumberFormat="1" applyFont="1" applyAlignment="1">
      <alignment horizontal="center"/>
    </xf>
    <xf numFmtId="0" fontId="23" fillId="0" borderId="0" xfId="0" applyFont="1"/>
    <xf numFmtId="165" fontId="20" fillId="0" borderId="0" xfId="43" applyNumberFormat="1" applyFont="1" applyBorder="1" applyAlignment="1">
      <alignment horizontal="center"/>
    </xf>
    <xf numFmtId="1" fontId="20" fillId="0" borderId="0" xfId="0" applyNumberFormat="1" applyFont="1" applyAlignment="1">
      <alignment horizontal="center"/>
    </xf>
    <xf numFmtId="43" fontId="23" fillId="0" borderId="0" xfId="44" applyFont="1" applyAlignment="1">
      <alignment horizontal="center"/>
    </xf>
    <xf numFmtId="37" fontId="20" fillId="0" borderId="0" xfId="0" applyNumberFormat="1" applyFont="1" applyAlignment="1">
      <alignment horizontal="center"/>
    </xf>
    <xf numFmtId="37" fontId="20" fillId="35" borderId="0" xfId="0" applyNumberFormat="1" applyFont="1" applyFill="1" applyAlignment="1">
      <alignment horizontal="center"/>
    </xf>
    <xf numFmtId="4" fontId="20" fillId="35" borderId="0" xfId="0" applyNumberFormat="1" applyFont="1" applyFill="1" applyAlignment="1">
      <alignment horizontal="center"/>
    </xf>
    <xf numFmtId="3" fontId="20" fillId="0" borderId="0" xfId="0" applyNumberFormat="1" applyFont="1" applyAlignment="1">
      <alignment horizontal="center"/>
    </xf>
    <xf numFmtId="4" fontId="21" fillId="37" borderId="0" xfId="0" applyNumberFormat="1" applyFont="1" applyFill="1" applyAlignment="1">
      <alignment horizontal="center"/>
    </xf>
    <xf numFmtId="4" fontId="21" fillId="37" borderId="0" xfId="0" quotePrefix="1" applyNumberFormat="1" applyFont="1" applyFill="1" applyAlignment="1">
      <alignment horizontal="center"/>
    </xf>
    <xf numFmtId="9" fontId="21" fillId="37" borderId="0" xfId="0" quotePrefix="1" applyNumberFormat="1" applyFont="1" applyFill="1" applyAlignment="1">
      <alignment horizontal="center"/>
    </xf>
    <xf numFmtId="0" fontId="21" fillId="37" borderId="0" xfId="0" applyFont="1" applyFill="1" applyAlignment="1">
      <alignment horizontal="center"/>
    </xf>
    <xf numFmtId="0" fontId="22" fillId="37" borderId="0" xfId="0" applyFont="1" applyFill="1" applyAlignment="1">
      <alignment horizontal="center"/>
    </xf>
    <xf numFmtId="3" fontId="20" fillId="38" borderId="0" xfId="0" applyNumberFormat="1" applyFont="1" applyFill="1" applyAlignment="1">
      <alignment horizontal="center"/>
    </xf>
    <xf numFmtId="4" fontId="20" fillId="38" borderId="0" xfId="0" applyNumberFormat="1" applyFont="1" applyFill="1" applyAlignment="1">
      <alignment horizontal="center"/>
    </xf>
    <xf numFmtId="3" fontId="20" fillId="35" borderId="0" xfId="0" applyNumberFormat="1" applyFont="1" applyFill="1" applyAlignment="1">
      <alignment horizontal="center"/>
    </xf>
    <xf numFmtId="37" fontId="19" fillId="36" borderId="0" xfId="0" applyNumberFormat="1" applyFont="1" applyFill="1" applyAlignment="1">
      <alignment horizontal="center"/>
    </xf>
    <xf numFmtId="43" fontId="19" fillId="36" borderId="0" xfId="44" applyFont="1" applyFill="1" applyAlignment="1">
      <alignment horizontal="center"/>
    </xf>
    <xf numFmtId="3" fontId="19" fillId="39" borderId="0" xfId="0" applyNumberFormat="1" applyFont="1" applyFill="1" applyAlignment="1">
      <alignment horizontal="center"/>
    </xf>
    <xf numFmtId="4" fontId="19" fillId="39" borderId="0" xfId="0" applyNumberFormat="1" applyFont="1" applyFill="1" applyAlignment="1">
      <alignment horizontal="center"/>
    </xf>
    <xf numFmtId="3" fontId="19" fillId="35" borderId="0" xfId="0" applyNumberFormat="1" applyFont="1" applyFill="1" applyAlignment="1">
      <alignment horizontal="center"/>
    </xf>
    <xf numFmtId="4" fontId="19" fillId="35" borderId="0" xfId="0" applyNumberFormat="1" applyFont="1" applyFill="1" applyAlignment="1">
      <alignment horizontal="center"/>
    </xf>
    <xf numFmtId="4" fontId="23" fillId="0" borderId="0" xfId="44" applyNumberFormat="1" applyFont="1" applyAlignment="1">
      <alignment horizontal="center"/>
    </xf>
    <xf numFmtId="4" fontId="20" fillId="0" borderId="0" xfId="44" applyNumberFormat="1" applyFont="1" applyAlignment="1">
      <alignment horizontal="center"/>
    </xf>
    <xf numFmtId="4" fontId="19" fillId="36" borderId="0" xfId="44" applyNumberFormat="1" applyFont="1" applyFill="1" applyAlignment="1">
      <alignment horizontal="center"/>
    </xf>
    <xf numFmtId="3" fontId="20" fillId="0" borderId="0" xfId="44" applyNumberFormat="1" applyFont="1" applyAlignment="1">
      <alignment horizontal="center"/>
    </xf>
    <xf numFmtId="3" fontId="19" fillId="36" borderId="0" xfId="0" applyNumberFormat="1" applyFont="1" applyFill="1" applyAlignment="1">
      <alignment horizontal="center"/>
    </xf>
    <xf numFmtId="3" fontId="19" fillId="36" borderId="0" xfId="44" applyNumberFormat="1" applyFont="1" applyFill="1" applyAlignment="1">
      <alignment horizontal="center"/>
    </xf>
    <xf numFmtId="2" fontId="20" fillId="0" borderId="0" xfId="0" applyNumberFormat="1" applyFont="1" applyAlignment="1">
      <alignment horizontal="center"/>
    </xf>
    <xf numFmtId="167" fontId="20" fillId="0" borderId="0" xfId="42" applyNumberFormat="1" applyFont="1" applyAlignment="1"/>
    <xf numFmtId="9" fontId="19" fillId="0" borderId="14" xfId="43" applyFont="1" applyBorder="1" applyAlignment="1">
      <alignment horizontal="center"/>
    </xf>
    <xf numFmtId="165" fontId="20" fillId="0" borderId="13" xfId="43" applyNumberFormat="1" applyFont="1" applyBorder="1" applyAlignment="1">
      <alignment horizontal="center"/>
    </xf>
    <xf numFmtId="0" fontId="25" fillId="0" borderId="0" xfId="0" applyFont="1"/>
    <xf numFmtId="0" fontId="24" fillId="0" borderId="0" xfId="0" applyFont="1"/>
    <xf numFmtId="0" fontId="26" fillId="0" borderId="0" xfId="0" applyFont="1"/>
    <xf numFmtId="0" fontId="27" fillId="0" borderId="0" xfId="0" applyFont="1"/>
    <xf numFmtId="0" fontId="28" fillId="0" borderId="0" xfId="0" applyFont="1"/>
    <xf numFmtId="0" fontId="29" fillId="0" borderId="0" xfId="0" applyFont="1"/>
    <xf numFmtId="0" fontId="27" fillId="0" borderId="12" xfId="0" applyFont="1" applyBorder="1"/>
    <xf numFmtId="0" fontId="27" fillId="0" borderId="11" xfId="0" applyFont="1" applyBorder="1" applyAlignment="1">
      <alignment horizontal="center"/>
    </xf>
    <xf numFmtId="9" fontId="27" fillId="0" borderId="14" xfId="43" applyFont="1" applyBorder="1" applyAlignment="1">
      <alignment horizontal="center"/>
    </xf>
    <xf numFmtId="9" fontId="27" fillId="0" borderId="11" xfId="43" applyFont="1" applyBorder="1" applyAlignment="1">
      <alignment horizontal="center"/>
    </xf>
    <xf numFmtId="0" fontId="26" fillId="0" borderId="10" xfId="0" applyFont="1" applyBorder="1"/>
    <xf numFmtId="0" fontId="26" fillId="0" borderId="0" xfId="0" applyFont="1" applyAlignment="1">
      <alignment horizontal="center"/>
    </xf>
    <xf numFmtId="165" fontId="26" fillId="0" borderId="13" xfId="43" applyNumberFormat="1" applyFont="1" applyBorder="1" applyAlignment="1">
      <alignment horizontal="center"/>
    </xf>
    <xf numFmtId="165" fontId="26" fillId="0" borderId="0" xfId="43" applyNumberFormat="1" applyFont="1" applyBorder="1" applyAlignment="1">
      <alignment horizontal="center"/>
    </xf>
    <xf numFmtId="2" fontId="34" fillId="40" borderId="0" xfId="0" applyNumberFormat="1" applyFont="1" applyFill="1" applyAlignment="1">
      <alignment horizontal="center"/>
    </xf>
    <xf numFmtId="0" fontId="34" fillId="40" borderId="0" xfId="0" applyFont="1" applyFill="1"/>
    <xf numFmtId="166" fontId="26" fillId="41" borderId="0" xfId="0" applyNumberFormat="1" applyFont="1" applyFill="1" applyAlignment="1">
      <alignment horizontal="center"/>
    </xf>
    <xf numFmtId="166" fontId="26" fillId="36" borderId="0" xfId="0" applyNumberFormat="1" applyFont="1" applyFill="1" applyAlignment="1">
      <alignment horizontal="center"/>
    </xf>
    <xf numFmtId="166" fontId="26" fillId="0" borderId="0" xfId="0" applyNumberFormat="1" applyFont="1" applyAlignment="1">
      <alignment horizontal="center"/>
    </xf>
    <xf numFmtId="166" fontId="26" fillId="34" borderId="0" xfId="0" applyNumberFormat="1" applyFont="1" applyFill="1" applyAlignment="1">
      <alignment horizontal="center"/>
    </xf>
    <xf numFmtId="2" fontId="26" fillId="0" borderId="0" xfId="0" applyNumberFormat="1" applyFont="1" applyAlignment="1">
      <alignment horizontal="center"/>
    </xf>
    <xf numFmtId="2" fontId="30" fillId="0" borderId="0" xfId="0" applyNumberFormat="1" applyFont="1" applyAlignment="1">
      <alignment horizontal="center"/>
    </xf>
    <xf numFmtId="168" fontId="26" fillId="0" borderId="0" xfId="0" applyNumberFormat="1" applyFont="1" applyAlignment="1">
      <alignment horizontal="center"/>
    </xf>
    <xf numFmtId="0" fontId="20" fillId="42" borderId="0" xfId="0" applyFont="1" applyFill="1"/>
    <xf numFmtId="0" fontId="23" fillId="36" borderId="0" xfId="0" applyFont="1" applyFill="1"/>
    <xf numFmtId="0" fontId="20" fillId="36" borderId="0" xfId="0" applyFont="1" applyFill="1"/>
    <xf numFmtId="0" fontId="35" fillId="40" borderId="0" xfId="0" applyFont="1" applyFill="1"/>
    <xf numFmtId="2" fontId="20" fillId="0" borderId="0" xfId="0" applyNumberFormat="1" applyFont="1"/>
    <xf numFmtId="1" fontId="19" fillId="0" borderId="0" xfId="0" applyNumberFormat="1" applyFont="1" applyAlignment="1">
      <alignment horizontal="center"/>
    </xf>
    <xf numFmtId="1" fontId="20" fillId="0" borderId="0" xfId="0" applyNumberFormat="1" applyFont="1"/>
    <xf numFmtId="2" fontId="19" fillId="0" borderId="0" xfId="42" applyNumberFormat="1" applyFont="1" applyAlignment="1">
      <alignment horizontal="center"/>
    </xf>
    <xf numFmtId="2" fontId="20" fillId="0" borderId="0" xfId="42" applyNumberFormat="1" applyFont="1" applyAlignment="1"/>
    <xf numFmtId="0" fontId="21" fillId="43" borderId="0" xfId="0" applyFont="1" applyFill="1"/>
    <xf numFmtId="0" fontId="21" fillId="4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9" fillId="45" borderId="0" xfId="0" applyFont="1" applyFill="1" applyAlignment="1">
      <alignment horizontal="left"/>
    </xf>
    <xf numFmtId="2" fontId="19" fillId="45" borderId="0" xfId="0" applyNumberFormat="1" applyFont="1" applyFill="1" applyAlignment="1">
      <alignment horizontal="center"/>
    </xf>
    <xf numFmtId="0" fontId="19" fillId="46" borderId="15" xfId="0" applyFont="1" applyFill="1" applyBorder="1" applyAlignment="1">
      <alignment horizontal="left"/>
    </xf>
    <xf numFmtId="2" fontId="19" fillId="46" borderId="15" xfId="0" applyNumberFormat="1" applyFont="1" applyFill="1" applyBorder="1" applyAlignment="1">
      <alignment horizontal="center"/>
    </xf>
    <xf numFmtId="0" fontId="20" fillId="44" borderId="0" xfId="0" applyFont="1" applyFill="1" applyAlignment="1">
      <alignment horizontal="left" indent="1"/>
    </xf>
    <xf numFmtId="2" fontId="20" fillId="44" borderId="0" xfId="0" applyNumberFormat="1" applyFont="1" applyFill="1" applyAlignment="1">
      <alignment horizontal="center"/>
    </xf>
    <xf numFmtId="0" fontId="31" fillId="0" borderId="0" xfId="0" applyFont="1" applyAlignment="1">
      <alignment horizontal="left"/>
    </xf>
    <xf numFmtId="0" fontId="32" fillId="0" borderId="0" xfId="0" applyFont="1" applyAlignment="1">
      <alignment horizontal="left"/>
    </xf>
    <xf numFmtId="0" fontId="30" fillId="0" borderId="0" xfId="0" applyFont="1" applyAlignment="1">
      <alignment horizontal="left"/>
    </xf>
    <xf numFmtId="0" fontId="33" fillId="0" borderId="0" xfId="0" applyFont="1" applyAlignment="1">
      <alignment horizontal="left"/>
    </xf>
    <xf numFmtId="0" fontId="28" fillId="0" borderId="0" xfId="0" applyFont="1"/>
    <xf numFmtId="0" fontId="33" fillId="0" borderId="0" xfId="0" applyFont="1"/>
    <xf numFmtId="165" fontId="20" fillId="38" borderId="0" xfId="43" applyNumberFormat="1" applyFont="1" applyFill="1" applyAlignment="1">
      <alignment horizontal="center"/>
    </xf>
    <xf numFmtId="0" fontId="21" fillId="47" borderId="0" xfId="0" applyFont="1" applyFill="1" applyAlignment="1">
      <alignment horizontal="center"/>
    </xf>
    <xf numFmtId="165" fontId="21" fillId="47" borderId="0" xfId="43" applyNumberFormat="1" applyFont="1" applyFill="1" applyAlignment="1">
      <alignment horizontal="center"/>
    </xf>
    <xf numFmtId="165" fontId="20" fillId="48" borderId="0" xfId="43" applyNumberFormat="1" applyFont="1" applyFill="1" applyAlignment="1">
      <alignment horizontal="center"/>
    </xf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4" builtinId="3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3" builtinId="5"/>
    <cellStyle name="Title" xfId="1" builtinId="15" customBuiltin="1"/>
    <cellStyle name="Total" xfId="17" builtinId="25" customBuiltin="1"/>
    <cellStyle name="Warning Text" xfId="14" builtinId="11" customBuiltin="1"/>
  </cellStyles>
  <dxfs count="458">
    <dxf>
      <fill>
        <patternFill>
          <bgColor theme="9" tint="0.39994506668294322"/>
        </patternFill>
      </fill>
    </dxf>
    <dxf>
      <fill>
        <patternFill>
          <bgColor rgb="FFFF7E79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ont>
        <strike val="0"/>
        <outline val="0"/>
        <shadow val="0"/>
        <u val="none"/>
        <vertAlign val="baseline"/>
        <name val="Garamond"/>
        <family val="1"/>
        <scheme val="none"/>
      </font>
    </dxf>
    <dxf>
      <font>
        <strike val="0"/>
        <outline val="0"/>
        <shadow val="0"/>
        <u val="none"/>
        <vertAlign val="baseline"/>
        <name val="Garamond"/>
        <family val="1"/>
        <scheme val="none"/>
      </font>
    </dxf>
    <dxf>
      <font>
        <strike val="0"/>
        <outline val="0"/>
        <shadow val="0"/>
        <u val="none"/>
        <vertAlign val="baseline"/>
        <name val="Garamond"/>
        <family val="1"/>
        <scheme val="none"/>
      </font>
    </dxf>
    <dxf>
      <font>
        <strike val="0"/>
        <outline val="0"/>
        <shadow val="0"/>
        <u val="none"/>
        <vertAlign val="baseline"/>
        <name val="Garamond"/>
        <family val="1"/>
        <scheme val="none"/>
      </font>
    </dxf>
    <dxf>
      <font>
        <strike val="0"/>
        <outline val="0"/>
        <shadow val="0"/>
        <u val="none"/>
        <vertAlign val="baseline"/>
        <name val="Garamond"/>
        <family val="1"/>
        <scheme val="none"/>
      </font>
    </dxf>
    <dxf>
      <font>
        <strike val="0"/>
        <outline val="0"/>
        <shadow val="0"/>
        <u val="none"/>
        <vertAlign val="baseline"/>
        <name val="Garamond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Garamond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Garamond"/>
        <family val="1"/>
        <scheme val="none"/>
      </font>
      <numFmt numFmtId="165" formatCode="0.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Garamond"/>
        <family val="1"/>
        <scheme val="none"/>
      </font>
      <numFmt numFmtId="13" formatCode="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Garamond"/>
        <family val="1"/>
        <scheme val="none"/>
      </font>
      <numFmt numFmtId="165" formatCode="0.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Garamond"/>
        <family val="1"/>
        <scheme val="none"/>
      </font>
      <numFmt numFmtId="13" formatCode="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Garamond"/>
        <family val="1"/>
        <scheme val="none"/>
      </font>
      <numFmt numFmtId="165" formatCode="0.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Garamond"/>
        <family val="1"/>
        <scheme val="none"/>
      </font>
      <numFmt numFmtId="13" formatCode="0%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Garamond"/>
        <family val="1"/>
        <scheme val="none"/>
      </font>
      <numFmt numFmtId="165" formatCode="0.0%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Garamond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Garamond"/>
        <family val="1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Garamond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Garamond"/>
        <family val="1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Garamond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Garamond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Garamond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Garamond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Garamond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Garamond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Garamond"/>
        <family val="1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4"/>
        <color theme="1"/>
        <name val="Garamond"/>
        <family val="1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Garamond"/>
        <family val="1"/>
        <scheme val="none"/>
      </font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Garamond"/>
        <family val="1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Garamond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Garamond"/>
        <family val="1"/>
        <scheme val="none"/>
      </font>
      <numFmt numFmtId="166" formatCode="0.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Garamond"/>
        <family val="1"/>
        <scheme val="none"/>
      </font>
      <numFmt numFmtId="166" formatCode="0.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Garamond"/>
        <family val="1"/>
        <scheme val="none"/>
      </font>
      <numFmt numFmtId="166" formatCode="0.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Garamond"/>
        <family val="1"/>
        <scheme val="none"/>
      </font>
      <numFmt numFmtId="166" formatCode="0.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Garamond"/>
        <family val="1"/>
        <scheme val="none"/>
      </font>
      <numFmt numFmtId="166" formatCode="0.0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Garamond"/>
        <family val="1"/>
        <scheme val="none"/>
      </font>
      <fill>
        <patternFill patternType="solid">
          <fgColor indexed="64"/>
          <bgColor rgb="FF00206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Garamond"/>
        <family val="1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Garamond"/>
        <family val="1"/>
        <scheme val="none"/>
      </font>
      <numFmt numFmtId="2" formatCode="0.00"/>
      <fill>
        <patternFill patternType="solid">
          <fgColor indexed="64"/>
          <bgColor rgb="FF002060"/>
        </patternFill>
      </fill>
      <alignment horizontal="center" vertical="bottom" textRotation="0" wrapText="0" indent="0" justifyLastLine="0" shrinkToFit="0" readingOrder="0"/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numFmt numFmtId="0" formatCode="General"/>
    </dxf>
    <dxf>
      <font>
        <name val="Garamond"/>
        <family val="1"/>
        <scheme val="none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5" formatCode="0.0%"/>
    </dxf>
    <dxf>
      <numFmt numFmtId="14" formatCode="0.00%"/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5" formatCode="0.0%"/>
    </dxf>
    <dxf>
      <numFmt numFmtId="14" formatCode="0.00%"/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0" formatCode="General"/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Garamond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Garamond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Garamond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Garamond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Garamond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Garamond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Garamond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Garamond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Garamond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Garamond"/>
        <family val="1"/>
        <scheme val="none"/>
      </font>
    </dxf>
    <dxf>
      <alignment horizontal="center"/>
    </dxf>
    <dxf>
      <alignment horizontal="center"/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numFmt numFmtId="4" formatCode="#,##0.00"/>
    </dxf>
    <dxf>
      <numFmt numFmtId="3" formatCode="#,##0"/>
    </dxf>
    <dxf>
      <numFmt numFmtId="3" formatCode="#,##0"/>
    </dxf>
    <dxf>
      <numFmt numFmtId="4" formatCode="#,##0.00"/>
    </dxf>
    <dxf>
      <numFmt numFmtId="4" formatCode="#,##0.00"/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alignment horizontal="center"/>
    </dxf>
    <dxf>
      <alignment horizontal="center"/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alignment horizontal="center"/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numFmt numFmtId="1" formatCode="0"/>
    </dxf>
    <dxf>
      <numFmt numFmtId="1" formatCode="0"/>
    </dxf>
    <dxf>
      <alignment horizontal="center"/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alignment horizontal="center"/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horizontal="center"/>
    </dxf>
    <dxf>
      <numFmt numFmtId="13" formatCode="0%"/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alignment horizontal="center"/>
    </dxf>
    <dxf>
      <alignment horizontal="center"/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5" formatCode="#,##0_);\(#,##0\)"/>
    </dxf>
    <dxf>
      <numFmt numFmtId="5" formatCode="#,##0_);\(#,##0\)"/>
    </dxf>
    <dxf>
      <numFmt numFmtId="35" formatCode="_(* #,##0.00_);_(* \(#,##0.00\);_(* &quot;-&quot;??_);_(@_)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" formatCode="0"/>
    </dxf>
    <dxf>
      <numFmt numFmtId="1" formatCode="0"/>
    </dxf>
    <dxf>
      <alignment horizontal="center"/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alignment horizontal="center"/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horizontal="center"/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Garamond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Garamond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Garamond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Garamond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Garamond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Garamond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Garamond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Garamond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Garamond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Garamond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Garamond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Garamond"/>
        <family val="1"/>
        <scheme val="none"/>
      </font>
      <numFmt numFmtId="165" formatCode="0.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Garamond"/>
        <family val="1"/>
        <scheme val="none"/>
      </font>
      <numFmt numFmtId="13" formatCode="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Garamond"/>
        <family val="1"/>
        <scheme val="none"/>
      </font>
      <numFmt numFmtId="165" formatCode="0.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Garamond"/>
        <family val="1"/>
        <scheme val="none"/>
      </font>
      <numFmt numFmtId="13" formatCode="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Garamond"/>
        <family val="1"/>
        <scheme val="none"/>
      </font>
      <numFmt numFmtId="165" formatCode="0.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Garamond"/>
        <family val="1"/>
        <scheme val="none"/>
      </font>
      <numFmt numFmtId="13" formatCode="0%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Garamond"/>
        <family val="1"/>
        <scheme val="none"/>
      </font>
      <numFmt numFmtId="165" formatCode="0.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Garamond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Garamond"/>
        <family val="1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Garamond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Garamond"/>
        <family val="1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Garamond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Garamond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Garamond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Garamond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Garamond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Garamond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Garamond"/>
        <family val="1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2"/>
        <color theme="1"/>
        <name val="Garamond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Garamond"/>
        <family val="1"/>
        <scheme val="none"/>
      </font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Garamond"/>
        <family val="1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Garamond"/>
        <family val="1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Garamond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Garamond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Garamond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Garamond"/>
        <family val="1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Garamond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Garamond"/>
        <family val="1"/>
        <scheme val="none"/>
      </font>
      <alignment horizontal="center" vertical="bottom" textRotation="0" wrapText="0" indent="0" justifyLastLine="0" shrinkToFit="0" readingOrder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5" formatCode="0.0%"/>
    </dxf>
    <dxf>
      <numFmt numFmtId="14" formatCode="0.00%"/>
    </dxf>
    <dxf>
      <alignment horizontal="center"/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numFmt numFmtId="0" formatCode="General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numFmt numFmtId="165" formatCode="0.0%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numFmt numFmtId="165" formatCode="0.0%"/>
    </dxf>
    <dxf>
      <alignment horizontal="center"/>
    </dxf>
    <dxf>
      <alignment horizontal="center"/>
    </dxf>
    <dxf>
      <alignment horizontal="center"/>
    </dxf>
    <dxf>
      <numFmt numFmtId="14" formatCode="0.00%"/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alignment horizontal="center"/>
    </dxf>
    <dxf>
      <alignment horizontal="center"/>
    </dxf>
    <dxf>
      <alignment horizontal="center"/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Garamond"/>
        <family val="1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Garamond"/>
        <family val="1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Garamond"/>
        <family val="1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Garamond"/>
        <family val="1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Garamond"/>
        <family val="1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Garamond"/>
        <family val="1"/>
        <scheme val="none"/>
      </font>
      <alignment horizontal="left" vertical="bottom" textRotation="0" wrapText="0" indent="1" justifyLastLine="0" shrinkToFit="0" readingOrder="0"/>
    </dxf>
    <dxf>
      <border outline="0">
        <bottom style="medium">
          <color theme="4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Garamond"/>
        <family val="1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Garamond"/>
        <family val="1"/>
        <scheme val="none"/>
      </font>
      <fill>
        <patternFill patternType="solid">
          <fgColor theme="4"/>
          <bgColor theme="4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numFmt numFmtId="2" formatCode="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Garamond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Garamond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Garamond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Garamond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Garamond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Garamond"/>
        <family val="1"/>
        <scheme val="none"/>
      </font>
      <numFmt numFmtId="19" formatCode="m/d/yy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Garamond"/>
        <family val="1"/>
        <scheme val="none"/>
      </font>
      <numFmt numFmtId="19" formatCode="m/d/yy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Garamond"/>
        <family val="1"/>
        <scheme val="none"/>
      </font>
      <numFmt numFmtId="19" formatCode="m/d/yy"/>
    </dxf>
    <dxf>
      <font>
        <strike val="0"/>
        <outline val="0"/>
        <shadow val="0"/>
        <u val="none"/>
        <vertAlign val="baseline"/>
        <sz val="12"/>
        <color theme="1"/>
        <name val="Garamond"/>
        <family val="1"/>
        <scheme val="none"/>
      </font>
      <numFmt numFmtId="19" formatCode="m/d/yy"/>
    </dxf>
    <dxf>
      <font>
        <strike val="0"/>
        <outline val="0"/>
        <shadow val="0"/>
        <u val="none"/>
        <vertAlign val="baseline"/>
        <sz val="12"/>
        <color theme="1"/>
        <name val="Garamond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Garamond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Garamond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Garamond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Garamond"/>
        <family val="1"/>
        <scheme val="none"/>
      </font>
      <numFmt numFmtId="2" formatCode="0.00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Garamond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Garamond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Garamond"/>
        <family val="1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Garamond"/>
        <family val="1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12"/>
        <color theme="1"/>
        <name val="Garamond"/>
        <family val="1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12"/>
        <color theme="1"/>
        <name val="Garamond"/>
        <family val="1"/>
        <scheme val="none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Garamond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Garamond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Garamond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Garamond"/>
        <family val="1"/>
        <scheme val="none"/>
      </font>
      <alignment horizontal="center" vertical="bottom" textRotation="0" wrapText="0" indent="0" justifyLastLine="0" shrinkToFit="0" readingOrder="0"/>
    </dxf>
  </dxfs>
  <tableStyles count="1" defaultTableStyle="TableStyleMedium2" defaultPivotStyle="PivotStyleLight16">
    <tableStyle name="Table Style 1" pivot="0" count="0" xr9:uid="{76078526-1085-DC48-89F1-C81DD3804C85}"/>
  </tableStyles>
  <colors>
    <mruColors>
      <color rgb="FF00FA00"/>
      <color rgb="FF76D6FF"/>
      <color rgb="FF9437FF"/>
      <color rgb="FFFF40FF"/>
      <color rgb="FF941651"/>
      <color rgb="FFFF7E79"/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2.xml"/><Relationship Id="rId28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1.xml"/><Relationship Id="rId27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Ex8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[crowd_funding_analysis.xlsx]Outcomes vs. Categories!OutcomesCategoriesPivotTable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none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 i="0" u="none" strike="noStrike" kern="1200" cap="none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Garamond" panose="02020404030301010803" pitchFamily="18" charset="0"/>
              </a:rPr>
              <a:t>Outcomes (%) vs. Categories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none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1"/>
          <c:order val="0"/>
          <c:tx>
            <c:strRef>
              <c:f>'Outcomes vs. Categories'!$B$4:$B$5</c:f>
              <c:strCache>
                <c:ptCount val="1"/>
                <c:pt idx="0">
                  <c:v>canceled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multiLvlStrRef>
              <c:f>'Outcomes vs. Categories'!$A$6:$A$39</c:f>
              <c:multiLvlStrCache>
                <c:ptCount val="24"/>
                <c:lvl>
                  <c:pt idx="0">
                    <c:v>animation</c:v>
                  </c:pt>
                  <c:pt idx="1">
                    <c:v>documentary</c:v>
                  </c:pt>
                  <c:pt idx="2">
                    <c:v>drama</c:v>
                  </c:pt>
                  <c:pt idx="3">
                    <c:v>science fiction</c:v>
                  </c:pt>
                  <c:pt idx="4">
                    <c:v>shorts</c:v>
                  </c:pt>
                  <c:pt idx="5">
                    <c:v>television</c:v>
                  </c:pt>
                  <c:pt idx="6">
                    <c:v>food trucks</c:v>
                  </c:pt>
                  <c:pt idx="7">
                    <c:v>mobile games</c:v>
                  </c:pt>
                  <c:pt idx="8">
                    <c:v>video games</c:v>
                  </c:pt>
                  <c:pt idx="9">
                    <c:v>audio</c:v>
                  </c:pt>
                  <c:pt idx="10">
                    <c:v>electric music</c:v>
                  </c:pt>
                  <c:pt idx="11">
                    <c:v>indie rock</c:v>
                  </c:pt>
                  <c:pt idx="12">
                    <c:v>jazz</c:v>
                  </c:pt>
                  <c:pt idx="13">
                    <c:v>metal</c:v>
                  </c:pt>
                  <c:pt idx="14">
                    <c:v>rock</c:v>
                  </c:pt>
                  <c:pt idx="15">
                    <c:v>world music</c:v>
                  </c:pt>
                  <c:pt idx="16">
                    <c:v>photography books</c:v>
                  </c:pt>
                  <c:pt idx="17">
                    <c:v>fiction</c:v>
                  </c:pt>
                  <c:pt idx="18">
                    <c:v>nonfiction</c:v>
                  </c:pt>
                  <c:pt idx="19">
                    <c:v>radio &amp; podcasts</c:v>
                  </c:pt>
                  <c:pt idx="20">
                    <c:v>translations</c:v>
                  </c:pt>
                  <c:pt idx="21">
                    <c:v>wearables</c:v>
                  </c:pt>
                  <c:pt idx="22">
                    <c:v>web</c:v>
                  </c:pt>
                  <c:pt idx="23">
                    <c:v>plays</c:v>
                  </c:pt>
                </c:lvl>
                <c:lvl>
                  <c:pt idx="0">
                    <c:v>film &amp; video</c:v>
                  </c:pt>
                  <c:pt idx="6">
                    <c:v>food</c:v>
                  </c:pt>
                  <c:pt idx="7">
                    <c:v>games</c:v>
                  </c:pt>
                  <c:pt idx="9">
                    <c:v>journalism</c:v>
                  </c:pt>
                  <c:pt idx="10">
                    <c:v>music</c:v>
                  </c:pt>
                  <c:pt idx="16">
                    <c:v>photography</c:v>
                  </c:pt>
                  <c:pt idx="17">
                    <c:v>publishing</c:v>
                  </c:pt>
                  <c:pt idx="21">
                    <c:v>technology</c:v>
                  </c:pt>
                  <c:pt idx="23">
                    <c:v>theater</c:v>
                  </c:pt>
                </c:lvl>
              </c:multiLvlStrCache>
            </c:multiLvlStrRef>
          </c:cat>
          <c:val>
            <c:numRef>
              <c:f>'Outcomes vs. Categories'!$B$6:$B$39</c:f>
              <c:numCache>
                <c:formatCode>General</c:formatCode>
                <c:ptCount val="24"/>
                <c:pt idx="0">
                  <c:v>1</c:v>
                </c:pt>
                <c:pt idx="1">
                  <c:v>4</c:v>
                </c:pt>
                <c:pt idx="2">
                  <c:v>2</c:v>
                </c:pt>
                <c:pt idx="4">
                  <c:v>1</c:v>
                </c:pt>
                <c:pt idx="5">
                  <c:v>3</c:v>
                </c:pt>
                <c:pt idx="6">
                  <c:v>4</c:v>
                </c:pt>
                <c:pt idx="8">
                  <c:v>1</c:v>
                </c:pt>
                <c:pt idx="11">
                  <c:v>3</c:v>
                </c:pt>
                <c:pt idx="12">
                  <c:v>1</c:v>
                </c:pt>
                <c:pt idx="14">
                  <c:v>6</c:v>
                </c:pt>
                <c:pt idx="16">
                  <c:v>4</c:v>
                </c:pt>
                <c:pt idx="17">
                  <c:v>1</c:v>
                </c:pt>
                <c:pt idx="18">
                  <c:v>1</c:v>
                </c:pt>
                <c:pt idx="22">
                  <c:v>2</c:v>
                </c:pt>
                <c:pt idx="23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0C-2C45-A97B-665BFDB9BA4C}"/>
            </c:ext>
          </c:extLst>
        </c:ser>
        <c:ser>
          <c:idx val="2"/>
          <c:order val="1"/>
          <c:tx>
            <c:strRef>
              <c:f>'Outcomes vs. Categories'!$C$4:$C$5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multiLvlStrRef>
              <c:f>'Outcomes vs. Categories'!$A$6:$A$39</c:f>
              <c:multiLvlStrCache>
                <c:ptCount val="24"/>
                <c:lvl>
                  <c:pt idx="0">
                    <c:v>animation</c:v>
                  </c:pt>
                  <c:pt idx="1">
                    <c:v>documentary</c:v>
                  </c:pt>
                  <c:pt idx="2">
                    <c:v>drama</c:v>
                  </c:pt>
                  <c:pt idx="3">
                    <c:v>science fiction</c:v>
                  </c:pt>
                  <c:pt idx="4">
                    <c:v>shorts</c:v>
                  </c:pt>
                  <c:pt idx="5">
                    <c:v>television</c:v>
                  </c:pt>
                  <c:pt idx="6">
                    <c:v>food trucks</c:v>
                  </c:pt>
                  <c:pt idx="7">
                    <c:v>mobile games</c:v>
                  </c:pt>
                  <c:pt idx="8">
                    <c:v>video games</c:v>
                  </c:pt>
                  <c:pt idx="9">
                    <c:v>audio</c:v>
                  </c:pt>
                  <c:pt idx="10">
                    <c:v>electric music</c:v>
                  </c:pt>
                  <c:pt idx="11">
                    <c:v>indie rock</c:v>
                  </c:pt>
                  <c:pt idx="12">
                    <c:v>jazz</c:v>
                  </c:pt>
                  <c:pt idx="13">
                    <c:v>metal</c:v>
                  </c:pt>
                  <c:pt idx="14">
                    <c:v>rock</c:v>
                  </c:pt>
                  <c:pt idx="15">
                    <c:v>world music</c:v>
                  </c:pt>
                  <c:pt idx="16">
                    <c:v>photography books</c:v>
                  </c:pt>
                  <c:pt idx="17">
                    <c:v>fiction</c:v>
                  </c:pt>
                  <c:pt idx="18">
                    <c:v>nonfiction</c:v>
                  </c:pt>
                  <c:pt idx="19">
                    <c:v>radio &amp; podcasts</c:v>
                  </c:pt>
                  <c:pt idx="20">
                    <c:v>translations</c:v>
                  </c:pt>
                  <c:pt idx="21">
                    <c:v>wearables</c:v>
                  </c:pt>
                  <c:pt idx="22">
                    <c:v>web</c:v>
                  </c:pt>
                  <c:pt idx="23">
                    <c:v>plays</c:v>
                  </c:pt>
                </c:lvl>
                <c:lvl>
                  <c:pt idx="0">
                    <c:v>film &amp; video</c:v>
                  </c:pt>
                  <c:pt idx="6">
                    <c:v>food</c:v>
                  </c:pt>
                  <c:pt idx="7">
                    <c:v>games</c:v>
                  </c:pt>
                  <c:pt idx="9">
                    <c:v>journalism</c:v>
                  </c:pt>
                  <c:pt idx="10">
                    <c:v>music</c:v>
                  </c:pt>
                  <c:pt idx="16">
                    <c:v>photography</c:v>
                  </c:pt>
                  <c:pt idx="17">
                    <c:v>publishing</c:v>
                  </c:pt>
                  <c:pt idx="21">
                    <c:v>technology</c:v>
                  </c:pt>
                  <c:pt idx="23">
                    <c:v>theater</c:v>
                  </c:pt>
                </c:lvl>
              </c:multiLvlStrCache>
            </c:multiLvlStrRef>
          </c:cat>
          <c:val>
            <c:numRef>
              <c:f>'Outcomes vs. Categories'!$C$6:$C$39</c:f>
              <c:numCache>
                <c:formatCode>General</c:formatCode>
                <c:ptCount val="24"/>
                <c:pt idx="0">
                  <c:v>10</c:v>
                </c:pt>
                <c:pt idx="1">
                  <c:v>21</c:v>
                </c:pt>
                <c:pt idx="2">
                  <c:v>12</c:v>
                </c:pt>
                <c:pt idx="3">
                  <c:v>9</c:v>
                </c:pt>
                <c:pt idx="4">
                  <c:v>5</c:v>
                </c:pt>
                <c:pt idx="5">
                  <c:v>3</c:v>
                </c:pt>
                <c:pt idx="6">
                  <c:v>20</c:v>
                </c:pt>
                <c:pt idx="7">
                  <c:v>8</c:v>
                </c:pt>
                <c:pt idx="8">
                  <c:v>15</c:v>
                </c:pt>
                <c:pt idx="10">
                  <c:v>8</c:v>
                </c:pt>
                <c:pt idx="11">
                  <c:v>19</c:v>
                </c:pt>
                <c:pt idx="12">
                  <c:v>6</c:v>
                </c:pt>
                <c:pt idx="13">
                  <c:v>3</c:v>
                </c:pt>
                <c:pt idx="14">
                  <c:v>30</c:v>
                </c:pt>
                <c:pt idx="16">
                  <c:v>11</c:v>
                </c:pt>
                <c:pt idx="17">
                  <c:v>7</c:v>
                </c:pt>
                <c:pt idx="18">
                  <c:v>6</c:v>
                </c:pt>
                <c:pt idx="19">
                  <c:v>4</c:v>
                </c:pt>
                <c:pt idx="20">
                  <c:v>7</c:v>
                </c:pt>
                <c:pt idx="21">
                  <c:v>16</c:v>
                </c:pt>
                <c:pt idx="22">
                  <c:v>12</c:v>
                </c:pt>
                <c:pt idx="23">
                  <c:v>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C-2C45-A97B-665BFDB9BA4C}"/>
            </c:ext>
          </c:extLst>
        </c:ser>
        <c:ser>
          <c:idx val="3"/>
          <c:order val="2"/>
          <c:tx>
            <c:strRef>
              <c:f>'Outcomes vs. Categories'!$D$4:$D$5</c:f>
              <c:strCache>
                <c:ptCount val="1"/>
                <c:pt idx="0">
                  <c:v>live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multiLvlStrRef>
              <c:f>'Outcomes vs. Categories'!$A$6:$A$39</c:f>
              <c:multiLvlStrCache>
                <c:ptCount val="24"/>
                <c:lvl>
                  <c:pt idx="0">
                    <c:v>animation</c:v>
                  </c:pt>
                  <c:pt idx="1">
                    <c:v>documentary</c:v>
                  </c:pt>
                  <c:pt idx="2">
                    <c:v>drama</c:v>
                  </c:pt>
                  <c:pt idx="3">
                    <c:v>science fiction</c:v>
                  </c:pt>
                  <c:pt idx="4">
                    <c:v>shorts</c:v>
                  </c:pt>
                  <c:pt idx="5">
                    <c:v>television</c:v>
                  </c:pt>
                  <c:pt idx="6">
                    <c:v>food trucks</c:v>
                  </c:pt>
                  <c:pt idx="7">
                    <c:v>mobile games</c:v>
                  </c:pt>
                  <c:pt idx="8">
                    <c:v>video games</c:v>
                  </c:pt>
                  <c:pt idx="9">
                    <c:v>audio</c:v>
                  </c:pt>
                  <c:pt idx="10">
                    <c:v>electric music</c:v>
                  </c:pt>
                  <c:pt idx="11">
                    <c:v>indie rock</c:v>
                  </c:pt>
                  <c:pt idx="12">
                    <c:v>jazz</c:v>
                  </c:pt>
                  <c:pt idx="13">
                    <c:v>metal</c:v>
                  </c:pt>
                  <c:pt idx="14">
                    <c:v>rock</c:v>
                  </c:pt>
                  <c:pt idx="15">
                    <c:v>world music</c:v>
                  </c:pt>
                  <c:pt idx="16">
                    <c:v>photography books</c:v>
                  </c:pt>
                  <c:pt idx="17">
                    <c:v>fiction</c:v>
                  </c:pt>
                  <c:pt idx="18">
                    <c:v>nonfiction</c:v>
                  </c:pt>
                  <c:pt idx="19">
                    <c:v>radio &amp; podcasts</c:v>
                  </c:pt>
                  <c:pt idx="20">
                    <c:v>translations</c:v>
                  </c:pt>
                  <c:pt idx="21">
                    <c:v>wearables</c:v>
                  </c:pt>
                  <c:pt idx="22">
                    <c:v>web</c:v>
                  </c:pt>
                  <c:pt idx="23">
                    <c:v>plays</c:v>
                  </c:pt>
                </c:lvl>
                <c:lvl>
                  <c:pt idx="0">
                    <c:v>film &amp; video</c:v>
                  </c:pt>
                  <c:pt idx="6">
                    <c:v>food</c:v>
                  </c:pt>
                  <c:pt idx="7">
                    <c:v>games</c:v>
                  </c:pt>
                  <c:pt idx="9">
                    <c:v>journalism</c:v>
                  </c:pt>
                  <c:pt idx="10">
                    <c:v>music</c:v>
                  </c:pt>
                  <c:pt idx="16">
                    <c:v>photography</c:v>
                  </c:pt>
                  <c:pt idx="17">
                    <c:v>publishing</c:v>
                  </c:pt>
                  <c:pt idx="21">
                    <c:v>technology</c:v>
                  </c:pt>
                  <c:pt idx="23">
                    <c:v>theater</c:v>
                  </c:pt>
                </c:lvl>
              </c:multiLvlStrCache>
            </c:multiLvlStrRef>
          </c:cat>
          <c:val>
            <c:numRef>
              <c:f>'Outcomes vs. Categories'!$D$6:$D$39</c:f>
              <c:numCache>
                <c:formatCode>General</c:formatCode>
                <c:ptCount val="24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4">
                  <c:v>1</c:v>
                </c:pt>
                <c:pt idx="7">
                  <c:v>1</c:v>
                </c:pt>
                <c:pt idx="8">
                  <c:v>2</c:v>
                </c:pt>
                <c:pt idx="16">
                  <c:v>1</c:v>
                </c:pt>
                <c:pt idx="18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B0C-2C45-A97B-665BFDB9BA4C}"/>
            </c:ext>
          </c:extLst>
        </c:ser>
        <c:ser>
          <c:idx val="0"/>
          <c:order val="3"/>
          <c:tx>
            <c:strRef>
              <c:f>'Outcomes vs. Categories'!$E$4:$E$5</c:f>
              <c:strCache>
                <c:ptCount val="1"/>
                <c:pt idx="0">
                  <c:v>successful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multiLvlStrRef>
              <c:f>'Outcomes vs. Categories'!$A$6:$A$39</c:f>
              <c:multiLvlStrCache>
                <c:ptCount val="24"/>
                <c:lvl>
                  <c:pt idx="0">
                    <c:v>animation</c:v>
                  </c:pt>
                  <c:pt idx="1">
                    <c:v>documentary</c:v>
                  </c:pt>
                  <c:pt idx="2">
                    <c:v>drama</c:v>
                  </c:pt>
                  <c:pt idx="3">
                    <c:v>science fiction</c:v>
                  </c:pt>
                  <c:pt idx="4">
                    <c:v>shorts</c:v>
                  </c:pt>
                  <c:pt idx="5">
                    <c:v>television</c:v>
                  </c:pt>
                  <c:pt idx="6">
                    <c:v>food trucks</c:v>
                  </c:pt>
                  <c:pt idx="7">
                    <c:v>mobile games</c:v>
                  </c:pt>
                  <c:pt idx="8">
                    <c:v>video games</c:v>
                  </c:pt>
                  <c:pt idx="9">
                    <c:v>audio</c:v>
                  </c:pt>
                  <c:pt idx="10">
                    <c:v>electric music</c:v>
                  </c:pt>
                  <c:pt idx="11">
                    <c:v>indie rock</c:v>
                  </c:pt>
                  <c:pt idx="12">
                    <c:v>jazz</c:v>
                  </c:pt>
                  <c:pt idx="13">
                    <c:v>metal</c:v>
                  </c:pt>
                  <c:pt idx="14">
                    <c:v>rock</c:v>
                  </c:pt>
                  <c:pt idx="15">
                    <c:v>world music</c:v>
                  </c:pt>
                  <c:pt idx="16">
                    <c:v>photography books</c:v>
                  </c:pt>
                  <c:pt idx="17">
                    <c:v>fiction</c:v>
                  </c:pt>
                  <c:pt idx="18">
                    <c:v>nonfiction</c:v>
                  </c:pt>
                  <c:pt idx="19">
                    <c:v>radio &amp; podcasts</c:v>
                  </c:pt>
                  <c:pt idx="20">
                    <c:v>translations</c:v>
                  </c:pt>
                  <c:pt idx="21">
                    <c:v>wearables</c:v>
                  </c:pt>
                  <c:pt idx="22">
                    <c:v>web</c:v>
                  </c:pt>
                  <c:pt idx="23">
                    <c:v>plays</c:v>
                  </c:pt>
                </c:lvl>
                <c:lvl>
                  <c:pt idx="0">
                    <c:v>film &amp; video</c:v>
                  </c:pt>
                  <c:pt idx="6">
                    <c:v>food</c:v>
                  </c:pt>
                  <c:pt idx="7">
                    <c:v>games</c:v>
                  </c:pt>
                  <c:pt idx="9">
                    <c:v>journalism</c:v>
                  </c:pt>
                  <c:pt idx="10">
                    <c:v>music</c:v>
                  </c:pt>
                  <c:pt idx="16">
                    <c:v>photography</c:v>
                  </c:pt>
                  <c:pt idx="17">
                    <c:v>publishing</c:v>
                  </c:pt>
                  <c:pt idx="21">
                    <c:v>technology</c:v>
                  </c:pt>
                  <c:pt idx="23">
                    <c:v>theater</c:v>
                  </c:pt>
                </c:lvl>
              </c:multiLvlStrCache>
            </c:multiLvlStrRef>
          </c:cat>
          <c:val>
            <c:numRef>
              <c:f>'Outcomes vs. Categories'!$E$6:$E$39</c:f>
              <c:numCache>
                <c:formatCode>General</c:formatCode>
                <c:ptCount val="24"/>
                <c:pt idx="0">
                  <c:v>21</c:v>
                </c:pt>
                <c:pt idx="1">
                  <c:v>34</c:v>
                </c:pt>
                <c:pt idx="2">
                  <c:v>22</c:v>
                </c:pt>
                <c:pt idx="3">
                  <c:v>5</c:v>
                </c:pt>
                <c:pt idx="4">
                  <c:v>9</c:v>
                </c:pt>
                <c:pt idx="5">
                  <c:v>11</c:v>
                </c:pt>
                <c:pt idx="6">
                  <c:v>22</c:v>
                </c:pt>
                <c:pt idx="7">
                  <c:v>4</c:v>
                </c:pt>
                <c:pt idx="8">
                  <c:v>17</c:v>
                </c:pt>
                <c:pt idx="9">
                  <c:v>4</c:v>
                </c:pt>
                <c:pt idx="10">
                  <c:v>10</c:v>
                </c:pt>
                <c:pt idx="11">
                  <c:v>23</c:v>
                </c:pt>
                <c:pt idx="12">
                  <c:v>10</c:v>
                </c:pt>
                <c:pt idx="13">
                  <c:v>4</c:v>
                </c:pt>
                <c:pt idx="14">
                  <c:v>49</c:v>
                </c:pt>
                <c:pt idx="15">
                  <c:v>3</c:v>
                </c:pt>
                <c:pt idx="16">
                  <c:v>26</c:v>
                </c:pt>
                <c:pt idx="17">
                  <c:v>9</c:v>
                </c:pt>
                <c:pt idx="18">
                  <c:v>13</c:v>
                </c:pt>
                <c:pt idx="19">
                  <c:v>4</c:v>
                </c:pt>
                <c:pt idx="20">
                  <c:v>14</c:v>
                </c:pt>
                <c:pt idx="21">
                  <c:v>28</c:v>
                </c:pt>
                <c:pt idx="22">
                  <c:v>36</c:v>
                </c:pt>
                <c:pt idx="23">
                  <c:v>187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B0C-2C45-A97B-665BFDB9BA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732701168"/>
        <c:axId val="732054192"/>
      </c:barChart>
      <c:catAx>
        <c:axId val="7327011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non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 cap="none" baseline="0">
                    <a:latin typeface="Garamond" panose="02020404030301010803" pitchFamily="18" charset="0"/>
                  </a:rPr>
                  <a:t>Categories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none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054192"/>
        <c:crosses val="autoZero"/>
        <c:auto val="1"/>
        <c:lblAlgn val="ctr"/>
        <c:lblOffset val="100"/>
        <c:noMultiLvlLbl val="0"/>
      </c:catAx>
      <c:valAx>
        <c:axId val="73205419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tx1">
                      <a:lumMod val="5000"/>
                      <a:lumOff val="95000"/>
                    </a:schemeClr>
                  </a:gs>
                  <a:gs pos="10000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non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 cap="none" baseline="0">
                    <a:latin typeface="Garamond" panose="02020404030301010803" pitchFamily="18" charset="0"/>
                  </a:rPr>
                  <a:t>Outcomes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none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701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[crowd_funding_analysis.xlsx]Outcomes vs. Categories!OutcomesCategoriesPivotTable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 i="0" u="none" strike="noStrike" kern="1200" cap="none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Garamond" panose="02020404030301010803" pitchFamily="18" charset="0"/>
              </a:rPr>
              <a:t>Outcomes vs. Categories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'Outcomes vs. Categories'!$B$4:$B$5</c:f>
              <c:strCache>
                <c:ptCount val="1"/>
                <c:pt idx="0">
                  <c:v>canceled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multiLvlStrRef>
              <c:f>'Outcomes vs. Categories'!$A$6:$A$39</c:f>
              <c:multiLvlStrCache>
                <c:ptCount val="24"/>
                <c:lvl>
                  <c:pt idx="0">
                    <c:v>animation</c:v>
                  </c:pt>
                  <c:pt idx="1">
                    <c:v>documentary</c:v>
                  </c:pt>
                  <c:pt idx="2">
                    <c:v>drama</c:v>
                  </c:pt>
                  <c:pt idx="3">
                    <c:v>science fiction</c:v>
                  </c:pt>
                  <c:pt idx="4">
                    <c:v>shorts</c:v>
                  </c:pt>
                  <c:pt idx="5">
                    <c:v>television</c:v>
                  </c:pt>
                  <c:pt idx="6">
                    <c:v>food trucks</c:v>
                  </c:pt>
                  <c:pt idx="7">
                    <c:v>mobile games</c:v>
                  </c:pt>
                  <c:pt idx="8">
                    <c:v>video games</c:v>
                  </c:pt>
                  <c:pt idx="9">
                    <c:v>audio</c:v>
                  </c:pt>
                  <c:pt idx="10">
                    <c:v>electric music</c:v>
                  </c:pt>
                  <c:pt idx="11">
                    <c:v>indie rock</c:v>
                  </c:pt>
                  <c:pt idx="12">
                    <c:v>jazz</c:v>
                  </c:pt>
                  <c:pt idx="13">
                    <c:v>metal</c:v>
                  </c:pt>
                  <c:pt idx="14">
                    <c:v>rock</c:v>
                  </c:pt>
                  <c:pt idx="15">
                    <c:v>world music</c:v>
                  </c:pt>
                  <c:pt idx="16">
                    <c:v>photography books</c:v>
                  </c:pt>
                  <c:pt idx="17">
                    <c:v>fiction</c:v>
                  </c:pt>
                  <c:pt idx="18">
                    <c:v>nonfiction</c:v>
                  </c:pt>
                  <c:pt idx="19">
                    <c:v>radio &amp; podcasts</c:v>
                  </c:pt>
                  <c:pt idx="20">
                    <c:v>translations</c:v>
                  </c:pt>
                  <c:pt idx="21">
                    <c:v>wearables</c:v>
                  </c:pt>
                  <c:pt idx="22">
                    <c:v>web</c:v>
                  </c:pt>
                  <c:pt idx="23">
                    <c:v>plays</c:v>
                  </c:pt>
                </c:lvl>
                <c:lvl>
                  <c:pt idx="0">
                    <c:v>film &amp; video</c:v>
                  </c:pt>
                  <c:pt idx="6">
                    <c:v>food</c:v>
                  </c:pt>
                  <c:pt idx="7">
                    <c:v>games</c:v>
                  </c:pt>
                  <c:pt idx="9">
                    <c:v>journalism</c:v>
                  </c:pt>
                  <c:pt idx="10">
                    <c:v>music</c:v>
                  </c:pt>
                  <c:pt idx="16">
                    <c:v>photography</c:v>
                  </c:pt>
                  <c:pt idx="17">
                    <c:v>publishing</c:v>
                  </c:pt>
                  <c:pt idx="21">
                    <c:v>technology</c:v>
                  </c:pt>
                  <c:pt idx="23">
                    <c:v>theater</c:v>
                  </c:pt>
                </c:lvl>
              </c:multiLvlStrCache>
            </c:multiLvlStrRef>
          </c:cat>
          <c:val>
            <c:numRef>
              <c:f>'Outcomes vs. Categories'!$B$6:$B$39</c:f>
              <c:numCache>
                <c:formatCode>General</c:formatCode>
                <c:ptCount val="24"/>
                <c:pt idx="0">
                  <c:v>1</c:v>
                </c:pt>
                <c:pt idx="1">
                  <c:v>4</c:v>
                </c:pt>
                <c:pt idx="2">
                  <c:v>2</c:v>
                </c:pt>
                <c:pt idx="4">
                  <c:v>1</c:v>
                </c:pt>
                <c:pt idx="5">
                  <c:v>3</c:v>
                </c:pt>
                <c:pt idx="6">
                  <c:v>4</c:v>
                </c:pt>
                <c:pt idx="8">
                  <c:v>1</c:v>
                </c:pt>
                <c:pt idx="11">
                  <c:v>3</c:v>
                </c:pt>
                <c:pt idx="12">
                  <c:v>1</c:v>
                </c:pt>
                <c:pt idx="14">
                  <c:v>6</c:v>
                </c:pt>
                <c:pt idx="16">
                  <c:v>4</c:v>
                </c:pt>
                <c:pt idx="17">
                  <c:v>1</c:v>
                </c:pt>
                <c:pt idx="18">
                  <c:v>1</c:v>
                </c:pt>
                <c:pt idx="22">
                  <c:v>2</c:v>
                </c:pt>
                <c:pt idx="23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0A-6C40-BAF5-AAC30CEA0827}"/>
            </c:ext>
          </c:extLst>
        </c:ser>
        <c:ser>
          <c:idx val="1"/>
          <c:order val="1"/>
          <c:tx>
            <c:strRef>
              <c:f>'Outcomes vs. Categories'!$C$4:$C$5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multiLvlStrRef>
              <c:f>'Outcomes vs. Categories'!$A$6:$A$39</c:f>
              <c:multiLvlStrCache>
                <c:ptCount val="24"/>
                <c:lvl>
                  <c:pt idx="0">
                    <c:v>animation</c:v>
                  </c:pt>
                  <c:pt idx="1">
                    <c:v>documentary</c:v>
                  </c:pt>
                  <c:pt idx="2">
                    <c:v>drama</c:v>
                  </c:pt>
                  <c:pt idx="3">
                    <c:v>science fiction</c:v>
                  </c:pt>
                  <c:pt idx="4">
                    <c:v>shorts</c:v>
                  </c:pt>
                  <c:pt idx="5">
                    <c:v>television</c:v>
                  </c:pt>
                  <c:pt idx="6">
                    <c:v>food trucks</c:v>
                  </c:pt>
                  <c:pt idx="7">
                    <c:v>mobile games</c:v>
                  </c:pt>
                  <c:pt idx="8">
                    <c:v>video games</c:v>
                  </c:pt>
                  <c:pt idx="9">
                    <c:v>audio</c:v>
                  </c:pt>
                  <c:pt idx="10">
                    <c:v>electric music</c:v>
                  </c:pt>
                  <c:pt idx="11">
                    <c:v>indie rock</c:v>
                  </c:pt>
                  <c:pt idx="12">
                    <c:v>jazz</c:v>
                  </c:pt>
                  <c:pt idx="13">
                    <c:v>metal</c:v>
                  </c:pt>
                  <c:pt idx="14">
                    <c:v>rock</c:v>
                  </c:pt>
                  <c:pt idx="15">
                    <c:v>world music</c:v>
                  </c:pt>
                  <c:pt idx="16">
                    <c:v>photography books</c:v>
                  </c:pt>
                  <c:pt idx="17">
                    <c:v>fiction</c:v>
                  </c:pt>
                  <c:pt idx="18">
                    <c:v>nonfiction</c:v>
                  </c:pt>
                  <c:pt idx="19">
                    <c:v>radio &amp; podcasts</c:v>
                  </c:pt>
                  <c:pt idx="20">
                    <c:v>translations</c:v>
                  </c:pt>
                  <c:pt idx="21">
                    <c:v>wearables</c:v>
                  </c:pt>
                  <c:pt idx="22">
                    <c:v>web</c:v>
                  </c:pt>
                  <c:pt idx="23">
                    <c:v>plays</c:v>
                  </c:pt>
                </c:lvl>
                <c:lvl>
                  <c:pt idx="0">
                    <c:v>film &amp; video</c:v>
                  </c:pt>
                  <c:pt idx="6">
                    <c:v>food</c:v>
                  </c:pt>
                  <c:pt idx="7">
                    <c:v>games</c:v>
                  </c:pt>
                  <c:pt idx="9">
                    <c:v>journalism</c:v>
                  </c:pt>
                  <c:pt idx="10">
                    <c:v>music</c:v>
                  </c:pt>
                  <c:pt idx="16">
                    <c:v>photography</c:v>
                  </c:pt>
                  <c:pt idx="17">
                    <c:v>publishing</c:v>
                  </c:pt>
                  <c:pt idx="21">
                    <c:v>technology</c:v>
                  </c:pt>
                  <c:pt idx="23">
                    <c:v>theater</c:v>
                  </c:pt>
                </c:lvl>
              </c:multiLvlStrCache>
            </c:multiLvlStrRef>
          </c:cat>
          <c:val>
            <c:numRef>
              <c:f>'Outcomes vs. Categories'!$C$6:$C$39</c:f>
              <c:numCache>
                <c:formatCode>General</c:formatCode>
                <c:ptCount val="24"/>
                <c:pt idx="0">
                  <c:v>10</c:v>
                </c:pt>
                <c:pt idx="1">
                  <c:v>21</c:v>
                </c:pt>
                <c:pt idx="2">
                  <c:v>12</c:v>
                </c:pt>
                <c:pt idx="3">
                  <c:v>9</c:v>
                </c:pt>
                <c:pt idx="4">
                  <c:v>5</c:v>
                </c:pt>
                <c:pt idx="5">
                  <c:v>3</c:v>
                </c:pt>
                <c:pt idx="6">
                  <c:v>20</c:v>
                </c:pt>
                <c:pt idx="7">
                  <c:v>8</c:v>
                </c:pt>
                <c:pt idx="8">
                  <c:v>15</c:v>
                </c:pt>
                <c:pt idx="10">
                  <c:v>8</c:v>
                </c:pt>
                <c:pt idx="11">
                  <c:v>19</c:v>
                </c:pt>
                <c:pt idx="12">
                  <c:v>6</c:v>
                </c:pt>
                <c:pt idx="13">
                  <c:v>3</c:v>
                </c:pt>
                <c:pt idx="14">
                  <c:v>30</c:v>
                </c:pt>
                <c:pt idx="16">
                  <c:v>11</c:v>
                </c:pt>
                <c:pt idx="17">
                  <c:v>7</c:v>
                </c:pt>
                <c:pt idx="18">
                  <c:v>6</c:v>
                </c:pt>
                <c:pt idx="19">
                  <c:v>4</c:v>
                </c:pt>
                <c:pt idx="20">
                  <c:v>7</c:v>
                </c:pt>
                <c:pt idx="21">
                  <c:v>16</c:v>
                </c:pt>
                <c:pt idx="22">
                  <c:v>12</c:v>
                </c:pt>
                <c:pt idx="23">
                  <c:v>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0A-6C40-BAF5-AAC30CEA0827}"/>
            </c:ext>
          </c:extLst>
        </c:ser>
        <c:ser>
          <c:idx val="2"/>
          <c:order val="2"/>
          <c:tx>
            <c:strRef>
              <c:f>'Outcomes vs. Categories'!$D$4:$D$5</c:f>
              <c:strCache>
                <c:ptCount val="1"/>
                <c:pt idx="0">
                  <c:v>live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multiLvlStrRef>
              <c:f>'Outcomes vs. Categories'!$A$6:$A$39</c:f>
              <c:multiLvlStrCache>
                <c:ptCount val="24"/>
                <c:lvl>
                  <c:pt idx="0">
                    <c:v>animation</c:v>
                  </c:pt>
                  <c:pt idx="1">
                    <c:v>documentary</c:v>
                  </c:pt>
                  <c:pt idx="2">
                    <c:v>drama</c:v>
                  </c:pt>
                  <c:pt idx="3">
                    <c:v>science fiction</c:v>
                  </c:pt>
                  <c:pt idx="4">
                    <c:v>shorts</c:v>
                  </c:pt>
                  <c:pt idx="5">
                    <c:v>television</c:v>
                  </c:pt>
                  <c:pt idx="6">
                    <c:v>food trucks</c:v>
                  </c:pt>
                  <c:pt idx="7">
                    <c:v>mobile games</c:v>
                  </c:pt>
                  <c:pt idx="8">
                    <c:v>video games</c:v>
                  </c:pt>
                  <c:pt idx="9">
                    <c:v>audio</c:v>
                  </c:pt>
                  <c:pt idx="10">
                    <c:v>electric music</c:v>
                  </c:pt>
                  <c:pt idx="11">
                    <c:v>indie rock</c:v>
                  </c:pt>
                  <c:pt idx="12">
                    <c:v>jazz</c:v>
                  </c:pt>
                  <c:pt idx="13">
                    <c:v>metal</c:v>
                  </c:pt>
                  <c:pt idx="14">
                    <c:v>rock</c:v>
                  </c:pt>
                  <c:pt idx="15">
                    <c:v>world music</c:v>
                  </c:pt>
                  <c:pt idx="16">
                    <c:v>photography books</c:v>
                  </c:pt>
                  <c:pt idx="17">
                    <c:v>fiction</c:v>
                  </c:pt>
                  <c:pt idx="18">
                    <c:v>nonfiction</c:v>
                  </c:pt>
                  <c:pt idx="19">
                    <c:v>radio &amp; podcasts</c:v>
                  </c:pt>
                  <c:pt idx="20">
                    <c:v>translations</c:v>
                  </c:pt>
                  <c:pt idx="21">
                    <c:v>wearables</c:v>
                  </c:pt>
                  <c:pt idx="22">
                    <c:v>web</c:v>
                  </c:pt>
                  <c:pt idx="23">
                    <c:v>plays</c:v>
                  </c:pt>
                </c:lvl>
                <c:lvl>
                  <c:pt idx="0">
                    <c:v>film &amp; video</c:v>
                  </c:pt>
                  <c:pt idx="6">
                    <c:v>food</c:v>
                  </c:pt>
                  <c:pt idx="7">
                    <c:v>games</c:v>
                  </c:pt>
                  <c:pt idx="9">
                    <c:v>journalism</c:v>
                  </c:pt>
                  <c:pt idx="10">
                    <c:v>music</c:v>
                  </c:pt>
                  <c:pt idx="16">
                    <c:v>photography</c:v>
                  </c:pt>
                  <c:pt idx="17">
                    <c:v>publishing</c:v>
                  </c:pt>
                  <c:pt idx="21">
                    <c:v>technology</c:v>
                  </c:pt>
                  <c:pt idx="23">
                    <c:v>theater</c:v>
                  </c:pt>
                </c:lvl>
              </c:multiLvlStrCache>
            </c:multiLvlStrRef>
          </c:cat>
          <c:val>
            <c:numRef>
              <c:f>'Outcomes vs. Categories'!$D$6:$D$39</c:f>
              <c:numCache>
                <c:formatCode>General</c:formatCode>
                <c:ptCount val="24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4">
                  <c:v>1</c:v>
                </c:pt>
                <c:pt idx="7">
                  <c:v>1</c:v>
                </c:pt>
                <c:pt idx="8">
                  <c:v>2</c:v>
                </c:pt>
                <c:pt idx="16">
                  <c:v>1</c:v>
                </c:pt>
                <c:pt idx="18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00A-6C40-BAF5-AAC30CEA0827}"/>
            </c:ext>
          </c:extLst>
        </c:ser>
        <c:ser>
          <c:idx val="3"/>
          <c:order val="3"/>
          <c:tx>
            <c:strRef>
              <c:f>'Outcomes vs. Categories'!$E$4:$E$5</c:f>
              <c:strCache>
                <c:ptCount val="1"/>
                <c:pt idx="0">
                  <c:v>successful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multiLvlStrRef>
              <c:f>'Outcomes vs. Categories'!$A$6:$A$39</c:f>
              <c:multiLvlStrCache>
                <c:ptCount val="24"/>
                <c:lvl>
                  <c:pt idx="0">
                    <c:v>animation</c:v>
                  </c:pt>
                  <c:pt idx="1">
                    <c:v>documentary</c:v>
                  </c:pt>
                  <c:pt idx="2">
                    <c:v>drama</c:v>
                  </c:pt>
                  <c:pt idx="3">
                    <c:v>science fiction</c:v>
                  </c:pt>
                  <c:pt idx="4">
                    <c:v>shorts</c:v>
                  </c:pt>
                  <c:pt idx="5">
                    <c:v>television</c:v>
                  </c:pt>
                  <c:pt idx="6">
                    <c:v>food trucks</c:v>
                  </c:pt>
                  <c:pt idx="7">
                    <c:v>mobile games</c:v>
                  </c:pt>
                  <c:pt idx="8">
                    <c:v>video games</c:v>
                  </c:pt>
                  <c:pt idx="9">
                    <c:v>audio</c:v>
                  </c:pt>
                  <c:pt idx="10">
                    <c:v>electric music</c:v>
                  </c:pt>
                  <c:pt idx="11">
                    <c:v>indie rock</c:v>
                  </c:pt>
                  <c:pt idx="12">
                    <c:v>jazz</c:v>
                  </c:pt>
                  <c:pt idx="13">
                    <c:v>metal</c:v>
                  </c:pt>
                  <c:pt idx="14">
                    <c:v>rock</c:v>
                  </c:pt>
                  <c:pt idx="15">
                    <c:v>world music</c:v>
                  </c:pt>
                  <c:pt idx="16">
                    <c:v>photography books</c:v>
                  </c:pt>
                  <c:pt idx="17">
                    <c:v>fiction</c:v>
                  </c:pt>
                  <c:pt idx="18">
                    <c:v>nonfiction</c:v>
                  </c:pt>
                  <c:pt idx="19">
                    <c:v>radio &amp; podcasts</c:v>
                  </c:pt>
                  <c:pt idx="20">
                    <c:v>translations</c:v>
                  </c:pt>
                  <c:pt idx="21">
                    <c:v>wearables</c:v>
                  </c:pt>
                  <c:pt idx="22">
                    <c:v>web</c:v>
                  </c:pt>
                  <c:pt idx="23">
                    <c:v>plays</c:v>
                  </c:pt>
                </c:lvl>
                <c:lvl>
                  <c:pt idx="0">
                    <c:v>film &amp; video</c:v>
                  </c:pt>
                  <c:pt idx="6">
                    <c:v>food</c:v>
                  </c:pt>
                  <c:pt idx="7">
                    <c:v>games</c:v>
                  </c:pt>
                  <c:pt idx="9">
                    <c:v>journalism</c:v>
                  </c:pt>
                  <c:pt idx="10">
                    <c:v>music</c:v>
                  </c:pt>
                  <c:pt idx="16">
                    <c:v>photography</c:v>
                  </c:pt>
                  <c:pt idx="17">
                    <c:v>publishing</c:v>
                  </c:pt>
                  <c:pt idx="21">
                    <c:v>technology</c:v>
                  </c:pt>
                  <c:pt idx="23">
                    <c:v>theater</c:v>
                  </c:pt>
                </c:lvl>
              </c:multiLvlStrCache>
            </c:multiLvlStrRef>
          </c:cat>
          <c:val>
            <c:numRef>
              <c:f>'Outcomes vs. Categories'!$E$6:$E$39</c:f>
              <c:numCache>
                <c:formatCode>General</c:formatCode>
                <c:ptCount val="24"/>
                <c:pt idx="0">
                  <c:v>21</c:v>
                </c:pt>
                <c:pt idx="1">
                  <c:v>34</c:v>
                </c:pt>
                <c:pt idx="2">
                  <c:v>22</c:v>
                </c:pt>
                <c:pt idx="3">
                  <c:v>5</c:v>
                </c:pt>
                <c:pt idx="4">
                  <c:v>9</c:v>
                </c:pt>
                <c:pt idx="5">
                  <c:v>11</c:v>
                </c:pt>
                <c:pt idx="6">
                  <c:v>22</c:v>
                </c:pt>
                <c:pt idx="7">
                  <c:v>4</c:v>
                </c:pt>
                <c:pt idx="8">
                  <c:v>17</c:v>
                </c:pt>
                <c:pt idx="9">
                  <c:v>4</c:v>
                </c:pt>
                <c:pt idx="10">
                  <c:v>10</c:v>
                </c:pt>
                <c:pt idx="11">
                  <c:v>23</c:v>
                </c:pt>
                <c:pt idx="12">
                  <c:v>10</c:v>
                </c:pt>
                <c:pt idx="13">
                  <c:v>4</c:v>
                </c:pt>
                <c:pt idx="14">
                  <c:v>49</c:v>
                </c:pt>
                <c:pt idx="15">
                  <c:v>3</c:v>
                </c:pt>
                <c:pt idx="16">
                  <c:v>26</c:v>
                </c:pt>
                <c:pt idx="17">
                  <c:v>9</c:v>
                </c:pt>
                <c:pt idx="18">
                  <c:v>13</c:v>
                </c:pt>
                <c:pt idx="19">
                  <c:v>4</c:v>
                </c:pt>
                <c:pt idx="20">
                  <c:v>14</c:v>
                </c:pt>
                <c:pt idx="21">
                  <c:v>28</c:v>
                </c:pt>
                <c:pt idx="22">
                  <c:v>36</c:v>
                </c:pt>
                <c:pt idx="23">
                  <c:v>187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00A-6C40-BAF5-AAC30CEA08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06525967"/>
        <c:axId val="345246623"/>
      </c:barChart>
      <c:catAx>
        <c:axId val="3065259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>
                    <a:latin typeface="Garamond" panose="02020404030301010803" pitchFamily="18" charset="0"/>
                  </a:rPr>
                  <a:t>Categories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246623"/>
        <c:crosses val="autoZero"/>
        <c:auto val="1"/>
        <c:lblAlgn val="ctr"/>
        <c:lblOffset val="100"/>
        <c:noMultiLvlLbl val="0"/>
      </c:catAx>
      <c:valAx>
        <c:axId val="345246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>
                    <a:latin typeface="Garamond" panose="02020404030301010803" pitchFamily="18" charset="0"/>
                  </a:rPr>
                  <a:t>Outcomes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6525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[crowd_funding_analysis.xlsx]Mean Funding Ratio!MeanFundingRatioPivotTable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>
                <a:latin typeface="Garamond" panose="02020404030301010803" pitchFamily="18" charset="0"/>
              </a:rPr>
              <a:t>Mean Funding Ratio vs. Categories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070C0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'Mean Funding Ratio'!$B$4:$B$5</c:f>
              <c:strCache>
                <c:ptCount val="1"/>
                <c:pt idx="0">
                  <c:v>canceled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multiLvlStrRef>
              <c:f>'Mean Funding Ratio'!$A$6:$A$39</c:f>
              <c:multiLvlStrCache>
                <c:ptCount val="24"/>
                <c:lvl>
                  <c:pt idx="0">
                    <c:v>animation</c:v>
                  </c:pt>
                  <c:pt idx="1">
                    <c:v>documentary</c:v>
                  </c:pt>
                  <c:pt idx="2">
                    <c:v>drama</c:v>
                  </c:pt>
                  <c:pt idx="3">
                    <c:v>science fiction</c:v>
                  </c:pt>
                  <c:pt idx="4">
                    <c:v>shorts</c:v>
                  </c:pt>
                  <c:pt idx="5">
                    <c:v>television</c:v>
                  </c:pt>
                  <c:pt idx="6">
                    <c:v>food trucks</c:v>
                  </c:pt>
                  <c:pt idx="7">
                    <c:v>mobile games</c:v>
                  </c:pt>
                  <c:pt idx="8">
                    <c:v>video games</c:v>
                  </c:pt>
                  <c:pt idx="9">
                    <c:v>audio</c:v>
                  </c:pt>
                  <c:pt idx="10">
                    <c:v>electric music</c:v>
                  </c:pt>
                  <c:pt idx="11">
                    <c:v>indie rock</c:v>
                  </c:pt>
                  <c:pt idx="12">
                    <c:v>jazz</c:v>
                  </c:pt>
                  <c:pt idx="13">
                    <c:v>metal</c:v>
                  </c:pt>
                  <c:pt idx="14">
                    <c:v>rock</c:v>
                  </c:pt>
                  <c:pt idx="15">
                    <c:v>world music</c:v>
                  </c:pt>
                  <c:pt idx="16">
                    <c:v>photography books</c:v>
                  </c:pt>
                  <c:pt idx="17">
                    <c:v>fiction</c:v>
                  </c:pt>
                  <c:pt idx="18">
                    <c:v>nonfiction</c:v>
                  </c:pt>
                  <c:pt idx="19">
                    <c:v>radio &amp; podcasts</c:v>
                  </c:pt>
                  <c:pt idx="20">
                    <c:v>translations</c:v>
                  </c:pt>
                  <c:pt idx="21">
                    <c:v>wearables</c:v>
                  </c:pt>
                  <c:pt idx="22">
                    <c:v>web</c:v>
                  </c:pt>
                  <c:pt idx="23">
                    <c:v>plays</c:v>
                  </c:pt>
                </c:lvl>
                <c:lvl>
                  <c:pt idx="0">
                    <c:v>film &amp; video</c:v>
                  </c:pt>
                  <c:pt idx="6">
                    <c:v>food</c:v>
                  </c:pt>
                  <c:pt idx="7">
                    <c:v>games</c:v>
                  </c:pt>
                  <c:pt idx="9">
                    <c:v>journalism</c:v>
                  </c:pt>
                  <c:pt idx="10">
                    <c:v>music</c:v>
                  </c:pt>
                  <c:pt idx="16">
                    <c:v>photography</c:v>
                  </c:pt>
                  <c:pt idx="17">
                    <c:v>publishing</c:v>
                  </c:pt>
                  <c:pt idx="21">
                    <c:v>technology</c:v>
                  </c:pt>
                  <c:pt idx="23">
                    <c:v>theater</c:v>
                  </c:pt>
                </c:lvl>
              </c:multiLvlStrCache>
            </c:multiLvlStrRef>
          </c:cat>
          <c:val>
            <c:numRef>
              <c:f>'Mean Funding Ratio'!$B$6:$B$39</c:f>
              <c:numCache>
                <c:formatCode>0.00</c:formatCode>
                <c:ptCount val="24"/>
                <c:pt idx="0">
                  <c:v>0.34959979476654696</c:v>
                </c:pt>
                <c:pt idx="1">
                  <c:v>0.70523297951490527</c:v>
                </c:pt>
                <c:pt idx="2">
                  <c:v>0.1062753805258175</c:v>
                </c:pt>
                <c:pt idx="4">
                  <c:v>0.23995287958115183</c:v>
                </c:pt>
                <c:pt idx="5">
                  <c:v>0.47378147412683513</c:v>
                </c:pt>
                <c:pt idx="6">
                  <c:v>0.50408392077792952</c:v>
                </c:pt>
                <c:pt idx="8">
                  <c:v>0.27176538240368026</c:v>
                </c:pt>
                <c:pt idx="11">
                  <c:v>0.30187572590011619</c:v>
                </c:pt>
                <c:pt idx="12">
                  <c:v>0.18853658536585366</c:v>
                </c:pt>
                <c:pt idx="14">
                  <c:v>0.45928324801691756</c:v>
                </c:pt>
                <c:pt idx="16">
                  <c:v>0.61272046992048712</c:v>
                </c:pt>
                <c:pt idx="17">
                  <c:v>0.38844444444444443</c:v>
                </c:pt>
                <c:pt idx="18">
                  <c:v>0.32896103896103895</c:v>
                </c:pt>
                <c:pt idx="22">
                  <c:v>0.64476190476190476</c:v>
                </c:pt>
                <c:pt idx="23">
                  <c:v>0.45757574357593966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BD-3341-861E-4F3A1A6D9FD0}"/>
            </c:ext>
          </c:extLst>
        </c:ser>
        <c:ser>
          <c:idx val="1"/>
          <c:order val="1"/>
          <c:tx>
            <c:strRef>
              <c:f>'Mean Funding Ratio'!$C$4:$C$5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multiLvlStrRef>
              <c:f>'Mean Funding Ratio'!$A$6:$A$39</c:f>
              <c:multiLvlStrCache>
                <c:ptCount val="24"/>
                <c:lvl>
                  <c:pt idx="0">
                    <c:v>animation</c:v>
                  </c:pt>
                  <c:pt idx="1">
                    <c:v>documentary</c:v>
                  </c:pt>
                  <c:pt idx="2">
                    <c:v>drama</c:v>
                  </c:pt>
                  <c:pt idx="3">
                    <c:v>science fiction</c:v>
                  </c:pt>
                  <c:pt idx="4">
                    <c:v>shorts</c:v>
                  </c:pt>
                  <c:pt idx="5">
                    <c:v>television</c:v>
                  </c:pt>
                  <c:pt idx="6">
                    <c:v>food trucks</c:v>
                  </c:pt>
                  <c:pt idx="7">
                    <c:v>mobile games</c:v>
                  </c:pt>
                  <c:pt idx="8">
                    <c:v>video games</c:v>
                  </c:pt>
                  <c:pt idx="9">
                    <c:v>audio</c:v>
                  </c:pt>
                  <c:pt idx="10">
                    <c:v>electric music</c:v>
                  </c:pt>
                  <c:pt idx="11">
                    <c:v>indie rock</c:v>
                  </c:pt>
                  <c:pt idx="12">
                    <c:v>jazz</c:v>
                  </c:pt>
                  <c:pt idx="13">
                    <c:v>metal</c:v>
                  </c:pt>
                  <c:pt idx="14">
                    <c:v>rock</c:v>
                  </c:pt>
                  <c:pt idx="15">
                    <c:v>world music</c:v>
                  </c:pt>
                  <c:pt idx="16">
                    <c:v>photography books</c:v>
                  </c:pt>
                  <c:pt idx="17">
                    <c:v>fiction</c:v>
                  </c:pt>
                  <c:pt idx="18">
                    <c:v>nonfiction</c:v>
                  </c:pt>
                  <c:pt idx="19">
                    <c:v>radio &amp; podcasts</c:v>
                  </c:pt>
                  <c:pt idx="20">
                    <c:v>translations</c:v>
                  </c:pt>
                  <c:pt idx="21">
                    <c:v>wearables</c:v>
                  </c:pt>
                  <c:pt idx="22">
                    <c:v>web</c:v>
                  </c:pt>
                  <c:pt idx="23">
                    <c:v>plays</c:v>
                  </c:pt>
                </c:lvl>
                <c:lvl>
                  <c:pt idx="0">
                    <c:v>film &amp; video</c:v>
                  </c:pt>
                  <c:pt idx="6">
                    <c:v>food</c:v>
                  </c:pt>
                  <c:pt idx="7">
                    <c:v>games</c:v>
                  </c:pt>
                  <c:pt idx="9">
                    <c:v>journalism</c:v>
                  </c:pt>
                  <c:pt idx="10">
                    <c:v>music</c:v>
                  </c:pt>
                  <c:pt idx="16">
                    <c:v>photography</c:v>
                  </c:pt>
                  <c:pt idx="17">
                    <c:v>publishing</c:v>
                  </c:pt>
                  <c:pt idx="21">
                    <c:v>technology</c:v>
                  </c:pt>
                  <c:pt idx="23">
                    <c:v>theater</c:v>
                  </c:pt>
                </c:lvl>
              </c:multiLvlStrCache>
            </c:multiLvlStrRef>
          </c:cat>
          <c:val>
            <c:numRef>
              <c:f>'Mean Funding Ratio'!$C$6:$C$39</c:f>
              <c:numCache>
                <c:formatCode>0.00</c:formatCode>
                <c:ptCount val="24"/>
                <c:pt idx="0">
                  <c:v>0.44051362753993806</c:v>
                </c:pt>
                <c:pt idx="1">
                  <c:v>0.53165931407028344</c:v>
                </c:pt>
                <c:pt idx="2">
                  <c:v>0.56339520171234714</c:v>
                </c:pt>
                <c:pt idx="3">
                  <c:v>0.39775078667280928</c:v>
                </c:pt>
                <c:pt idx="4">
                  <c:v>0.69915252667916472</c:v>
                </c:pt>
                <c:pt idx="5">
                  <c:v>0.52912342885872299</c:v>
                </c:pt>
                <c:pt idx="6">
                  <c:v>0.49629510452741077</c:v>
                </c:pt>
                <c:pt idx="7">
                  <c:v>0.51944760289267777</c:v>
                </c:pt>
                <c:pt idx="8">
                  <c:v>0.50725493497751384</c:v>
                </c:pt>
                <c:pt idx="10">
                  <c:v>0.37679820833214578</c:v>
                </c:pt>
                <c:pt idx="11">
                  <c:v>0.5124316887602165</c:v>
                </c:pt>
                <c:pt idx="12">
                  <c:v>0.29131792911024562</c:v>
                </c:pt>
                <c:pt idx="13">
                  <c:v>0.4575573192239859</c:v>
                </c:pt>
                <c:pt idx="14">
                  <c:v>0.47863154734114771</c:v>
                </c:pt>
                <c:pt idx="16">
                  <c:v>0.468635947318845</c:v>
                </c:pt>
                <c:pt idx="17">
                  <c:v>0.54680600264835488</c:v>
                </c:pt>
                <c:pt idx="18">
                  <c:v>0.40494184691519491</c:v>
                </c:pt>
                <c:pt idx="19">
                  <c:v>0.40069240158449132</c:v>
                </c:pt>
                <c:pt idx="20">
                  <c:v>0.32567721781522063</c:v>
                </c:pt>
                <c:pt idx="21">
                  <c:v>0.55778882810318953</c:v>
                </c:pt>
                <c:pt idx="22">
                  <c:v>0.57068697422942438</c:v>
                </c:pt>
                <c:pt idx="23">
                  <c:v>0.49562153234302231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BD-3341-861E-4F3A1A6D9FD0}"/>
            </c:ext>
          </c:extLst>
        </c:ser>
        <c:ser>
          <c:idx val="2"/>
          <c:order val="2"/>
          <c:tx>
            <c:strRef>
              <c:f>'Mean Funding Ratio'!$D$4:$D$5</c:f>
              <c:strCache>
                <c:ptCount val="1"/>
                <c:pt idx="0">
                  <c:v>live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multiLvlStrRef>
              <c:f>'Mean Funding Ratio'!$A$6:$A$39</c:f>
              <c:multiLvlStrCache>
                <c:ptCount val="24"/>
                <c:lvl>
                  <c:pt idx="0">
                    <c:v>animation</c:v>
                  </c:pt>
                  <c:pt idx="1">
                    <c:v>documentary</c:v>
                  </c:pt>
                  <c:pt idx="2">
                    <c:v>drama</c:v>
                  </c:pt>
                  <c:pt idx="3">
                    <c:v>science fiction</c:v>
                  </c:pt>
                  <c:pt idx="4">
                    <c:v>shorts</c:v>
                  </c:pt>
                  <c:pt idx="5">
                    <c:v>television</c:v>
                  </c:pt>
                  <c:pt idx="6">
                    <c:v>food trucks</c:v>
                  </c:pt>
                  <c:pt idx="7">
                    <c:v>mobile games</c:v>
                  </c:pt>
                  <c:pt idx="8">
                    <c:v>video games</c:v>
                  </c:pt>
                  <c:pt idx="9">
                    <c:v>audio</c:v>
                  </c:pt>
                  <c:pt idx="10">
                    <c:v>electric music</c:v>
                  </c:pt>
                  <c:pt idx="11">
                    <c:v>indie rock</c:v>
                  </c:pt>
                  <c:pt idx="12">
                    <c:v>jazz</c:v>
                  </c:pt>
                  <c:pt idx="13">
                    <c:v>metal</c:v>
                  </c:pt>
                  <c:pt idx="14">
                    <c:v>rock</c:v>
                  </c:pt>
                  <c:pt idx="15">
                    <c:v>world music</c:v>
                  </c:pt>
                  <c:pt idx="16">
                    <c:v>photography books</c:v>
                  </c:pt>
                  <c:pt idx="17">
                    <c:v>fiction</c:v>
                  </c:pt>
                  <c:pt idx="18">
                    <c:v>nonfiction</c:v>
                  </c:pt>
                  <c:pt idx="19">
                    <c:v>radio &amp; podcasts</c:v>
                  </c:pt>
                  <c:pt idx="20">
                    <c:v>translations</c:v>
                  </c:pt>
                  <c:pt idx="21">
                    <c:v>wearables</c:v>
                  </c:pt>
                  <c:pt idx="22">
                    <c:v>web</c:v>
                  </c:pt>
                  <c:pt idx="23">
                    <c:v>plays</c:v>
                  </c:pt>
                </c:lvl>
                <c:lvl>
                  <c:pt idx="0">
                    <c:v>film &amp; video</c:v>
                  </c:pt>
                  <c:pt idx="6">
                    <c:v>food</c:v>
                  </c:pt>
                  <c:pt idx="7">
                    <c:v>games</c:v>
                  </c:pt>
                  <c:pt idx="9">
                    <c:v>journalism</c:v>
                  </c:pt>
                  <c:pt idx="10">
                    <c:v>music</c:v>
                  </c:pt>
                  <c:pt idx="16">
                    <c:v>photography</c:v>
                  </c:pt>
                  <c:pt idx="17">
                    <c:v>publishing</c:v>
                  </c:pt>
                  <c:pt idx="21">
                    <c:v>technology</c:v>
                  </c:pt>
                  <c:pt idx="23">
                    <c:v>theater</c:v>
                  </c:pt>
                </c:lvl>
              </c:multiLvlStrCache>
            </c:multiLvlStrRef>
          </c:cat>
          <c:val>
            <c:numRef>
              <c:f>'Mean Funding Ratio'!$D$6:$D$39</c:f>
              <c:numCache>
                <c:formatCode>0.00</c:formatCode>
                <c:ptCount val="24"/>
                <c:pt idx="0">
                  <c:v>0.75119744942832023</c:v>
                </c:pt>
                <c:pt idx="1">
                  <c:v>0.21188688946015424</c:v>
                </c:pt>
                <c:pt idx="2">
                  <c:v>0.56186046511627907</c:v>
                </c:pt>
                <c:pt idx="4">
                  <c:v>0.58250000000000002</c:v>
                </c:pt>
                <c:pt idx="7">
                  <c:v>0.36132726089785294</c:v>
                </c:pt>
                <c:pt idx="8">
                  <c:v>0.59208872711201055</c:v>
                </c:pt>
                <c:pt idx="16">
                  <c:v>1.2706571242680547E-2</c:v>
                </c:pt>
                <c:pt idx="18">
                  <c:v>1.729268292682927E-2</c:v>
                </c:pt>
                <c:pt idx="21">
                  <c:v>0.58973684210526311</c:v>
                </c:pt>
                <c:pt idx="22">
                  <c:v>0.62232323232323228</c:v>
                </c:pt>
                <c:pt idx="23">
                  <c:v>0.31396352578226072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9BD-3341-861E-4F3A1A6D9FD0}"/>
            </c:ext>
          </c:extLst>
        </c:ser>
        <c:ser>
          <c:idx val="3"/>
          <c:order val="3"/>
          <c:tx>
            <c:strRef>
              <c:f>'Mean Funding Ratio'!$E$4:$E$5</c:f>
              <c:strCache>
                <c:ptCount val="1"/>
                <c:pt idx="0">
                  <c:v>successful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multiLvlStrRef>
              <c:f>'Mean Funding Ratio'!$A$6:$A$39</c:f>
              <c:multiLvlStrCache>
                <c:ptCount val="24"/>
                <c:lvl>
                  <c:pt idx="0">
                    <c:v>animation</c:v>
                  </c:pt>
                  <c:pt idx="1">
                    <c:v>documentary</c:v>
                  </c:pt>
                  <c:pt idx="2">
                    <c:v>drama</c:v>
                  </c:pt>
                  <c:pt idx="3">
                    <c:v>science fiction</c:v>
                  </c:pt>
                  <c:pt idx="4">
                    <c:v>shorts</c:v>
                  </c:pt>
                  <c:pt idx="5">
                    <c:v>television</c:v>
                  </c:pt>
                  <c:pt idx="6">
                    <c:v>food trucks</c:v>
                  </c:pt>
                  <c:pt idx="7">
                    <c:v>mobile games</c:v>
                  </c:pt>
                  <c:pt idx="8">
                    <c:v>video games</c:v>
                  </c:pt>
                  <c:pt idx="9">
                    <c:v>audio</c:v>
                  </c:pt>
                  <c:pt idx="10">
                    <c:v>electric music</c:v>
                  </c:pt>
                  <c:pt idx="11">
                    <c:v>indie rock</c:v>
                  </c:pt>
                  <c:pt idx="12">
                    <c:v>jazz</c:v>
                  </c:pt>
                  <c:pt idx="13">
                    <c:v>metal</c:v>
                  </c:pt>
                  <c:pt idx="14">
                    <c:v>rock</c:v>
                  </c:pt>
                  <c:pt idx="15">
                    <c:v>world music</c:v>
                  </c:pt>
                  <c:pt idx="16">
                    <c:v>photography books</c:v>
                  </c:pt>
                  <c:pt idx="17">
                    <c:v>fiction</c:v>
                  </c:pt>
                  <c:pt idx="18">
                    <c:v>nonfiction</c:v>
                  </c:pt>
                  <c:pt idx="19">
                    <c:v>radio &amp; podcasts</c:v>
                  </c:pt>
                  <c:pt idx="20">
                    <c:v>translations</c:v>
                  </c:pt>
                  <c:pt idx="21">
                    <c:v>wearables</c:v>
                  </c:pt>
                  <c:pt idx="22">
                    <c:v>web</c:v>
                  </c:pt>
                  <c:pt idx="23">
                    <c:v>plays</c:v>
                  </c:pt>
                </c:lvl>
                <c:lvl>
                  <c:pt idx="0">
                    <c:v>film &amp; video</c:v>
                  </c:pt>
                  <c:pt idx="6">
                    <c:v>food</c:v>
                  </c:pt>
                  <c:pt idx="7">
                    <c:v>games</c:v>
                  </c:pt>
                  <c:pt idx="9">
                    <c:v>journalism</c:v>
                  </c:pt>
                  <c:pt idx="10">
                    <c:v>music</c:v>
                  </c:pt>
                  <c:pt idx="16">
                    <c:v>photography</c:v>
                  </c:pt>
                  <c:pt idx="17">
                    <c:v>publishing</c:v>
                  </c:pt>
                  <c:pt idx="21">
                    <c:v>technology</c:v>
                  </c:pt>
                  <c:pt idx="23">
                    <c:v>theater</c:v>
                  </c:pt>
                </c:lvl>
              </c:multiLvlStrCache>
            </c:multiLvlStrRef>
          </c:cat>
          <c:val>
            <c:numRef>
              <c:f>'Mean Funding Ratio'!$E$6:$E$39</c:f>
              <c:numCache>
                <c:formatCode>0.00</c:formatCode>
                <c:ptCount val="24"/>
                <c:pt idx="0">
                  <c:v>3.3387928677950391</c:v>
                </c:pt>
                <c:pt idx="1">
                  <c:v>3.0038865768571092</c:v>
                </c:pt>
                <c:pt idx="2">
                  <c:v>3.1334786137693582</c:v>
                </c:pt>
                <c:pt idx="3">
                  <c:v>2.4974337710419188</c:v>
                </c:pt>
                <c:pt idx="4">
                  <c:v>3.3460965565691962</c:v>
                </c:pt>
                <c:pt idx="5">
                  <c:v>2.3719809875142306</c:v>
                </c:pt>
                <c:pt idx="6">
                  <c:v>3.9271729296190188</c:v>
                </c:pt>
                <c:pt idx="7">
                  <c:v>1.8081137174446149</c:v>
                </c:pt>
                <c:pt idx="8">
                  <c:v>4.8032334998585027</c:v>
                </c:pt>
                <c:pt idx="9">
                  <c:v>1.5062984968701985</c:v>
                </c:pt>
                <c:pt idx="10">
                  <c:v>3.7954948133488573</c:v>
                </c:pt>
                <c:pt idx="11">
                  <c:v>2.8509149767809334</c:v>
                </c:pt>
                <c:pt idx="12">
                  <c:v>4.672069766507998</c:v>
                </c:pt>
                <c:pt idx="13">
                  <c:v>3.2015425059607892</c:v>
                </c:pt>
                <c:pt idx="14">
                  <c:v>3.1998111638986604</c:v>
                </c:pt>
                <c:pt idx="15">
                  <c:v>2.0792167394078587</c:v>
                </c:pt>
                <c:pt idx="16">
                  <c:v>2.68191329938487</c:v>
                </c:pt>
                <c:pt idx="17">
                  <c:v>3.398574600617859</c:v>
                </c:pt>
                <c:pt idx="18">
                  <c:v>3.659322590829504</c:v>
                </c:pt>
                <c:pt idx="19">
                  <c:v>1.763079540691221</c:v>
                </c:pt>
                <c:pt idx="20">
                  <c:v>2.4278132986153507</c:v>
                </c:pt>
                <c:pt idx="21">
                  <c:v>2.826716077002152</c:v>
                </c:pt>
                <c:pt idx="22">
                  <c:v>3.3105640862217789</c:v>
                </c:pt>
                <c:pt idx="23">
                  <c:v>3.1446430649443378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9BD-3341-861E-4F3A1A6D9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564783615"/>
        <c:axId val="1790779712"/>
      </c:barChart>
      <c:catAx>
        <c:axId val="5647836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>
                    <a:latin typeface="Garamond" panose="02020404030301010803" pitchFamily="18" charset="0"/>
                  </a:rPr>
                  <a:t>Categories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0779712"/>
        <c:crosses val="autoZero"/>
        <c:auto val="1"/>
        <c:lblAlgn val="ctr"/>
        <c:lblOffset val="100"/>
        <c:noMultiLvlLbl val="0"/>
      </c:catAx>
      <c:valAx>
        <c:axId val="1790779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>
                    <a:latin typeface="Garamond" panose="02020404030301010803" pitchFamily="18" charset="0"/>
                  </a:rPr>
                  <a:t>Mean</a:t>
                </a:r>
                <a:r>
                  <a:rPr lang="en-US" sz="1600" b="1" baseline="0">
                    <a:latin typeface="Garamond" panose="02020404030301010803" pitchFamily="18" charset="0"/>
                  </a:rPr>
                  <a:t> Funding Ratio</a:t>
                </a:r>
                <a:endParaRPr lang="en-US" sz="1600" b="1">
                  <a:latin typeface="Garamond" panose="02020404030301010803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4783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[crowd_funding_analysis.xlsx]Outcomes vs. Weekdays!OutcomesWeekdayPivotTable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Garamond" panose="02020404030301010803" pitchFamily="18" charset="0"/>
                <a:ea typeface="+mn-ea"/>
                <a:cs typeface="+mn-cs"/>
              </a:defRPr>
            </a:pPr>
            <a:r>
              <a:rPr lang="en-US" sz="2400" b="1"/>
              <a:t>Outcomes vs. Weekdays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Garamond" panose="02020404030301010803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8100" cap="rnd">
            <a:solidFill>
              <a:srgbClr val="FFC000"/>
            </a:solidFill>
            <a:round/>
          </a:ln>
          <a:effectLst/>
        </c:spPr>
        <c:marker>
          <c:symbol val="circle"/>
          <c:size val="8"/>
          <c:spPr>
            <a:solidFill>
              <a:srgbClr val="0070C0"/>
            </a:solidFill>
            <a:ln w="12700">
              <a:solidFill>
                <a:schemeClr val="tx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Garamond" panose="02020404030301010803" pitchFamily="18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8100" cap="rnd">
            <a:solidFill>
              <a:srgbClr val="C00000"/>
            </a:solidFill>
            <a:round/>
          </a:ln>
          <a:effectLst/>
        </c:spPr>
        <c:marker>
          <c:symbol val="circle"/>
          <c:size val="8"/>
          <c:spPr>
            <a:solidFill>
              <a:srgbClr val="00B050"/>
            </a:solidFill>
            <a:ln w="12700">
              <a:solidFill>
                <a:schemeClr val="tx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Garamond" panose="02020404030301010803" pitchFamily="18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8100" cap="rnd">
            <a:solidFill>
              <a:srgbClr val="00B050"/>
            </a:solidFill>
            <a:round/>
          </a:ln>
          <a:effectLst/>
        </c:spPr>
        <c:marker>
          <c:symbol val="circle"/>
          <c:size val="8"/>
          <c:spPr>
            <a:solidFill>
              <a:srgbClr val="C00000"/>
            </a:solidFill>
            <a:ln w="12700">
              <a:solidFill>
                <a:schemeClr val="tx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Garamond" panose="02020404030301010803" pitchFamily="18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'Outcomes vs. Weekdays'!$B$4:$B$5</c:f>
              <c:strCache>
                <c:ptCount val="1"/>
                <c:pt idx="0">
                  <c:v>canceled</c:v>
                </c:pt>
              </c:strCache>
            </c:strRef>
          </c:tx>
          <c:spPr>
            <a:ln w="3810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0070C0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'Outcomes vs. Weekdays'!$A$6:$A$13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'Outcomes vs. Weekdays'!$B$6:$B$13</c:f>
              <c:numCache>
                <c:formatCode>General</c:formatCode>
                <c:ptCount val="7"/>
                <c:pt idx="0">
                  <c:v>8</c:v>
                </c:pt>
                <c:pt idx="1">
                  <c:v>6</c:v>
                </c:pt>
                <c:pt idx="2">
                  <c:v>7</c:v>
                </c:pt>
                <c:pt idx="3">
                  <c:v>9</c:v>
                </c:pt>
                <c:pt idx="4">
                  <c:v>11</c:v>
                </c:pt>
                <c:pt idx="5">
                  <c:v>8</c:v>
                </c:pt>
                <c:pt idx="6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B3-3542-85D2-BD5020177340}"/>
            </c:ext>
          </c:extLst>
        </c:ser>
        <c:ser>
          <c:idx val="1"/>
          <c:order val="1"/>
          <c:tx>
            <c:strRef>
              <c:f>'Outcomes vs. Weekdays'!$C$4:$C$5</c:f>
              <c:strCache>
                <c:ptCount val="1"/>
                <c:pt idx="0">
                  <c:v>failed</c:v>
                </c:pt>
              </c:strCache>
            </c:strRef>
          </c:tx>
          <c:spPr>
            <a:ln w="38100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00B050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'Outcomes vs. Weekdays'!$A$6:$A$13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'Outcomes vs. Weekdays'!$C$6:$C$13</c:f>
              <c:numCache>
                <c:formatCode>General</c:formatCode>
                <c:ptCount val="7"/>
                <c:pt idx="0">
                  <c:v>47</c:v>
                </c:pt>
                <c:pt idx="1">
                  <c:v>46</c:v>
                </c:pt>
                <c:pt idx="2">
                  <c:v>58</c:v>
                </c:pt>
                <c:pt idx="3">
                  <c:v>51</c:v>
                </c:pt>
                <c:pt idx="4">
                  <c:v>53</c:v>
                </c:pt>
                <c:pt idx="5">
                  <c:v>64</c:v>
                </c:pt>
                <c:pt idx="6">
                  <c:v>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B3-3542-85D2-BD5020177340}"/>
            </c:ext>
          </c:extLst>
        </c:ser>
        <c:ser>
          <c:idx val="2"/>
          <c:order val="2"/>
          <c:tx>
            <c:strRef>
              <c:f>'Outcomes vs. Weekdays'!$D$4:$D$5</c:f>
              <c:strCache>
                <c:ptCount val="1"/>
                <c:pt idx="0">
                  <c:v>successful</c:v>
                </c:pt>
              </c:strCache>
            </c:strRef>
          </c:tx>
          <c:spPr>
            <a:ln w="3810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C00000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'Outcomes vs. Weekdays'!$A$6:$A$13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'Outcomes vs. Weekdays'!$D$6:$D$13</c:f>
              <c:numCache>
                <c:formatCode>General</c:formatCode>
                <c:ptCount val="7"/>
                <c:pt idx="0">
                  <c:v>78</c:v>
                </c:pt>
                <c:pt idx="1">
                  <c:v>100</c:v>
                </c:pt>
                <c:pt idx="2">
                  <c:v>84</c:v>
                </c:pt>
                <c:pt idx="3">
                  <c:v>76</c:v>
                </c:pt>
                <c:pt idx="4">
                  <c:v>78</c:v>
                </c:pt>
                <c:pt idx="5">
                  <c:v>75</c:v>
                </c:pt>
                <c:pt idx="6">
                  <c:v>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EB3-3542-85D2-BD50201773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33122160"/>
        <c:axId val="1661205584"/>
      </c:lineChart>
      <c:catAx>
        <c:axId val="15331221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Garamond" panose="02020404030301010803" pitchFamily="18" charset="0"/>
                    <a:ea typeface="+mn-ea"/>
                    <a:cs typeface="+mn-cs"/>
                  </a:defRPr>
                </a:pPr>
                <a:r>
                  <a:rPr lang="en-US" sz="1600" b="1"/>
                  <a:t>Weekday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Garamond" panose="02020404030301010803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aramond" panose="02020404030301010803" pitchFamily="18" charset="0"/>
                <a:ea typeface="+mn-ea"/>
                <a:cs typeface="+mn-cs"/>
              </a:defRPr>
            </a:pPr>
            <a:endParaRPr lang="en-US"/>
          </a:p>
        </c:txPr>
        <c:crossAx val="1661205584"/>
        <c:crosses val="autoZero"/>
        <c:auto val="1"/>
        <c:lblAlgn val="ctr"/>
        <c:lblOffset val="100"/>
        <c:noMultiLvlLbl val="0"/>
      </c:catAx>
      <c:valAx>
        <c:axId val="1661205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Garamond" panose="02020404030301010803" pitchFamily="18" charset="0"/>
                    <a:ea typeface="+mn-ea"/>
                    <a:cs typeface="+mn-cs"/>
                  </a:defRPr>
                </a:pPr>
                <a:r>
                  <a:rPr lang="en-US" sz="1600" b="1"/>
                  <a:t>Outcome</a:t>
                </a:r>
                <a:endParaRPr lang="en-US" sz="1600" b="1" baseline="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Garamond" panose="02020404030301010803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aramond" panose="02020404030301010803" pitchFamily="18" charset="0"/>
                <a:ea typeface="+mn-ea"/>
                <a:cs typeface="+mn-cs"/>
              </a:defRPr>
            </a:pPr>
            <a:endParaRPr lang="en-US"/>
          </a:p>
        </c:txPr>
        <c:crossAx val="1533122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Garamond" panose="02020404030301010803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Garamond" panose="02020404030301010803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Garamond" panose="02020404030301010803" pitchFamily="18" charset="0"/>
                <a:ea typeface="+mn-ea"/>
                <a:cs typeface="+mn-cs"/>
              </a:defRPr>
            </a:pPr>
            <a:r>
              <a:rPr lang="en-US" sz="2400" b="1"/>
              <a:t>Outcomes (%) vs. Weekdays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Garamond" panose="02020404030301010803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38100" cap="rnd">
            <a:solidFill>
              <a:srgbClr val="FFC000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1"/>
            </a:solidFill>
            <a:ln w="12700">
              <a:solidFill>
                <a:schemeClr val="tx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Garamond" panose="02020404030301010803" pitchFamily="18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38100" cap="rnd">
            <a:solidFill>
              <a:srgbClr val="C00000"/>
            </a:solidFill>
            <a:round/>
          </a:ln>
          <a:effectLst/>
        </c:spPr>
        <c:marker>
          <c:symbol val="circle"/>
          <c:size val="8"/>
          <c:spPr>
            <a:solidFill>
              <a:srgbClr val="00B050"/>
            </a:solidFill>
            <a:ln w="12700">
              <a:solidFill>
                <a:schemeClr val="tx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Garamond" panose="02020404030301010803" pitchFamily="18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38100" cap="rnd">
            <a:solidFill>
              <a:srgbClr val="00B050"/>
            </a:solidFill>
            <a:round/>
          </a:ln>
          <a:effectLst/>
        </c:spPr>
        <c:marker>
          <c:symbol val="circle"/>
          <c:size val="8"/>
          <c:spPr>
            <a:solidFill>
              <a:srgbClr val="C00000"/>
            </a:solidFill>
            <a:ln w="12700">
              <a:solidFill>
                <a:schemeClr val="tx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Garamond" panose="02020404030301010803" pitchFamily="18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38100" cap="rnd">
            <a:solidFill>
              <a:srgbClr val="FFC000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1"/>
            </a:solidFill>
            <a:ln w="12700">
              <a:solidFill>
                <a:schemeClr val="tx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Garamond" panose="02020404030301010803" pitchFamily="18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38100" cap="rnd">
            <a:solidFill>
              <a:srgbClr val="C00000"/>
            </a:solidFill>
            <a:round/>
          </a:ln>
          <a:effectLst/>
        </c:spPr>
        <c:marker>
          <c:symbol val="circle"/>
          <c:size val="8"/>
          <c:spPr>
            <a:solidFill>
              <a:srgbClr val="00B050"/>
            </a:solidFill>
            <a:ln w="12700">
              <a:solidFill>
                <a:schemeClr val="tx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Garamond" panose="02020404030301010803" pitchFamily="18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38100" cap="rnd">
            <a:solidFill>
              <a:srgbClr val="00B050"/>
            </a:solidFill>
            <a:round/>
          </a:ln>
          <a:effectLst/>
        </c:spPr>
        <c:marker>
          <c:symbol val="circle"/>
          <c:size val="8"/>
          <c:spPr>
            <a:solidFill>
              <a:srgbClr val="C00000"/>
            </a:solidFill>
            <a:ln w="12700">
              <a:solidFill>
                <a:schemeClr val="tx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Garamond" panose="02020404030301010803" pitchFamily="18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38100" cap="rnd">
            <a:solidFill>
              <a:srgbClr val="FFC000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1"/>
            </a:solidFill>
            <a:ln w="12700">
              <a:solidFill>
                <a:schemeClr val="tx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Garamond" panose="02020404030301010803" pitchFamily="18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38100" cap="rnd">
            <a:solidFill>
              <a:srgbClr val="C00000"/>
            </a:solidFill>
            <a:round/>
          </a:ln>
          <a:effectLst/>
        </c:spPr>
        <c:marker>
          <c:symbol val="circle"/>
          <c:size val="8"/>
          <c:spPr>
            <a:solidFill>
              <a:srgbClr val="00B050"/>
            </a:solidFill>
            <a:ln w="12700">
              <a:solidFill>
                <a:schemeClr val="tx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Garamond" panose="02020404030301010803" pitchFamily="18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38100" cap="rnd">
            <a:solidFill>
              <a:srgbClr val="00B050"/>
            </a:solidFill>
            <a:round/>
          </a:ln>
          <a:effectLst/>
        </c:spPr>
        <c:marker>
          <c:symbol val="circle"/>
          <c:size val="8"/>
          <c:spPr>
            <a:solidFill>
              <a:srgbClr val="C00000"/>
            </a:solidFill>
            <a:ln w="12700">
              <a:solidFill>
                <a:schemeClr val="tx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Garamond" panose="02020404030301010803" pitchFamily="18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canceled</c:v>
          </c:tx>
          <c:spPr>
            <a:ln w="3810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Lit>
              <c:ptCount val="7"/>
              <c:pt idx="0">
                <c:v>Sun</c:v>
              </c:pt>
              <c:pt idx="1">
                <c:v>Mon</c:v>
              </c:pt>
              <c:pt idx="2">
                <c:v>Tue</c:v>
              </c:pt>
              <c:pt idx="3">
                <c:v>Wed</c:v>
              </c:pt>
              <c:pt idx="4">
                <c:v>Thu</c:v>
              </c:pt>
              <c:pt idx="5">
                <c:v>Fri</c:v>
              </c:pt>
              <c:pt idx="6">
                <c:v>Sat</c:v>
              </c:pt>
            </c:strLit>
          </c:cat>
          <c:val>
            <c:numLit>
              <c:formatCode>General</c:formatCode>
              <c:ptCount val="7"/>
              <c:pt idx="0">
                <c:v>6.0150375939849621E-2</c:v>
              </c:pt>
              <c:pt idx="1">
                <c:v>3.9473684210526314E-2</c:v>
              </c:pt>
              <c:pt idx="2">
                <c:v>4.6979865771812082E-2</c:v>
              </c:pt>
              <c:pt idx="3">
                <c:v>6.6176470588235295E-2</c:v>
              </c:pt>
              <c:pt idx="4">
                <c:v>7.746478873239436E-2</c:v>
              </c:pt>
              <c:pt idx="5">
                <c:v>5.4421768707482991E-2</c:v>
              </c:pt>
              <c:pt idx="6">
                <c:v>6.2992125984251968E-2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C3E1-E74A-9AA2-5C822CD671FD}"/>
            </c:ext>
          </c:extLst>
        </c:ser>
        <c:ser>
          <c:idx val="1"/>
          <c:order val="1"/>
          <c:tx>
            <c:v>failed</c:v>
          </c:tx>
          <c:spPr>
            <a:ln w="38100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00B050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Lit>
              <c:ptCount val="7"/>
              <c:pt idx="0">
                <c:v>Sun</c:v>
              </c:pt>
              <c:pt idx="1">
                <c:v>Mon</c:v>
              </c:pt>
              <c:pt idx="2">
                <c:v>Tue</c:v>
              </c:pt>
              <c:pt idx="3">
                <c:v>Wed</c:v>
              </c:pt>
              <c:pt idx="4">
                <c:v>Thu</c:v>
              </c:pt>
              <c:pt idx="5">
                <c:v>Fri</c:v>
              </c:pt>
              <c:pt idx="6">
                <c:v>Sat</c:v>
              </c:pt>
            </c:strLit>
          </c:cat>
          <c:val>
            <c:numLit>
              <c:formatCode>General</c:formatCode>
              <c:ptCount val="7"/>
              <c:pt idx="0">
                <c:v>0.35338345864661652</c:v>
              </c:pt>
              <c:pt idx="1">
                <c:v>0.30263157894736842</c:v>
              </c:pt>
              <c:pt idx="2">
                <c:v>0.38926174496644295</c:v>
              </c:pt>
              <c:pt idx="3">
                <c:v>0.375</c:v>
              </c:pt>
              <c:pt idx="4">
                <c:v>0.37323943661971831</c:v>
              </c:pt>
              <c:pt idx="5">
                <c:v>0.43537414965986393</c:v>
              </c:pt>
              <c:pt idx="6">
                <c:v>0.3543307086614173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C3E1-E74A-9AA2-5C822CD671FD}"/>
            </c:ext>
          </c:extLst>
        </c:ser>
        <c:ser>
          <c:idx val="2"/>
          <c:order val="2"/>
          <c:tx>
            <c:v>successful</c:v>
          </c:tx>
          <c:spPr>
            <a:ln w="3810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C00000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Lit>
              <c:ptCount val="7"/>
              <c:pt idx="0">
                <c:v>Sun</c:v>
              </c:pt>
              <c:pt idx="1">
                <c:v>Mon</c:v>
              </c:pt>
              <c:pt idx="2">
                <c:v>Tue</c:v>
              </c:pt>
              <c:pt idx="3">
                <c:v>Wed</c:v>
              </c:pt>
              <c:pt idx="4">
                <c:v>Thu</c:v>
              </c:pt>
              <c:pt idx="5">
                <c:v>Fri</c:v>
              </c:pt>
              <c:pt idx="6">
                <c:v>Sat</c:v>
              </c:pt>
            </c:strLit>
          </c:cat>
          <c:val>
            <c:numLit>
              <c:formatCode>General</c:formatCode>
              <c:ptCount val="7"/>
              <c:pt idx="0">
                <c:v>0.5864661654135338</c:v>
              </c:pt>
              <c:pt idx="1">
                <c:v>0.65789473684210531</c:v>
              </c:pt>
              <c:pt idx="2">
                <c:v>0.56375838926174493</c:v>
              </c:pt>
              <c:pt idx="3">
                <c:v>0.55882352941176472</c:v>
              </c:pt>
              <c:pt idx="4">
                <c:v>0.54929577464788737</c:v>
              </c:pt>
              <c:pt idx="5">
                <c:v>0.51020408163265307</c:v>
              </c:pt>
              <c:pt idx="6">
                <c:v>0.58267716535433067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C3E1-E74A-9AA2-5C822CD671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0232432"/>
        <c:axId val="1313894208"/>
      </c:lineChart>
      <c:catAx>
        <c:axId val="12602324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Garamond" panose="02020404030301010803" pitchFamily="18" charset="0"/>
                    <a:ea typeface="+mn-ea"/>
                    <a:cs typeface="+mn-cs"/>
                  </a:defRPr>
                </a:pPr>
                <a:r>
                  <a:rPr lang="en-US" sz="1600" b="1"/>
                  <a:t>Weekday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Garamond" panose="02020404030301010803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aramond" panose="02020404030301010803" pitchFamily="18" charset="0"/>
                <a:ea typeface="+mn-ea"/>
                <a:cs typeface="+mn-cs"/>
              </a:defRPr>
            </a:pPr>
            <a:endParaRPr lang="en-US"/>
          </a:p>
        </c:txPr>
        <c:crossAx val="1313894208"/>
        <c:crosses val="autoZero"/>
        <c:auto val="1"/>
        <c:lblAlgn val="ctr"/>
        <c:lblOffset val="100"/>
        <c:noMultiLvlLbl val="0"/>
      </c:catAx>
      <c:valAx>
        <c:axId val="1313894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Garamond" panose="02020404030301010803" pitchFamily="18" charset="0"/>
                    <a:ea typeface="+mn-ea"/>
                    <a:cs typeface="+mn-cs"/>
                  </a:defRPr>
                </a:pPr>
                <a:r>
                  <a:rPr lang="en-US" sz="1600" b="1"/>
                  <a:t>Outcome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Garamond" panose="02020404030301010803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aramond" panose="02020404030301010803" pitchFamily="18" charset="0"/>
                <a:ea typeface="+mn-ea"/>
                <a:cs typeface="+mn-cs"/>
              </a:defRPr>
            </a:pPr>
            <a:endParaRPr lang="en-US"/>
          </a:p>
        </c:txPr>
        <c:crossAx val="1260232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Garamond" panose="02020404030301010803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Garamond" panose="02020404030301010803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[crowd_funding_analysis.xlsx]Outcomes vs. Months!MonthsPivotTable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Garamond" panose="02020404030301010803" pitchFamily="18" charset="0"/>
                <a:ea typeface="+mn-ea"/>
                <a:cs typeface="+mn-cs"/>
              </a:defRPr>
            </a:pPr>
            <a:r>
              <a:rPr lang="en-US" sz="2400" b="1"/>
              <a:t>Outcomes vs. Months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Garamond" panose="02020404030301010803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38100" cap="rnd">
            <a:solidFill>
              <a:srgbClr val="FFC000"/>
            </a:solidFill>
            <a:round/>
          </a:ln>
          <a:effectLst/>
        </c:spPr>
        <c:marker>
          <c:symbol val="circle"/>
          <c:size val="8"/>
          <c:spPr>
            <a:solidFill>
              <a:srgbClr val="0070C0"/>
            </a:solidFill>
            <a:ln w="12700">
              <a:solidFill>
                <a:schemeClr val="tx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Garamond" panose="02020404030301010803" pitchFamily="18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38100" cap="rnd">
            <a:solidFill>
              <a:srgbClr val="C00000"/>
            </a:solidFill>
            <a:round/>
          </a:ln>
          <a:effectLst/>
        </c:spPr>
        <c:marker>
          <c:symbol val="circle"/>
          <c:size val="8"/>
          <c:spPr>
            <a:solidFill>
              <a:srgbClr val="00B050"/>
            </a:solidFill>
            <a:ln w="12700">
              <a:solidFill>
                <a:schemeClr val="tx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Garamond" panose="02020404030301010803" pitchFamily="18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pPr>
            <a:solidFill>
              <a:srgbClr val="00B050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38100" cap="rnd">
            <a:solidFill>
              <a:srgbClr val="00B050"/>
            </a:solidFill>
            <a:round/>
          </a:ln>
          <a:effectLst/>
        </c:spPr>
        <c:marker>
          <c:symbol val="circle"/>
          <c:size val="8"/>
          <c:spPr>
            <a:solidFill>
              <a:srgbClr val="C00000"/>
            </a:solidFill>
            <a:ln w="12700">
              <a:solidFill>
                <a:schemeClr val="tx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Garamond" panose="02020404030301010803" pitchFamily="18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Garamond" panose="02020404030301010803" pitchFamily="18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Garamond" panose="02020404030301010803" pitchFamily="18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Garamond" panose="02020404030301010803" pitchFamily="18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Garamond" panose="02020404030301010803" pitchFamily="18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Garamond" panose="02020404030301010803" pitchFamily="18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Garamond" panose="02020404030301010803" pitchFamily="18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38100" cap="rnd">
            <a:solidFill>
              <a:srgbClr val="FFC000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Garamond" panose="02020404030301010803" pitchFamily="18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38100" cap="rnd">
            <a:solidFill>
              <a:srgbClr val="C00000"/>
            </a:solidFill>
            <a:round/>
          </a:ln>
          <a:effectLst/>
        </c:spPr>
        <c:marker>
          <c:symbol val="circle"/>
          <c:size val="8"/>
          <c:spPr>
            <a:solidFill>
              <a:srgbClr val="00B050"/>
            </a:solidFill>
            <a:ln w="12700">
              <a:solidFill>
                <a:schemeClr val="tx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Garamond" panose="02020404030301010803" pitchFamily="18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38100" cap="rnd">
            <a:solidFill>
              <a:srgbClr val="00B050"/>
            </a:solidFill>
            <a:round/>
          </a:ln>
          <a:effectLst/>
        </c:spPr>
        <c:marker>
          <c:symbol val="circle"/>
          <c:size val="8"/>
          <c:spPr>
            <a:solidFill>
              <a:srgbClr val="C00000"/>
            </a:solidFill>
            <a:ln w="12700">
              <a:solidFill>
                <a:schemeClr val="tx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Garamond" panose="02020404030301010803" pitchFamily="18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38100" cap="rnd">
            <a:solidFill>
              <a:srgbClr val="00B050"/>
            </a:solidFill>
            <a:round/>
          </a:ln>
          <a:effectLst/>
        </c:spPr>
        <c:marker>
          <c:symbol val="circle"/>
          <c:size val="8"/>
          <c:spPr>
            <a:solidFill>
              <a:srgbClr val="C00000"/>
            </a:solidFill>
            <a:ln w="12700">
              <a:solidFill>
                <a:schemeClr val="tx1"/>
              </a:solidFill>
            </a:ln>
            <a:effectLst/>
          </c:spPr>
        </c:marker>
      </c:pivotFmt>
      <c:pivotFmt>
        <c:idx val="15"/>
        <c:spPr>
          <a:ln w="38100" cap="rnd">
            <a:solidFill>
              <a:srgbClr val="FFC000"/>
            </a:solidFill>
            <a:round/>
          </a:ln>
          <a:effectLst/>
        </c:spPr>
        <c:marker>
          <c:symbol val="circle"/>
          <c:size val="8"/>
          <c:spPr>
            <a:solidFill>
              <a:srgbClr val="0070C0"/>
            </a:solidFill>
            <a:ln w="12700">
              <a:solidFill>
                <a:schemeClr val="tx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Garamond" panose="02020404030301010803" pitchFamily="18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'Outcomes vs. Months'!$B$4:$B$5</c:f>
              <c:strCache>
                <c:ptCount val="1"/>
                <c:pt idx="0">
                  <c:v>canceled</c:v>
                </c:pt>
              </c:strCache>
            </c:strRef>
          </c:tx>
          <c:spPr>
            <a:ln w="3810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0070C0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'Outcomes vs. Months'!$A$6:$A$18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'Outcomes vs. Months'!$B$6:$B$18</c:f>
              <c:numCache>
                <c:formatCode>General</c:formatCode>
                <c:ptCount val="12"/>
                <c:pt idx="0">
                  <c:v>6</c:v>
                </c:pt>
                <c:pt idx="1">
                  <c:v>7</c:v>
                </c:pt>
                <c:pt idx="2">
                  <c:v>4</c:v>
                </c:pt>
                <c:pt idx="3">
                  <c:v>1</c:v>
                </c:pt>
                <c:pt idx="4">
                  <c:v>3</c:v>
                </c:pt>
                <c:pt idx="5">
                  <c:v>3</c:v>
                </c:pt>
                <c:pt idx="6">
                  <c:v>4</c:v>
                </c:pt>
                <c:pt idx="7">
                  <c:v>8</c:v>
                </c:pt>
                <c:pt idx="8">
                  <c:v>5</c:v>
                </c:pt>
                <c:pt idx="9">
                  <c:v>6</c:v>
                </c:pt>
                <c:pt idx="10">
                  <c:v>3</c:v>
                </c:pt>
                <c:pt idx="1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DA-2C4F-840F-DF15EA13A32F}"/>
            </c:ext>
          </c:extLst>
        </c:ser>
        <c:ser>
          <c:idx val="1"/>
          <c:order val="1"/>
          <c:tx>
            <c:strRef>
              <c:f>'Outcomes vs. Months'!$C$4:$C$5</c:f>
              <c:strCache>
                <c:ptCount val="1"/>
                <c:pt idx="0">
                  <c:v>failed</c:v>
                </c:pt>
              </c:strCache>
            </c:strRef>
          </c:tx>
          <c:spPr>
            <a:ln w="38100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00B050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'Outcomes vs. Months'!$A$6:$A$18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'Outcomes vs. Months'!$C$6:$C$18</c:f>
              <c:numCache>
                <c:formatCode>General</c:formatCode>
                <c:ptCount val="12"/>
                <c:pt idx="0">
                  <c:v>36</c:v>
                </c:pt>
                <c:pt idx="1">
                  <c:v>28</c:v>
                </c:pt>
                <c:pt idx="2">
                  <c:v>33</c:v>
                </c:pt>
                <c:pt idx="3">
                  <c:v>30</c:v>
                </c:pt>
                <c:pt idx="4">
                  <c:v>35</c:v>
                </c:pt>
                <c:pt idx="5">
                  <c:v>28</c:v>
                </c:pt>
                <c:pt idx="6">
                  <c:v>31</c:v>
                </c:pt>
                <c:pt idx="7">
                  <c:v>35</c:v>
                </c:pt>
                <c:pt idx="8">
                  <c:v>23</c:v>
                </c:pt>
                <c:pt idx="9">
                  <c:v>26</c:v>
                </c:pt>
                <c:pt idx="10">
                  <c:v>27</c:v>
                </c:pt>
                <c:pt idx="11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F3-4447-B8B6-04BF6B5C0D82}"/>
            </c:ext>
          </c:extLst>
        </c:ser>
        <c:ser>
          <c:idx val="2"/>
          <c:order val="2"/>
          <c:tx>
            <c:strRef>
              <c:f>'Outcomes vs. Months'!$D$4:$D$5</c:f>
              <c:strCache>
                <c:ptCount val="1"/>
                <c:pt idx="0">
                  <c:v>successful</c:v>
                </c:pt>
              </c:strCache>
            </c:strRef>
          </c:tx>
          <c:spPr>
            <a:ln w="3810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C00000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'Outcomes vs. Months'!$A$6:$A$18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'Outcomes vs. Months'!$D$6:$D$18</c:f>
              <c:numCache>
                <c:formatCode>General</c:formatCode>
                <c:ptCount val="12"/>
                <c:pt idx="0">
                  <c:v>49</c:v>
                </c:pt>
                <c:pt idx="1">
                  <c:v>44</c:v>
                </c:pt>
                <c:pt idx="2">
                  <c:v>49</c:v>
                </c:pt>
                <c:pt idx="3">
                  <c:v>46</c:v>
                </c:pt>
                <c:pt idx="4">
                  <c:v>46</c:v>
                </c:pt>
                <c:pt idx="5">
                  <c:v>55</c:v>
                </c:pt>
                <c:pt idx="6">
                  <c:v>58</c:v>
                </c:pt>
                <c:pt idx="7">
                  <c:v>41</c:v>
                </c:pt>
                <c:pt idx="8">
                  <c:v>45</c:v>
                </c:pt>
                <c:pt idx="9">
                  <c:v>45</c:v>
                </c:pt>
                <c:pt idx="10">
                  <c:v>45</c:v>
                </c:pt>
                <c:pt idx="11">
                  <c:v>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DF3-4447-B8B6-04BF6B5C0D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2394256"/>
        <c:axId val="392396528"/>
      </c:lineChart>
      <c:catAx>
        <c:axId val="3923942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Garamond" panose="02020404030301010803" pitchFamily="18" charset="0"/>
                    <a:ea typeface="+mn-ea"/>
                    <a:cs typeface="+mn-cs"/>
                  </a:defRPr>
                </a:pPr>
                <a:r>
                  <a:rPr lang="en-US" sz="1600" b="1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Garamond" panose="02020404030301010803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aramond" panose="02020404030301010803" pitchFamily="18" charset="0"/>
                <a:ea typeface="+mn-ea"/>
                <a:cs typeface="+mn-cs"/>
              </a:defRPr>
            </a:pPr>
            <a:endParaRPr lang="en-US"/>
          </a:p>
        </c:txPr>
        <c:crossAx val="392396528"/>
        <c:crosses val="autoZero"/>
        <c:auto val="1"/>
        <c:lblAlgn val="ctr"/>
        <c:lblOffset val="100"/>
        <c:noMultiLvlLbl val="0"/>
      </c:catAx>
      <c:valAx>
        <c:axId val="39239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Garamond" panose="02020404030301010803" pitchFamily="18" charset="0"/>
                    <a:ea typeface="+mn-ea"/>
                    <a:cs typeface="+mn-cs"/>
                  </a:defRPr>
                </a:pPr>
                <a:r>
                  <a:rPr lang="en-US" sz="1600" b="1"/>
                  <a:t>Outcome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Garamond" panose="02020404030301010803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aramond" panose="02020404030301010803" pitchFamily="18" charset="0"/>
                <a:ea typeface="+mn-ea"/>
                <a:cs typeface="+mn-cs"/>
              </a:defRPr>
            </a:pPr>
            <a:endParaRPr lang="en-US"/>
          </a:p>
        </c:txPr>
        <c:crossAx val="392394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Garamond" panose="02020404030301010803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Garamond" panose="02020404030301010803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Garamond" panose="02020404030301010803" pitchFamily="18" charset="0"/>
                <a:ea typeface="+mn-ea"/>
                <a:cs typeface="+mn-cs"/>
              </a:defRPr>
            </a:pPr>
            <a:r>
              <a:rPr lang="en-US" sz="2400" b="1"/>
              <a:t>Outcomes (%) vs. Months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Garamond" panose="02020404030301010803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38100" cap="rnd">
            <a:solidFill>
              <a:srgbClr val="FFC000"/>
            </a:solidFill>
            <a:round/>
          </a:ln>
          <a:effectLst/>
        </c:spPr>
        <c:marker>
          <c:symbol val="circle"/>
          <c:size val="8"/>
          <c:spPr>
            <a:solidFill>
              <a:srgbClr val="0070C0"/>
            </a:solidFill>
            <a:ln w="12700">
              <a:solidFill>
                <a:schemeClr val="tx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Garamond" panose="02020404030301010803" pitchFamily="18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38100" cap="rnd">
            <a:solidFill>
              <a:srgbClr val="C00000"/>
            </a:solidFill>
            <a:round/>
          </a:ln>
          <a:effectLst/>
        </c:spPr>
        <c:marker>
          <c:symbol val="circle"/>
          <c:size val="8"/>
          <c:spPr>
            <a:solidFill>
              <a:srgbClr val="00B050"/>
            </a:solidFill>
            <a:ln w="12700">
              <a:solidFill>
                <a:schemeClr val="tx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Garamond" panose="02020404030301010803" pitchFamily="18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38100" cap="rnd">
            <a:solidFill>
              <a:srgbClr val="00B050"/>
            </a:solidFill>
            <a:round/>
          </a:ln>
          <a:effectLst/>
        </c:spPr>
        <c:marker>
          <c:symbol val="circle"/>
          <c:size val="8"/>
          <c:spPr>
            <a:solidFill>
              <a:srgbClr val="C00000"/>
            </a:solidFill>
            <a:ln w="12700">
              <a:solidFill>
                <a:schemeClr val="tx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Garamond" panose="02020404030301010803" pitchFamily="18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38100" cap="rnd">
            <a:solidFill>
              <a:srgbClr val="FFC000"/>
            </a:solidFill>
            <a:round/>
          </a:ln>
          <a:effectLst/>
        </c:spPr>
        <c:marker>
          <c:symbol val="circle"/>
          <c:size val="8"/>
          <c:spPr>
            <a:solidFill>
              <a:srgbClr val="0070C0"/>
            </a:solidFill>
            <a:ln w="12700">
              <a:solidFill>
                <a:schemeClr val="tx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Garamond" panose="02020404030301010803" pitchFamily="18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38100" cap="rnd">
            <a:solidFill>
              <a:srgbClr val="C00000"/>
            </a:solidFill>
            <a:round/>
          </a:ln>
          <a:effectLst/>
        </c:spPr>
        <c:marker>
          <c:symbol val="circle"/>
          <c:size val="8"/>
          <c:spPr>
            <a:solidFill>
              <a:srgbClr val="00B050"/>
            </a:solidFill>
            <a:ln w="12700">
              <a:solidFill>
                <a:schemeClr val="tx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Garamond" panose="02020404030301010803" pitchFamily="18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38100" cap="rnd">
            <a:solidFill>
              <a:srgbClr val="00B050"/>
            </a:solidFill>
            <a:round/>
          </a:ln>
          <a:effectLst/>
        </c:spPr>
        <c:marker>
          <c:symbol val="circle"/>
          <c:size val="8"/>
          <c:spPr>
            <a:solidFill>
              <a:srgbClr val="C00000"/>
            </a:solidFill>
            <a:ln w="12700">
              <a:solidFill>
                <a:schemeClr val="tx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Garamond" panose="02020404030301010803" pitchFamily="18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38100" cap="rnd">
            <a:solidFill>
              <a:srgbClr val="FFC000"/>
            </a:solidFill>
            <a:round/>
          </a:ln>
          <a:effectLst/>
        </c:spPr>
        <c:marker>
          <c:symbol val="circle"/>
          <c:size val="8"/>
          <c:spPr>
            <a:solidFill>
              <a:srgbClr val="0070C0"/>
            </a:solidFill>
            <a:ln w="12700">
              <a:solidFill>
                <a:schemeClr val="tx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Garamond" panose="02020404030301010803" pitchFamily="18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38100" cap="rnd">
            <a:solidFill>
              <a:srgbClr val="C00000"/>
            </a:solidFill>
            <a:round/>
          </a:ln>
          <a:effectLst/>
        </c:spPr>
        <c:marker>
          <c:symbol val="circle"/>
          <c:size val="8"/>
          <c:spPr>
            <a:solidFill>
              <a:srgbClr val="00B050"/>
            </a:solidFill>
            <a:ln w="12700">
              <a:solidFill>
                <a:schemeClr val="tx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Garamond" panose="02020404030301010803" pitchFamily="18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38100" cap="rnd">
            <a:solidFill>
              <a:srgbClr val="00B050"/>
            </a:solidFill>
            <a:round/>
          </a:ln>
          <a:effectLst/>
        </c:spPr>
        <c:marker>
          <c:symbol val="circle"/>
          <c:size val="8"/>
          <c:spPr>
            <a:solidFill>
              <a:srgbClr val="C00000"/>
            </a:solidFill>
            <a:ln w="12700">
              <a:solidFill>
                <a:schemeClr val="tx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Garamond" panose="02020404030301010803" pitchFamily="18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canceled</c:v>
          </c:tx>
          <c:spPr>
            <a:ln w="3810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0070C0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Lit>
              <c:ptCount val="12"/>
              <c:pt idx="0">
                <c:v>Jan</c:v>
              </c:pt>
              <c:pt idx="1">
                <c:v>Feb</c:v>
              </c:pt>
              <c:pt idx="2">
                <c:v>Mar</c:v>
              </c:pt>
              <c:pt idx="3">
                <c:v>Apr</c:v>
              </c:pt>
              <c:pt idx="4">
                <c:v>May</c:v>
              </c:pt>
              <c:pt idx="5">
                <c:v>Jun</c:v>
              </c:pt>
              <c:pt idx="6">
                <c:v>Jul</c:v>
              </c:pt>
              <c:pt idx="7">
                <c:v>Aug</c:v>
              </c:pt>
              <c:pt idx="8">
                <c:v>Sep</c:v>
              </c:pt>
              <c:pt idx="9">
                <c:v>Oct</c:v>
              </c:pt>
              <c:pt idx="10">
                <c:v>Nov</c:v>
              </c:pt>
              <c:pt idx="11">
                <c:v>Dec</c:v>
              </c:pt>
            </c:strLit>
          </c:cat>
          <c:val>
            <c:numLit>
              <c:formatCode>General</c:formatCode>
              <c:ptCount val="12"/>
              <c:pt idx="0">
                <c:v>6.5934065934065936E-2</c:v>
              </c:pt>
              <c:pt idx="1">
                <c:v>8.8607594936708861E-2</c:v>
              </c:pt>
              <c:pt idx="2">
                <c:v>4.6511627906976744E-2</c:v>
              </c:pt>
              <c:pt idx="3">
                <c:v>1.2987012987012988E-2</c:v>
              </c:pt>
              <c:pt idx="4">
                <c:v>3.5714285714285712E-2</c:v>
              </c:pt>
              <c:pt idx="5">
                <c:v>3.4883720930232558E-2</c:v>
              </c:pt>
              <c:pt idx="6">
                <c:v>4.3010752688172046E-2</c:v>
              </c:pt>
              <c:pt idx="7">
                <c:v>9.5238095238095233E-2</c:v>
              </c:pt>
              <c:pt idx="8">
                <c:v>6.8493150684931503E-2</c:v>
              </c:pt>
              <c:pt idx="9">
                <c:v>7.792207792207792E-2</c:v>
              </c:pt>
              <c:pt idx="10">
                <c:v>0.04</c:v>
              </c:pt>
              <c:pt idx="11">
                <c:v>8.6419753086419748E-2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31FB-D449-BB83-240D93D96BB1}"/>
            </c:ext>
          </c:extLst>
        </c:ser>
        <c:ser>
          <c:idx val="1"/>
          <c:order val="1"/>
          <c:tx>
            <c:v>failed</c:v>
          </c:tx>
          <c:spPr>
            <a:ln w="38100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00B050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Lit>
              <c:ptCount val="12"/>
              <c:pt idx="0">
                <c:v>Jan</c:v>
              </c:pt>
              <c:pt idx="1">
                <c:v>Feb</c:v>
              </c:pt>
              <c:pt idx="2">
                <c:v>Mar</c:v>
              </c:pt>
              <c:pt idx="3">
                <c:v>Apr</c:v>
              </c:pt>
              <c:pt idx="4">
                <c:v>May</c:v>
              </c:pt>
              <c:pt idx="5">
                <c:v>Jun</c:v>
              </c:pt>
              <c:pt idx="6">
                <c:v>Jul</c:v>
              </c:pt>
              <c:pt idx="7">
                <c:v>Aug</c:v>
              </c:pt>
              <c:pt idx="8">
                <c:v>Sep</c:v>
              </c:pt>
              <c:pt idx="9">
                <c:v>Oct</c:v>
              </c:pt>
              <c:pt idx="10">
                <c:v>Nov</c:v>
              </c:pt>
              <c:pt idx="11">
                <c:v>Dec</c:v>
              </c:pt>
            </c:strLit>
          </c:cat>
          <c:val>
            <c:numLit>
              <c:formatCode>General</c:formatCode>
              <c:ptCount val="12"/>
              <c:pt idx="0">
                <c:v>0.39560439560439559</c:v>
              </c:pt>
              <c:pt idx="1">
                <c:v>0.35443037974683544</c:v>
              </c:pt>
              <c:pt idx="2">
                <c:v>0.38372093023255816</c:v>
              </c:pt>
              <c:pt idx="3">
                <c:v>0.38961038961038963</c:v>
              </c:pt>
              <c:pt idx="4">
                <c:v>0.41666666666666669</c:v>
              </c:pt>
              <c:pt idx="5">
                <c:v>0.32558139534883723</c:v>
              </c:pt>
              <c:pt idx="6">
                <c:v>0.33333333333333331</c:v>
              </c:pt>
              <c:pt idx="7">
                <c:v>0.41666666666666669</c:v>
              </c:pt>
              <c:pt idx="8">
                <c:v>0.31506849315068491</c:v>
              </c:pt>
              <c:pt idx="9">
                <c:v>0.33766233766233766</c:v>
              </c:pt>
              <c:pt idx="10">
                <c:v>0.36</c:v>
              </c:pt>
              <c:pt idx="11">
                <c:v>0.39506172839506171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31FB-D449-BB83-240D93D96BB1}"/>
            </c:ext>
          </c:extLst>
        </c:ser>
        <c:ser>
          <c:idx val="2"/>
          <c:order val="2"/>
          <c:tx>
            <c:v>successful</c:v>
          </c:tx>
          <c:spPr>
            <a:ln w="3810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C00000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Lit>
              <c:ptCount val="12"/>
              <c:pt idx="0">
                <c:v>Jan</c:v>
              </c:pt>
              <c:pt idx="1">
                <c:v>Feb</c:v>
              </c:pt>
              <c:pt idx="2">
                <c:v>Mar</c:v>
              </c:pt>
              <c:pt idx="3">
                <c:v>Apr</c:v>
              </c:pt>
              <c:pt idx="4">
                <c:v>May</c:v>
              </c:pt>
              <c:pt idx="5">
                <c:v>Jun</c:v>
              </c:pt>
              <c:pt idx="6">
                <c:v>Jul</c:v>
              </c:pt>
              <c:pt idx="7">
                <c:v>Aug</c:v>
              </c:pt>
              <c:pt idx="8">
                <c:v>Sep</c:v>
              </c:pt>
              <c:pt idx="9">
                <c:v>Oct</c:v>
              </c:pt>
              <c:pt idx="10">
                <c:v>Nov</c:v>
              </c:pt>
              <c:pt idx="11">
                <c:v>Dec</c:v>
              </c:pt>
            </c:strLit>
          </c:cat>
          <c:val>
            <c:numLit>
              <c:formatCode>General</c:formatCode>
              <c:ptCount val="12"/>
              <c:pt idx="0">
                <c:v>0.53846153846153844</c:v>
              </c:pt>
              <c:pt idx="1">
                <c:v>0.55696202531645567</c:v>
              </c:pt>
              <c:pt idx="2">
                <c:v>0.56976744186046513</c:v>
              </c:pt>
              <c:pt idx="3">
                <c:v>0.59740259740259738</c:v>
              </c:pt>
              <c:pt idx="4">
                <c:v>0.54761904761904767</c:v>
              </c:pt>
              <c:pt idx="5">
                <c:v>0.63953488372093026</c:v>
              </c:pt>
              <c:pt idx="6">
                <c:v>0.62365591397849462</c:v>
              </c:pt>
              <c:pt idx="7">
                <c:v>0.48809523809523808</c:v>
              </c:pt>
              <c:pt idx="8">
                <c:v>0.61643835616438358</c:v>
              </c:pt>
              <c:pt idx="9">
                <c:v>0.58441558441558439</c:v>
              </c:pt>
              <c:pt idx="10">
                <c:v>0.6</c:v>
              </c:pt>
              <c:pt idx="11">
                <c:v>0.51851851851851849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31FB-D449-BB83-240D93D96B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6338208"/>
        <c:axId val="1583915200"/>
      </c:lineChart>
      <c:catAx>
        <c:axId val="15763382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Garamond" panose="02020404030301010803" pitchFamily="18" charset="0"/>
                    <a:ea typeface="+mn-ea"/>
                    <a:cs typeface="+mn-cs"/>
                  </a:defRPr>
                </a:pPr>
                <a:r>
                  <a:rPr lang="en-US" sz="1600" b="1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Garamond" panose="02020404030301010803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aramond" panose="02020404030301010803" pitchFamily="18" charset="0"/>
                <a:ea typeface="+mn-ea"/>
                <a:cs typeface="+mn-cs"/>
              </a:defRPr>
            </a:pPr>
            <a:endParaRPr lang="en-US"/>
          </a:p>
        </c:txPr>
        <c:crossAx val="1583915200"/>
        <c:crosses val="autoZero"/>
        <c:auto val="1"/>
        <c:lblAlgn val="ctr"/>
        <c:lblOffset val="100"/>
        <c:noMultiLvlLbl val="0"/>
      </c:catAx>
      <c:valAx>
        <c:axId val="1583915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Garamond" panose="02020404030301010803" pitchFamily="18" charset="0"/>
                    <a:ea typeface="+mn-ea"/>
                    <a:cs typeface="+mn-cs"/>
                  </a:defRPr>
                </a:pPr>
                <a:r>
                  <a:rPr lang="en-US" sz="1600" b="1"/>
                  <a:t>Outcome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Garamond" panose="02020404030301010803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aramond" panose="02020404030301010803" pitchFamily="18" charset="0"/>
                <a:ea typeface="+mn-ea"/>
                <a:cs typeface="+mn-cs"/>
              </a:defRPr>
            </a:pPr>
            <a:endParaRPr lang="en-US"/>
          </a:p>
        </c:txPr>
        <c:crossAx val="1576338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Garamond" panose="02020404030301010803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Garamond" panose="02020404030301010803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[crowd_funding_analysis.xlsx] Outcomes vs. Years!OutcomesYearsPivotTable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Garamond" panose="02020404030301010803" pitchFamily="18" charset="0"/>
                <a:ea typeface="+mn-ea"/>
                <a:cs typeface="+mn-cs"/>
              </a:defRPr>
            </a:pPr>
            <a:r>
              <a:rPr lang="en-US" sz="2400" b="1"/>
              <a:t>Outcomes vs. Years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Garamond" panose="02020404030301010803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8100" cap="rnd">
            <a:solidFill>
              <a:srgbClr val="FFC000"/>
            </a:solidFill>
            <a:round/>
          </a:ln>
          <a:effectLst/>
        </c:spPr>
        <c:marker>
          <c:symbol val="circle"/>
          <c:size val="8"/>
          <c:spPr>
            <a:solidFill>
              <a:srgbClr val="0070C0"/>
            </a:solidFill>
            <a:ln w="12700">
              <a:solidFill>
                <a:schemeClr val="tx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Garamond" panose="02020404030301010803" pitchFamily="18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8100" cap="rnd">
            <a:solidFill>
              <a:srgbClr val="C00000"/>
            </a:solidFill>
            <a:round/>
          </a:ln>
          <a:effectLst/>
        </c:spPr>
        <c:marker>
          <c:symbol val="circle"/>
          <c:size val="8"/>
          <c:spPr>
            <a:solidFill>
              <a:srgbClr val="00B050"/>
            </a:solidFill>
            <a:ln w="12700">
              <a:solidFill>
                <a:schemeClr val="tx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Garamond" panose="02020404030301010803" pitchFamily="18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8100" cap="rnd">
            <a:solidFill>
              <a:srgbClr val="00B050"/>
            </a:solidFill>
            <a:round/>
          </a:ln>
          <a:effectLst/>
        </c:spPr>
        <c:marker>
          <c:symbol val="circle"/>
          <c:size val="8"/>
          <c:spPr>
            <a:solidFill>
              <a:srgbClr val="C00000"/>
            </a:solidFill>
            <a:ln w="12700">
              <a:solidFill>
                <a:schemeClr val="tx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Garamond" panose="02020404030301010803" pitchFamily="18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 Outcomes vs. Years'!$B$3:$B$4</c:f>
              <c:strCache>
                <c:ptCount val="1"/>
                <c:pt idx="0">
                  <c:v>canceled</c:v>
                </c:pt>
              </c:strCache>
            </c:strRef>
          </c:tx>
          <c:spPr>
            <a:ln w="3810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0070C0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 Outcomes vs. Years'!$A$5:$A$15</c:f>
              <c:strCach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strCache>
            </c:strRef>
          </c:cat>
          <c:val>
            <c:numRef>
              <c:f>' Outcomes vs. Years'!$B$5:$B$15</c:f>
              <c:numCache>
                <c:formatCode>General</c:formatCode>
                <c:ptCount val="10"/>
                <c:pt idx="0">
                  <c:v>14</c:v>
                </c:pt>
                <c:pt idx="1">
                  <c:v>6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7</c:v>
                </c:pt>
                <c:pt idx="6">
                  <c:v>5</c:v>
                </c:pt>
                <c:pt idx="7">
                  <c:v>5</c:v>
                </c:pt>
                <c:pt idx="8">
                  <c:v>4</c:v>
                </c:pt>
                <c:pt idx="9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AC-8D41-81C6-C5DA9EF11E36}"/>
            </c:ext>
          </c:extLst>
        </c:ser>
        <c:ser>
          <c:idx val="1"/>
          <c:order val="1"/>
          <c:tx>
            <c:strRef>
              <c:f>' Outcomes vs. Years'!$C$3:$C$4</c:f>
              <c:strCache>
                <c:ptCount val="1"/>
                <c:pt idx="0">
                  <c:v>failed</c:v>
                </c:pt>
              </c:strCache>
            </c:strRef>
          </c:tx>
          <c:spPr>
            <a:ln w="38100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00B050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 Outcomes vs. Years'!$A$5:$A$15</c:f>
              <c:strCach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strCache>
            </c:strRef>
          </c:cat>
          <c:val>
            <c:numRef>
              <c:f>' Outcomes vs. Years'!$C$5:$C$15</c:f>
              <c:numCache>
                <c:formatCode>General</c:formatCode>
                <c:ptCount val="10"/>
                <c:pt idx="0">
                  <c:v>35</c:v>
                </c:pt>
                <c:pt idx="1">
                  <c:v>40</c:v>
                </c:pt>
                <c:pt idx="2">
                  <c:v>32</c:v>
                </c:pt>
                <c:pt idx="3">
                  <c:v>35</c:v>
                </c:pt>
                <c:pt idx="4">
                  <c:v>37</c:v>
                </c:pt>
                <c:pt idx="5">
                  <c:v>42</c:v>
                </c:pt>
                <c:pt idx="6">
                  <c:v>42</c:v>
                </c:pt>
                <c:pt idx="7">
                  <c:v>28</c:v>
                </c:pt>
                <c:pt idx="8">
                  <c:v>35</c:v>
                </c:pt>
                <c:pt idx="9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AC-8D41-81C6-C5DA9EF11E36}"/>
            </c:ext>
          </c:extLst>
        </c:ser>
        <c:ser>
          <c:idx val="2"/>
          <c:order val="2"/>
          <c:tx>
            <c:strRef>
              <c:f>' Outcomes vs. Years'!$D$3:$D$4</c:f>
              <c:strCache>
                <c:ptCount val="1"/>
                <c:pt idx="0">
                  <c:v>successful</c:v>
                </c:pt>
              </c:strCache>
            </c:strRef>
          </c:tx>
          <c:spPr>
            <a:ln w="3810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C00000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 Outcomes vs. Years'!$A$5:$A$15</c:f>
              <c:strCach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strCache>
            </c:strRef>
          </c:cat>
          <c:val>
            <c:numRef>
              <c:f>' Outcomes vs. Years'!$D$5:$D$15</c:f>
              <c:numCache>
                <c:formatCode>General</c:formatCode>
                <c:ptCount val="10"/>
                <c:pt idx="0">
                  <c:v>58</c:v>
                </c:pt>
                <c:pt idx="1">
                  <c:v>56</c:v>
                </c:pt>
                <c:pt idx="2">
                  <c:v>45</c:v>
                </c:pt>
                <c:pt idx="3">
                  <c:v>48</c:v>
                </c:pt>
                <c:pt idx="4">
                  <c:v>60</c:v>
                </c:pt>
                <c:pt idx="5">
                  <c:v>54</c:v>
                </c:pt>
                <c:pt idx="6">
                  <c:v>49</c:v>
                </c:pt>
                <c:pt idx="7">
                  <c:v>67</c:v>
                </c:pt>
                <c:pt idx="8">
                  <c:v>61</c:v>
                </c:pt>
                <c:pt idx="9">
                  <c:v>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EAC-8D41-81C6-C5DA9EF11E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7317152"/>
        <c:axId val="1065713680"/>
      </c:lineChart>
      <c:catAx>
        <c:axId val="10673171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Garamond" panose="02020404030301010803" pitchFamily="18" charset="0"/>
                    <a:ea typeface="+mn-ea"/>
                    <a:cs typeface="+mn-cs"/>
                  </a:defRPr>
                </a:pPr>
                <a:r>
                  <a:rPr lang="en-US" sz="1600" b="1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Garamond" panose="02020404030301010803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aramond" panose="02020404030301010803" pitchFamily="18" charset="0"/>
                <a:ea typeface="+mn-ea"/>
                <a:cs typeface="+mn-cs"/>
              </a:defRPr>
            </a:pPr>
            <a:endParaRPr lang="en-US"/>
          </a:p>
        </c:txPr>
        <c:crossAx val="1065713680"/>
        <c:crosses val="autoZero"/>
        <c:auto val="1"/>
        <c:lblAlgn val="ctr"/>
        <c:lblOffset val="100"/>
        <c:noMultiLvlLbl val="0"/>
      </c:catAx>
      <c:valAx>
        <c:axId val="1065713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Garamond" panose="02020404030301010803" pitchFamily="18" charset="0"/>
                    <a:ea typeface="+mn-ea"/>
                    <a:cs typeface="+mn-cs"/>
                  </a:defRPr>
                </a:pPr>
                <a:r>
                  <a:rPr lang="en-US" sz="1600" b="1"/>
                  <a:t>Outcome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Garamond" panose="02020404030301010803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aramond" panose="02020404030301010803" pitchFamily="18" charset="0"/>
                <a:ea typeface="+mn-ea"/>
                <a:cs typeface="+mn-cs"/>
              </a:defRPr>
            </a:pPr>
            <a:endParaRPr lang="en-US"/>
          </a:p>
        </c:txPr>
        <c:crossAx val="1067317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Garamond" panose="02020404030301010803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Garamond" panose="02020404030301010803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Garamond" panose="02020404030301010803" pitchFamily="18" charset="0"/>
                <a:ea typeface="+mn-ea"/>
                <a:cs typeface="+mn-cs"/>
              </a:defRPr>
            </a:pPr>
            <a:r>
              <a:rPr lang="en-US" sz="2400" b="1"/>
              <a:t>Outcomes (%) vs. Years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Garamond" panose="02020404030301010803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38100" cap="rnd">
            <a:solidFill>
              <a:srgbClr val="FFC000"/>
            </a:solidFill>
            <a:round/>
          </a:ln>
          <a:effectLst/>
        </c:spPr>
        <c:marker>
          <c:symbol val="circle"/>
          <c:size val="8"/>
          <c:spPr>
            <a:solidFill>
              <a:srgbClr val="0070C0"/>
            </a:solidFill>
            <a:ln w="12700">
              <a:solidFill>
                <a:schemeClr val="tx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Garamond" panose="02020404030301010803" pitchFamily="18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38100" cap="rnd">
            <a:solidFill>
              <a:srgbClr val="C00000"/>
            </a:solidFill>
            <a:round/>
          </a:ln>
          <a:effectLst/>
        </c:spPr>
        <c:marker>
          <c:symbol val="circle"/>
          <c:size val="8"/>
          <c:spPr>
            <a:solidFill>
              <a:srgbClr val="00B050"/>
            </a:solidFill>
            <a:ln w="12700">
              <a:solidFill>
                <a:schemeClr val="tx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Garamond" panose="02020404030301010803" pitchFamily="18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38100" cap="rnd">
            <a:solidFill>
              <a:srgbClr val="00B050"/>
            </a:solidFill>
            <a:round/>
          </a:ln>
          <a:effectLst/>
        </c:spPr>
        <c:marker>
          <c:symbol val="circle"/>
          <c:size val="8"/>
          <c:spPr>
            <a:solidFill>
              <a:srgbClr val="C00000"/>
            </a:solidFill>
            <a:ln w="12700">
              <a:solidFill>
                <a:schemeClr val="tx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Garamond" panose="02020404030301010803" pitchFamily="18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38100" cap="rnd">
            <a:solidFill>
              <a:srgbClr val="FFC000"/>
            </a:solidFill>
            <a:round/>
          </a:ln>
          <a:effectLst/>
        </c:spPr>
        <c:marker>
          <c:symbol val="circle"/>
          <c:size val="8"/>
          <c:spPr>
            <a:solidFill>
              <a:srgbClr val="0070C0"/>
            </a:solidFill>
            <a:ln w="12700">
              <a:solidFill>
                <a:schemeClr val="tx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Garamond" panose="02020404030301010803" pitchFamily="18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38100" cap="rnd">
            <a:solidFill>
              <a:srgbClr val="C00000"/>
            </a:solidFill>
            <a:round/>
          </a:ln>
          <a:effectLst/>
        </c:spPr>
        <c:marker>
          <c:symbol val="circle"/>
          <c:size val="8"/>
          <c:spPr>
            <a:solidFill>
              <a:srgbClr val="00B050"/>
            </a:solidFill>
            <a:ln w="12700">
              <a:solidFill>
                <a:schemeClr val="tx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Garamond" panose="02020404030301010803" pitchFamily="18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38100" cap="rnd">
            <a:solidFill>
              <a:srgbClr val="00B050"/>
            </a:solidFill>
            <a:round/>
          </a:ln>
          <a:effectLst/>
        </c:spPr>
        <c:marker>
          <c:symbol val="circle"/>
          <c:size val="8"/>
          <c:spPr>
            <a:solidFill>
              <a:srgbClr val="C00000"/>
            </a:solidFill>
            <a:ln w="12700">
              <a:solidFill>
                <a:schemeClr val="tx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Garamond" panose="02020404030301010803" pitchFamily="18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38100" cap="rnd">
            <a:solidFill>
              <a:srgbClr val="FFC000"/>
            </a:solidFill>
            <a:round/>
          </a:ln>
          <a:effectLst/>
        </c:spPr>
        <c:marker>
          <c:symbol val="circle"/>
          <c:size val="8"/>
          <c:spPr>
            <a:solidFill>
              <a:srgbClr val="0070C0"/>
            </a:solidFill>
            <a:ln w="12700">
              <a:solidFill>
                <a:schemeClr val="tx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Garamond" panose="02020404030301010803" pitchFamily="18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38100" cap="rnd">
            <a:solidFill>
              <a:srgbClr val="C00000"/>
            </a:solidFill>
            <a:round/>
          </a:ln>
          <a:effectLst/>
        </c:spPr>
        <c:marker>
          <c:symbol val="circle"/>
          <c:size val="8"/>
          <c:spPr>
            <a:solidFill>
              <a:srgbClr val="00B050"/>
            </a:solidFill>
            <a:ln w="12700">
              <a:solidFill>
                <a:schemeClr val="tx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Garamond" panose="02020404030301010803" pitchFamily="18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38100" cap="rnd">
            <a:solidFill>
              <a:srgbClr val="00B050"/>
            </a:solidFill>
            <a:round/>
          </a:ln>
          <a:effectLst/>
        </c:spPr>
        <c:marker>
          <c:symbol val="circle"/>
          <c:size val="8"/>
          <c:spPr>
            <a:solidFill>
              <a:srgbClr val="C00000"/>
            </a:solidFill>
            <a:ln w="12700">
              <a:solidFill>
                <a:schemeClr val="tx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Garamond" panose="02020404030301010803" pitchFamily="18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canceled</c:v>
          </c:tx>
          <c:spPr>
            <a:ln w="3810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0070C0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Lit>
              <c:ptCount val="10"/>
              <c:pt idx="0">
                <c:v>2010</c:v>
              </c:pt>
              <c:pt idx="1">
                <c:v>2011</c:v>
              </c:pt>
              <c:pt idx="2">
                <c:v>2012</c:v>
              </c:pt>
              <c:pt idx="3">
                <c:v>2013</c:v>
              </c:pt>
              <c:pt idx="4">
                <c:v>2014</c:v>
              </c:pt>
              <c:pt idx="5">
                <c:v>2015</c:v>
              </c:pt>
              <c:pt idx="6">
                <c:v>2016</c:v>
              </c:pt>
              <c:pt idx="7">
                <c:v>2017</c:v>
              </c:pt>
              <c:pt idx="8">
                <c:v>2018</c:v>
              </c:pt>
              <c:pt idx="9">
                <c:v>2019</c:v>
              </c:pt>
            </c:strLit>
          </c:cat>
          <c:val>
            <c:numLit>
              <c:formatCode>General</c:formatCode>
              <c:ptCount val="10"/>
              <c:pt idx="0">
                <c:v>0.13084112149532709</c:v>
              </c:pt>
              <c:pt idx="1">
                <c:v>5.8823529411764705E-2</c:v>
              </c:pt>
              <c:pt idx="2">
                <c:v>4.9382716049382713E-2</c:v>
              </c:pt>
              <c:pt idx="3">
                <c:v>4.5977011494252873E-2</c:v>
              </c:pt>
              <c:pt idx="4">
                <c:v>3.9603960396039604E-2</c:v>
              </c:pt>
              <c:pt idx="5">
                <c:v>6.7961165048543687E-2</c:v>
              </c:pt>
              <c:pt idx="6">
                <c:v>5.2083333333333336E-2</c:v>
              </c:pt>
              <c:pt idx="7">
                <c:v>0.05</c:v>
              </c:pt>
              <c:pt idx="8">
                <c:v>0.04</c:v>
              </c:pt>
              <c:pt idx="9">
                <c:v>3.7383177570093455E-2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B151-C64E-8F0A-D536D8DB3DDA}"/>
            </c:ext>
          </c:extLst>
        </c:ser>
        <c:ser>
          <c:idx val="1"/>
          <c:order val="1"/>
          <c:tx>
            <c:v>failed</c:v>
          </c:tx>
          <c:spPr>
            <a:ln w="38100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00B050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Lit>
              <c:ptCount val="10"/>
              <c:pt idx="0">
                <c:v>2010</c:v>
              </c:pt>
              <c:pt idx="1">
                <c:v>2011</c:v>
              </c:pt>
              <c:pt idx="2">
                <c:v>2012</c:v>
              </c:pt>
              <c:pt idx="3">
                <c:v>2013</c:v>
              </c:pt>
              <c:pt idx="4">
                <c:v>2014</c:v>
              </c:pt>
              <c:pt idx="5">
                <c:v>2015</c:v>
              </c:pt>
              <c:pt idx="6">
                <c:v>2016</c:v>
              </c:pt>
              <c:pt idx="7">
                <c:v>2017</c:v>
              </c:pt>
              <c:pt idx="8">
                <c:v>2018</c:v>
              </c:pt>
              <c:pt idx="9">
                <c:v>2019</c:v>
              </c:pt>
            </c:strLit>
          </c:cat>
          <c:val>
            <c:numLit>
              <c:formatCode>General</c:formatCode>
              <c:ptCount val="10"/>
              <c:pt idx="0">
                <c:v>0.32710280373831774</c:v>
              </c:pt>
              <c:pt idx="1">
                <c:v>0.39215686274509803</c:v>
              </c:pt>
              <c:pt idx="2">
                <c:v>0.39506172839506171</c:v>
              </c:pt>
              <c:pt idx="3">
                <c:v>0.40229885057471265</c:v>
              </c:pt>
              <c:pt idx="4">
                <c:v>0.36633663366336633</c:v>
              </c:pt>
              <c:pt idx="5">
                <c:v>0.40776699029126212</c:v>
              </c:pt>
              <c:pt idx="6">
                <c:v>0.4375</c:v>
              </c:pt>
              <c:pt idx="7">
                <c:v>0.28000000000000003</c:v>
              </c:pt>
              <c:pt idx="8">
                <c:v>0.35</c:v>
              </c:pt>
              <c:pt idx="9">
                <c:v>0.3364485981308411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B151-C64E-8F0A-D536D8DB3DDA}"/>
            </c:ext>
          </c:extLst>
        </c:ser>
        <c:ser>
          <c:idx val="2"/>
          <c:order val="2"/>
          <c:tx>
            <c:v>successful</c:v>
          </c:tx>
          <c:spPr>
            <a:ln w="3810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C00000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Lit>
              <c:ptCount val="10"/>
              <c:pt idx="0">
                <c:v>2010</c:v>
              </c:pt>
              <c:pt idx="1">
                <c:v>2011</c:v>
              </c:pt>
              <c:pt idx="2">
                <c:v>2012</c:v>
              </c:pt>
              <c:pt idx="3">
                <c:v>2013</c:v>
              </c:pt>
              <c:pt idx="4">
                <c:v>2014</c:v>
              </c:pt>
              <c:pt idx="5">
                <c:v>2015</c:v>
              </c:pt>
              <c:pt idx="6">
                <c:v>2016</c:v>
              </c:pt>
              <c:pt idx="7">
                <c:v>2017</c:v>
              </c:pt>
              <c:pt idx="8">
                <c:v>2018</c:v>
              </c:pt>
              <c:pt idx="9">
                <c:v>2019</c:v>
              </c:pt>
            </c:strLit>
          </c:cat>
          <c:val>
            <c:numLit>
              <c:formatCode>General</c:formatCode>
              <c:ptCount val="10"/>
              <c:pt idx="0">
                <c:v>0.54205607476635509</c:v>
              </c:pt>
              <c:pt idx="1">
                <c:v>0.5490196078431373</c:v>
              </c:pt>
              <c:pt idx="2">
                <c:v>0.55555555555555558</c:v>
              </c:pt>
              <c:pt idx="3">
                <c:v>0.55172413793103448</c:v>
              </c:pt>
              <c:pt idx="4">
                <c:v>0.59405940594059403</c:v>
              </c:pt>
              <c:pt idx="5">
                <c:v>0.52427184466019416</c:v>
              </c:pt>
              <c:pt idx="6">
                <c:v>0.51041666666666663</c:v>
              </c:pt>
              <c:pt idx="7">
                <c:v>0.67</c:v>
              </c:pt>
              <c:pt idx="8">
                <c:v>0.61</c:v>
              </c:pt>
              <c:pt idx="9">
                <c:v>0.62616822429906538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B151-C64E-8F0A-D536D8DB3D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6705792"/>
        <c:axId val="1116707520"/>
      </c:lineChart>
      <c:catAx>
        <c:axId val="11167057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Garamond" panose="02020404030301010803" pitchFamily="18" charset="0"/>
                    <a:ea typeface="+mn-ea"/>
                    <a:cs typeface="+mn-cs"/>
                  </a:defRPr>
                </a:pPr>
                <a:r>
                  <a:rPr lang="en-US" sz="1600" b="1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Garamond" panose="02020404030301010803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aramond" panose="02020404030301010803" pitchFamily="18" charset="0"/>
                <a:ea typeface="+mn-ea"/>
                <a:cs typeface="+mn-cs"/>
              </a:defRPr>
            </a:pPr>
            <a:endParaRPr lang="en-US"/>
          </a:p>
        </c:txPr>
        <c:crossAx val="1116707520"/>
        <c:crosses val="autoZero"/>
        <c:auto val="1"/>
        <c:lblAlgn val="ctr"/>
        <c:lblOffset val="100"/>
        <c:noMultiLvlLbl val="0"/>
      </c:catAx>
      <c:valAx>
        <c:axId val="1116707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Garamond" panose="02020404030301010803" pitchFamily="18" charset="0"/>
                    <a:ea typeface="+mn-ea"/>
                    <a:cs typeface="+mn-cs"/>
                  </a:defRPr>
                </a:pPr>
                <a:r>
                  <a:rPr lang="en-US" sz="1600" b="1"/>
                  <a:t>Outcome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Garamond" panose="02020404030301010803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aramond" panose="02020404030301010803" pitchFamily="18" charset="0"/>
                <a:ea typeface="+mn-ea"/>
                <a:cs typeface="+mn-cs"/>
              </a:defRPr>
            </a:pPr>
            <a:endParaRPr lang="en-US"/>
          </a:p>
        </c:txPr>
        <c:crossAx val="111670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Garamond" panose="02020404030301010803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Garamond" panose="02020404030301010803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>
                <a:latin typeface="Garamond" panose="02020404030301010803" pitchFamily="18" charset="0"/>
              </a:rPr>
              <a:t>Metric</a:t>
            </a:r>
            <a:r>
              <a:rPr lang="en-US" sz="2400" b="1" baseline="0">
                <a:latin typeface="Garamond" panose="02020404030301010803" pitchFamily="18" charset="0"/>
              </a:rPr>
              <a:t> Counts</a:t>
            </a:r>
            <a:r>
              <a:rPr lang="en-US" sz="2400" b="1">
                <a:latin typeface="Garamond" panose="02020404030301010803" pitchFamily="18" charset="0"/>
              </a:rPr>
              <a:t> vs. Outcomes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'Backer Distributions'!$B$3</c:f>
              <c:strCache>
                <c:ptCount val="1"/>
                <c:pt idx="0">
                  <c:v>Median Backers</c:v>
                </c:pt>
              </c:strCache>
            </c:strRef>
          </c:tx>
          <c:spPr>
            <a:ln w="3810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0070C0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'Backer Distributions'!$A$4:$A$7</c:f>
              <c:strCache>
                <c:ptCount val="4"/>
                <c:pt idx="0">
                  <c:v>Successful</c:v>
                </c:pt>
                <c:pt idx="1">
                  <c:v>Failed</c:v>
                </c:pt>
                <c:pt idx="2">
                  <c:v>Canceled</c:v>
                </c:pt>
                <c:pt idx="3">
                  <c:v>Live</c:v>
                </c:pt>
              </c:strCache>
            </c:strRef>
          </c:cat>
          <c:val>
            <c:numRef>
              <c:f>'Backer Distributions'!$B$4:$B$7</c:f>
              <c:numCache>
                <c:formatCode>General</c:formatCode>
                <c:ptCount val="4"/>
                <c:pt idx="0">
                  <c:v>201</c:v>
                </c:pt>
                <c:pt idx="1">
                  <c:v>114.5</c:v>
                </c:pt>
                <c:pt idx="2">
                  <c:v>139</c:v>
                </c:pt>
                <c:pt idx="3">
                  <c:v>148.5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E3-5247-8352-8ADDE0A483B7}"/>
            </c:ext>
          </c:extLst>
        </c:ser>
        <c:ser>
          <c:idx val="1"/>
          <c:order val="1"/>
          <c:tx>
            <c:strRef>
              <c:f>'Backer Distributions'!$C$3</c:f>
              <c:strCache>
                <c:ptCount val="1"/>
                <c:pt idx="0">
                  <c:v>Mean Backers</c:v>
                </c:pt>
              </c:strCache>
            </c:strRef>
          </c:tx>
          <c:spPr>
            <a:ln w="38100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00B050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'Backer Distributions'!$A$4:$A$7</c:f>
              <c:strCache>
                <c:ptCount val="4"/>
                <c:pt idx="0">
                  <c:v>Successful</c:v>
                </c:pt>
                <c:pt idx="1">
                  <c:v>Failed</c:v>
                </c:pt>
                <c:pt idx="2">
                  <c:v>Canceled</c:v>
                </c:pt>
                <c:pt idx="3">
                  <c:v>Live</c:v>
                </c:pt>
              </c:strCache>
            </c:strRef>
          </c:cat>
          <c:val>
            <c:numRef>
              <c:f>'Backer Distributions'!$C$4:$C$7</c:f>
              <c:numCache>
                <c:formatCode>General</c:formatCode>
                <c:ptCount val="4"/>
                <c:pt idx="0">
                  <c:v>851.15</c:v>
                </c:pt>
                <c:pt idx="1">
                  <c:v>585.62</c:v>
                </c:pt>
                <c:pt idx="2">
                  <c:v>434.53</c:v>
                </c:pt>
                <c:pt idx="3">
                  <c:v>583.92999999999995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6E3-5247-8352-8ADDE0A483B7}"/>
            </c:ext>
          </c:extLst>
        </c:ser>
        <c:ser>
          <c:idx val="2"/>
          <c:order val="2"/>
          <c:tx>
            <c:strRef>
              <c:f>'Backer Distributions'!$D$3</c:f>
              <c:strCache>
                <c:ptCount val="1"/>
                <c:pt idx="0">
                  <c:v>Std. Dev.</c:v>
                </c:pt>
              </c:strCache>
            </c:strRef>
          </c:tx>
          <c:spPr>
            <a:ln w="3810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C00000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'Backer Distributions'!$A$4:$A$7</c:f>
              <c:strCache>
                <c:ptCount val="4"/>
                <c:pt idx="0">
                  <c:v>Successful</c:v>
                </c:pt>
                <c:pt idx="1">
                  <c:v>Failed</c:v>
                </c:pt>
                <c:pt idx="2">
                  <c:v>Canceled</c:v>
                </c:pt>
                <c:pt idx="3">
                  <c:v>Live</c:v>
                </c:pt>
              </c:strCache>
            </c:strRef>
          </c:cat>
          <c:val>
            <c:numRef>
              <c:f>'Backer Distributions'!$D$4:$D$7</c:f>
              <c:numCache>
                <c:formatCode>General</c:formatCode>
                <c:ptCount val="4"/>
                <c:pt idx="0">
                  <c:v>1267.3699999999999</c:v>
                </c:pt>
                <c:pt idx="1">
                  <c:v>961.31</c:v>
                </c:pt>
                <c:pt idx="2">
                  <c:v>573.54999999999995</c:v>
                </c:pt>
                <c:pt idx="3">
                  <c:v>968.41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6E3-5247-8352-8ADDE0A483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7275808"/>
        <c:axId val="7671104"/>
      </c:lineChart>
      <c:catAx>
        <c:axId val="2472758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>
                    <a:latin typeface="Garamond" panose="02020404030301010803" pitchFamily="18" charset="0"/>
                  </a:rPr>
                  <a:t>Outcome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71104"/>
        <c:crosses val="autoZero"/>
        <c:auto val="1"/>
        <c:lblAlgn val="ctr"/>
        <c:lblOffset val="100"/>
        <c:noMultiLvlLbl val="0"/>
      </c:catAx>
      <c:valAx>
        <c:axId val="7671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>
                    <a:latin typeface="Garamond" panose="02020404030301010803" pitchFamily="18" charset="0"/>
                  </a:rPr>
                  <a:t>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aramond" panose="02020404030301010803" pitchFamily="18" charset="0"/>
                <a:ea typeface="+mn-ea"/>
                <a:cs typeface="+mn-cs"/>
              </a:defRPr>
            </a:pPr>
            <a:endParaRPr lang="en-US"/>
          </a:p>
        </c:txPr>
        <c:crossAx val="247275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Garamond" panose="02020404030301010803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Garamond" panose="02020404030301010803" pitchFamily="18" charset="0"/>
                <a:ea typeface="+mn-ea"/>
                <a:cs typeface="+mn-cs"/>
              </a:defRPr>
            </a:pPr>
            <a:r>
              <a:rPr lang="en-US" sz="2400" b="1" baseline="0"/>
              <a:t>Outcomes </a:t>
            </a:r>
            <a:r>
              <a:rPr lang="en-US" sz="2400" b="1"/>
              <a:t>vs. Campaign Goals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Garamond" panose="02020404030301010803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'Campaign Summary'!$B$1</c:f>
              <c:strCache>
                <c:ptCount val="1"/>
                <c:pt idx="0">
                  <c:v>Successful</c:v>
                </c:pt>
              </c:strCache>
            </c:strRef>
          </c:tx>
          <c:spPr>
            <a:ln w="3810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C00000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strRef>
              <c:f>'Campaign Summary'!$A$2:$A$7</c:f>
              <c:strCache>
                <c:ptCount val="6"/>
                <c:pt idx="0">
                  <c:v>&lt; $5,000</c:v>
                </c:pt>
                <c:pt idx="1">
                  <c:v>$5,000 - $10,000</c:v>
                </c:pt>
                <c:pt idx="2">
                  <c:v>$10,000 - $15,000</c:v>
                </c:pt>
                <c:pt idx="3">
                  <c:v>$15,000 - $35,000</c:v>
                </c:pt>
                <c:pt idx="4">
                  <c:v>$35,000 - $100,000</c:v>
                </c:pt>
                <c:pt idx="5">
                  <c:v>&gt; $100,000</c:v>
                </c:pt>
              </c:strCache>
            </c:strRef>
          </c:cat>
          <c:val>
            <c:numRef>
              <c:f>'Campaign Summary'!$B$2:$B$7</c:f>
              <c:numCache>
                <c:formatCode>General</c:formatCode>
                <c:ptCount val="6"/>
                <c:pt idx="0">
                  <c:v>221</c:v>
                </c:pt>
                <c:pt idx="1">
                  <c:v>164</c:v>
                </c:pt>
                <c:pt idx="2">
                  <c:v>4</c:v>
                </c:pt>
                <c:pt idx="3">
                  <c:v>35</c:v>
                </c:pt>
                <c:pt idx="4">
                  <c:v>97</c:v>
                </c:pt>
                <c:pt idx="5">
                  <c:v>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6C-0646-A370-C4E6AA37CADD}"/>
            </c:ext>
          </c:extLst>
        </c:ser>
        <c:ser>
          <c:idx val="1"/>
          <c:order val="1"/>
          <c:tx>
            <c:strRef>
              <c:f>'Campaign Summary'!$C$1</c:f>
              <c:strCache>
                <c:ptCount val="1"/>
                <c:pt idx="0">
                  <c:v>Failed</c:v>
                </c:pt>
              </c:strCache>
            </c:strRef>
          </c:tx>
          <c:spPr>
            <a:ln w="38100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00B050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strRef>
              <c:f>'Campaign Summary'!$A$2:$A$7</c:f>
              <c:strCache>
                <c:ptCount val="6"/>
                <c:pt idx="0">
                  <c:v>&lt; $5,000</c:v>
                </c:pt>
                <c:pt idx="1">
                  <c:v>$5,000 - $10,000</c:v>
                </c:pt>
                <c:pt idx="2">
                  <c:v>$10,000 - $15,000</c:v>
                </c:pt>
                <c:pt idx="3">
                  <c:v>$15,000 - $35,000</c:v>
                </c:pt>
                <c:pt idx="4">
                  <c:v>$35,000 - $100,000</c:v>
                </c:pt>
                <c:pt idx="5">
                  <c:v>&gt; $100,000</c:v>
                </c:pt>
              </c:strCache>
            </c:strRef>
          </c:cat>
          <c:val>
            <c:numRef>
              <c:f>'Campaign Summary'!$C$2:$C$7</c:f>
              <c:numCache>
                <c:formatCode>General</c:formatCode>
                <c:ptCount val="6"/>
                <c:pt idx="0">
                  <c:v>58</c:v>
                </c:pt>
                <c:pt idx="1">
                  <c:v>126</c:v>
                </c:pt>
                <c:pt idx="2">
                  <c:v>5</c:v>
                </c:pt>
                <c:pt idx="3">
                  <c:v>3</c:v>
                </c:pt>
                <c:pt idx="4">
                  <c:v>52</c:v>
                </c:pt>
                <c:pt idx="5">
                  <c:v>120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6C-0646-A370-C4E6AA37CADD}"/>
            </c:ext>
          </c:extLst>
        </c:ser>
        <c:ser>
          <c:idx val="2"/>
          <c:order val="2"/>
          <c:tx>
            <c:strRef>
              <c:f>'Campaign Summary'!$D$1</c:f>
              <c:strCache>
                <c:ptCount val="1"/>
                <c:pt idx="0">
                  <c:v>Canceled</c:v>
                </c:pt>
              </c:strCache>
            </c:strRef>
          </c:tx>
          <c:spPr>
            <a:ln w="3810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1">
                  <a:lumMod val="75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dPt>
            <c:idx val="9"/>
            <c:marker>
              <c:symbol val="circle"/>
              <c:size val="8"/>
              <c:spPr>
                <a:solidFill>
                  <a:srgbClr val="0070C0"/>
                </a:solidFill>
                <a:ln w="12700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B0EA-364B-A5E4-C5E4780421F5}"/>
              </c:ext>
            </c:extLst>
          </c:dPt>
          <c:cat>
            <c:strRef>
              <c:f>'Campaign Summary'!$A$2:$A$7</c:f>
              <c:strCache>
                <c:ptCount val="6"/>
                <c:pt idx="0">
                  <c:v>&lt; $5,000</c:v>
                </c:pt>
                <c:pt idx="1">
                  <c:v>$5,000 - $10,000</c:v>
                </c:pt>
                <c:pt idx="2">
                  <c:v>$10,000 - $15,000</c:v>
                </c:pt>
                <c:pt idx="3">
                  <c:v>$15,000 - $35,000</c:v>
                </c:pt>
                <c:pt idx="4">
                  <c:v>$35,000 - $100,000</c:v>
                </c:pt>
                <c:pt idx="5">
                  <c:v>&gt; $100,000</c:v>
                </c:pt>
              </c:strCache>
            </c:strRef>
          </c:cat>
          <c:val>
            <c:numRef>
              <c:f>'Campaign Summary'!$D$2:$D$7</c:f>
              <c:numCache>
                <c:formatCode>General</c:formatCode>
                <c:ptCount val="6"/>
                <c:pt idx="0">
                  <c:v>3</c:v>
                </c:pt>
                <c:pt idx="1">
                  <c:v>25</c:v>
                </c:pt>
                <c:pt idx="2">
                  <c:v>0</c:v>
                </c:pt>
                <c:pt idx="3">
                  <c:v>0</c:v>
                </c:pt>
                <c:pt idx="4">
                  <c:v>7</c:v>
                </c:pt>
                <c:pt idx="5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D6C-0646-A370-C4E6AA37CA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5790096"/>
        <c:axId val="225792096"/>
      </c:lineChart>
      <c:catAx>
        <c:axId val="2257900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Garamond" panose="02020404030301010803" pitchFamily="18" charset="0"/>
                    <a:ea typeface="+mn-ea"/>
                    <a:cs typeface="+mn-cs"/>
                  </a:defRPr>
                </a:pPr>
                <a:r>
                  <a:rPr lang="en-US" sz="1600" b="1"/>
                  <a:t>Campaign Goal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Garamond" panose="02020404030301010803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aramond" panose="02020404030301010803" pitchFamily="18" charset="0"/>
                <a:ea typeface="+mn-ea"/>
                <a:cs typeface="+mn-cs"/>
              </a:defRPr>
            </a:pPr>
            <a:endParaRPr lang="en-US"/>
          </a:p>
        </c:txPr>
        <c:crossAx val="225792096"/>
        <c:crosses val="autoZero"/>
        <c:auto val="1"/>
        <c:lblAlgn val="ctr"/>
        <c:lblOffset val="100"/>
        <c:noMultiLvlLbl val="0"/>
      </c:catAx>
      <c:valAx>
        <c:axId val="225792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Garamond" panose="02020404030301010803" pitchFamily="18" charset="0"/>
                    <a:ea typeface="+mn-ea"/>
                    <a:cs typeface="+mn-cs"/>
                  </a:defRPr>
                </a:pPr>
                <a:r>
                  <a:rPr lang="en-US" sz="1600" b="1"/>
                  <a:t>Outcome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Garamond" panose="02020404030301010803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aramond" panose="02020404030301010803" pitchFamily="18" charset="0"/>
                <a:ea typeface="+mn-ea"/>
                <a:cs typeface="+mn-cs"/>
              </a:defRPr>
            </a:pPr>
            <a:endParaRPr lang="en-US"/>
          </a:p>
        </c:txPr>
        <c:crossAx val="225790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Garamond" panose="02020404030301010803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Garamond" panose="02020404030301010803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Garamond" panose="02020404030301010803" pitchFamily="18" charset="0"/>
                <a:ea typeface="+mn-ea"/>
                <a:cs typeface="+mn-cs"/>
              </a:defRPr>
            </a:pPr>
            <a:r>
              <a:rPr lang="en-US" sz="2400" b="1"/>
              <a:t>Breakdown of Successful Campaigns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Garamond" panose="02020404030301010803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spPr>
            <a:ln>
              <a:solidFill>
                <a:schemeClr val="tx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10C4-F244-A943-34A31244B55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10C4-F244-A943-34A31244B553}"/>
              </c:ext>
            </c:extLst>
          </c:dPt>
          <c:dPt>
            <c:idx val="2"/>
            <c:bubble3D val="0"/>
            <c:spPr>
              <a:solidFill>
                <a:srgbClr val="C00000"/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0C4-F244-A943-34A31244B553}"/>
              </c:ext>
            </c:extLst>
          </c:dPt>
          <c:dPt>
            <c:idx val="3"/>
            <c:bubble3D val="0"/>
            <c:spPr>
              <a:solidFill>
                <a:srgbClr val="9437FF"/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10C4-F244-A943-34A31244B55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10C4-F244-A943-34A31244B55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0C4-F244-A943-34A31244B55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10C4-F244-A943-34A31244B55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0C4-F244-A943-34A31244B553}"/>
              </c:ext>
            </c:extLst>
          </c:dPt>
          <c:dPt>
            <c:idx val="8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0C4-F244-A943-34A31244B55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0C4-F244-A943-34A31244B55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10C4-F244-A943-34A31244B55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10C4-F244-A943-34A31244B553}"/>
              </c:ext>
            </c:extLst>
          </c:dPt>
          <c:dLbls>
            <c:dLbl>
              <c:idx val="0"/>
              <c:layout>
                <c:manualLayout>
                  <c:x val="4.329286490672956E-2"/>
                  <c:y val="7.0511826446156139E-3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Garamond" panose="02020404030301010803" pitchFamily="18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0C4-F244-A943-34A31244B553}"/>
                </c:ext>
              </c:extLst>
            </c:dLbl>
            <c:dLbl>
              <c:idx val="1"/>
              <c:layout>
                <c:manualLayout>
                  <c:x val="2.1263886563441976E-2"/>
                  <c:y val="-0.1247128444253815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Garamond" panose="02020404030301010803" pitchFamily="18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10C4-F244-A943-34A31244B553}"/>
                </c:ext>
              </c:extLst>
            </c:dLbl>
            <c:dLbl>
              <c:idx val="2"/>
              <c:layout>
                <c:manualLayout>
                  <c:x val="-3.3774493244259268E-2"/>
                  <c:y val="9.1236896595996625E-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Garamond" panose="02020404030301010803" pitchFamily="18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0C4-F244-A943-34A31244B553}"/>
                </c:ext>
              </c:extLst>
            </c:dLbl>
            <c:dLbl>
              <c:idx val="3"/>
              <c:layout>
                <c:manualLayout>
                  <c:x val="-8.3693779123602485E-2"/>
                  <c:y val="0.1929438304776532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0C4-F244-A943-34A31244B553}"/>
                </c:ext>
              </c:extLst>
            </c:dLbl>
            <c:dLbl>
              <c:idx val="4"/>
              <c:layout>
                <c:manualLayout>
                  <c:x val="-0.21277841067602682"/>
                  <c:y val="0.2516888127053396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0C4-F244-A943-34A31244B553}"/>
                </c:ext>
              </c:extLst>
            </c:dLbl>
            <c:dLbl>
              <c:idx val="5"/>
              <c:layout>
                <c:manualLayout>
                  <c:x val="-0.17221531362474699"/>
                  <c:y val="0.1669191091249145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0C4-F244-A943-34A31244B553}"/>
                </c:ext>
              </c:extLst>
            </c:dLbl>
            <c:dLbl>
              <c:idx val="6"/>
              <c:layout>
                <c:manualLayout>
                  <c:x val="-0.26624570579115203"/>
                  <c:y val="0.1589276375607256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0C4-F244-A943-34A31244B553}"/>
                </c:ext>
              </c:extLst>
            </c:dLbl>
            <c:dLbl>
              <c:idx val="7"/>
              <c:layout>
                <c:manualLayout>
                  <c:x val="-0.20949757113981068"/>
                  <c:y val="8.594402579703101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0C4-F244-A943-34A31244B553}"/>
                </c:ext>
              </c:extLst>
            </c:dLbl>
            <c:dLbl>
              <c:idx val="8"/>
              <c:layout>
                <c:manualLayout>
                  <c:x val="-0.2656213620274101"/>
                  <c:y val="3.505687555924662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0C4-F244-A943-34A31244B553}"/>
                </c:ext>
              </c:extLst>
            </c:dLbl>
            <c:dLbl>
              <c:idx val="9"/>
              <c:layout>
                <c:manualLayout>
                  <c:x val="-0.19187804113319762"/>
                  <c:y val="-1.259755306158203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0C4-F244-A943-34A31244B553}"/>
                </c:ext>
              </c:extLst>
            </c:dLbl>
            <c:dLbl>
              <c:idx val="10"/>
              <c:layout>
                <c:manualLayout>
                  <c:x val="-0.11549954992349629"/>
                  <c:y val="-6.821020739505853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0C4-F244-A943-34A31244B553}"/>
                </c:ext>
              </c:extLst>
            </c:dLbl>
            <c:dLbl>
              <c:idx val="11"/>
              <c:layout>
                <c:manualLayout>
                  <c:x val="-0.10066982713584567"/>
                  <c:y val="-4.3787192429394668E-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Garamond" panose="02020404030301010803" pitchFamily="18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10C4-F244-A943-34A31244B553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Garamond" panose="02020404030301010803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'Campaign Summary'!$A$2:$A$7</c:f>
              <c:strCache>
                <c:ptCount val="6"/>
                <c:pt idx="0">
                  <c:v>&lt; $5,000</c:v>
                </c:pt>
                <c:pt idx="1">
                  <c:v>$5,000 - $10,000</c:v>
                </c:pt>
                <c:pt idx="2">
                  <c:v>$10,000 - $15,000</c:v>
                </c:pt>
                <c:pt idx="3">
                  <c:v>$15,000 - $35,000</c:v>
                </c:pt>
                <c:pt idx="4">
                  <c:v>$35,000 - $100,000</c:v>
                </c:pt>
                <c:pt idx="5">
                  <c:v>&gt; $100,000</c:v>
                </c:pt>
              </c:strCache>
            </c:strRef>
          </c:cat>
          <c:val>
            <c:numRef>
              <c:f>'Campaign Summary'!$B$2:$B$7</c:f>
              <c:numCache>
                <c:formatCode>General</c:formatCode>
                <c:ptCount val="6"/>
                <c:pt idx="0">
                  <c:v>221</c:v>
                </c:pt>
                <c:pt idx="1">
                  <c:v>164</c:v>
                </c:pt>
                <c:pt idx="2">
                  <c:v>4</c:v>
                </c:pt>
                <c:pt idx="3">
                  <c:v>35</c:v>
                </c:pt>
                <c:pt idx="4">
                  <c:v>97</c:v>
                </c:pt>
                <c:pt idx="5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C4-F244-A943-34A31244B5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2784703326257294"/>
          <c:y val="0.1604158268626043"/>
          <c:w val="0.25680574619359736"/>
          <c:h val="0.7479174864211476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Garamond" panose="02020404030301010803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Garamond" panose="02020404030301010803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Garamond" panose="02020404030301010803" pitchFamily="18" charset="0"/>
                <a:ea typeface="+mn-ea"/>
                <a:cs typeface="+mn-cs"/>
              </a:defRPr>
            </a:pPr>
            <a:r>
              <a:rPr lang="en-US" sz="2400" b="1"/>
              <a:t>Breakdown of All Campaigns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Garamond" panose="02020404030301010803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spPr>
            <a:ln>
              <a:solidFill>
                <a:schemeClr val="tx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DC8-9F40-90B5-AAEE40E1EF9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3DC8-9F40-90B5-AAEE40E1EF9E}"/>
              </c:ext>
            </c:extLst>
          </c:dPt>
          <c:dPt>
            <c:idx val="2"/>
            <c:bubble3D val="0"/>
            <c:spPr>
              <a:solidFill>
                <a:srgbClr val="C00000"/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DC8-9F40-90B5-AAEE40E1EF9E}"/>
              </c:ext>
            </c:extLst>
          </c:dPt>
          <c:dPt>
            <c:idx val="3"/>
            <c:bubble3D val="0"/>
            <c:spPr>
              <a:solidFill>
                <a:srgbClr val="9437FF"/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DC8-9F40-90B5-AAEE40E1EF9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DC8-9F40-90B5-AAEE40E1EF9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3DC8-9F40-90B5-AAEE40E1EF9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3DC8-9F40-90B5-AAEE40E1EF9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DC8-9F40-90B5-AAEE40E1EF9E}"/>
              </c:ext>
            </c:extLst>
          </c:dPt>
          <c:dPt>
            <c:idx val="8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3DC8-9F40-90B5-AAEE40E1EF9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3DC8-9F40-90B5-AAEE40E1EF9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DC8-9F40-90B5-AAEE40E1EF9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3DC8-9F40-90B5-AAEE40E1EF9E}"/>
              </c:ext>
            </c:extLst>
          </c:dPt>
          <c:dLbls>
            <c:dLbl>
              <c:idx val="0"/>
              <c:layout>
                <c:manualLayout>
                  <c:x val="5.7189966884292093E-2"/>
                  <c:y val="6.174019984425607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DC8-9F40-90B5-AAEE40E1EF9E}"/>
                </c:ext>
              </c:extLst>
            </c:dLbl>
            <c:dLbl>
              <c:idx val="1"/>
              <c:layout>
                <c:manualLayout>
                  <c:x val="4.2139112219937908E-2"/>
                  <c:y val="-1.445777181456827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DC8-9F40-90B5-AAEE40E1EF9E}"/>
                </c:ext>
              </c:extLst>
            </c:dLbl>
            <c:dLbl>
              <c:idx val="2"/>
              <c:layout>
                <c:manualLayout>
                  <c:x val="8.0697406025525595E-2"/>
                  <c:y val="4.987429687443643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DC8-9F40-90B5-AAEE40E1EF9E}"/>
                </c:ext>
              </c:extLst>
            </c:dLbl>
            <c:dLbl>
              <c:idx val="3"/>
              <c:layout>
                <c:manualLayout>
                  <c:x val="-9.5215014787293828E-2"/>
                  <c:y val="0.23932856631121266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DC8-9F40-90B5-AAEE40E1EF9E}"/>
                </c:ext>
              </c:extLst>
            </c:dLbl>
            <c:dLbl>
              <c:idx val="4"/>
              <c:layout>
                <c:manualLayout>
                  <c:x val="-0.17745594679089532"/>
                  <c:y val="0.22670274024727116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DC8-9F40-90B5-AAEE40E1EF9E}"/>
                </c:ext>
              </c:extLst>
            </c:dLbl>
            <c:dLbl>
              <c:idx val="5"/>
              <c:layout>
                <c:manualLayout>
                  <c:x val="-0.1173645141474753"/>
                  <c:y val="9.203177907896971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3DC8-9F40-90B5-AAEE40E1EF9E}"/>
                </c:ext>
              </c:extLst>
            </c:dLbl>
            <c:dLbl>
              <c:idx val="6"/>
              <c:layout>
                <c:manualLayout>
                  <c:x val="-0.20665608121785664"/>
                  <c:y val="7.767082806701748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3DC8-9F40-90B5-AAEE40E1EF9E}"/>
                </c:ext>
              </c:extLst>
            </c:dLbl>
            <c:dLbl>
              <c:idx val="7"/>
              <c:layout>
                <c:manualLayout>
                  <c:x val="-0.13427024652999198"/>
                  <c:y val="1.302709692986261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3DC8-9F40-90B5-AAEE40E1EF9E}"/>
                </c:ext>
              </c:extLst>
            </c:dLbl>
            <c:dLbl>
              <c:idx val="8"/>
              <c:layout>
                <c:manualLayout>
                  <c:x val="-0.19740892360115087"/>
                  <c:y val="-4.326644101372910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DC8-9F40-90B5-AAEE40E1EF9E}"/>
                </c:ext>
              </c:extLst>
            </c:dLbl>
            <c:dLbl>
              <c:idx val="9"/>
              <c:layout>
                <c:manualLayout>
                  <c:x val="-0.1213017411747311"/>
                  <c:y val="-0.1040294719900478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3DC8-9F40-90B5-AAEE40E1EF9E}"/>
                </c:ext>
              </c:extLst>
            </c:dLbl>
            <c:dLbl>
              <c:idx val="10"/>
              <c:layout>
                <c:manualLayout>
                  <c:x val="-0.18284133670618294"/>
                  <c:y val="-0.1949774263282207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DC8-9F40-90B5-AAEE40E1EF9E}"/>
                </c:ext>
              </c:extLst>
            </c:dLbl>
            <c:dLbl>
              <c:idx val="11"/>
              <c:layout>
                <c:manualLayout>
                  <c:x val="-2.2608434231018618E-2"/>
                  <c:y val="-2.05552968082137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DC8-9F40-90B5-AAEE40E1EF9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Garamond" panose="02020404030301010803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'Campaign Summary'!$A$2:$A$7</c:f>
              <c:strCache>
                <c:ptCount val="6"/>
                <c:pt idx="0">
                  <c:v>&lt; $5,000</c:v>
                </c:pt>
                <c:pt idx="1">
                  <c:v>$5,000 - $10,000</c:v>
                </c:pt>
                <c:pt idx="2">
                  <c:v>$10,000 - $15,000</c:v>
                </c:pt>
                <c:pt idx="3">
                  <c:v>$15,000 - $35,000</c:v>
                </c:pt>
                <c:pt idx="4">
                  <c:v>$35,000 - $100,000</c:v>
                </c:pt>
                <c:pt idx="5">
                  <c:v>&gt; $100,000</c:v>
                </c:pt>
              </c:strCache>
            </c:strRef>
          </c:cat>
          <c:val>
            <c:numRef>
              <c:f>'Campaign Summary'!$F$2:$F$7</c:f>
              <c:numCache>
                <c:formatCode>General</c:formatCode>
                <c:ptCount val="6"/>
                <c:pt idx="0">
                  <c:v>285</c:v>
                </c:pt>
                <c:pt idx="1">
                  <c:v>317</c:v>
                </c:pt>
                <c:pt idx="2">
                  <c:v>9</c:v>
                </c:pt>
                <c:pt idx="3">
                  <c:v>38</c:v>
                </c:pt>
                <c:pt idx="4">
                  <c:v>159</c:v>
                </c:pt>
                <c:pt idx="5">
                  <c:v>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C8-9F40-90B5-AAEE40E1EF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5353256272228375"/>
          <c:y val="0.10468798458210678"/>
          <c:w val="0.23599040201119881"/>
          <c:h val="0.8148174294055049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Garamond" panose="02020404030301010803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Garamond" panose="02020404030301010803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[crowd_funding_analysis.xlsx]StdDev Goal-Pledge vs. Outcomes!OutcomeByStdDevPivotTable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Garamond" panose="02020404030301010803" pitchFamily="18" charset="0"/>
                <a:ea typeface="+mn-ea"/>
                <a:cs typeface="+mn-cs"/>
              </a:defRPr>
            </a:pPr>
            <a:r>
              <a:rPr lang="en-US" sz="2400" b="1"/>
              <a:t>Goal/Pledge</a:t>
            </a:r>
            <a:r>
              <a:rPr lang="en-US" sz="2400" b="1" baseline="0"/>
              <a:t> (Std. Dev.)</a:t>
            </a:r>
            <a:r>
              <a:rPr lang="en-US" sz="2400" b="1"/>
              <a:t> vs. Outcomes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Garamond" panose="02020404030301010803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00B050"/>
          </a:solidFill>
          <a:ln w="12700"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Garamond" panose="02020404030301010803" pitchFamily="18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0070C0"/>
          </a:solidFill>
          <a:ln w="12700"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Garamond" panose="02020404030301010803" pitchFamily="18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00B050"/>
          </a:solidFill>
          <a:ln w="12700">
            <a:solidFill>
              <a:schemeClr val="tx1"/>
            </a:solidFill>
          </a:ln>
          <a:effectLst/>
        </c:spPr>
      </c:pivotFmt>
      <c:pivotFmt>
        <c:idx val="11"/>
        <c:spPr>
          <a:solidFill>
            <a:srgbClr val="00B050"/>
          </a:solidFill>
          <a:ln w="12700">
            <a:solidFill>
              <a:schemeClr val="tx1"/>
            </a:solidFill>
          </a:ln>
          <a:effectLst/>
        </c:spPr>
      </c:pivotFmt>
      <c:pivotFmt>
        <c:idx val="12"/>
        <c:spPr>
          <a:solidFill>
            <a:srgbClr val="00B050"/>
          </a:solidFill>
          <a:ln w="12700">
            <a:solidFill>
              <a:schemeClr val="tx1"/>
            </a:solidFill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'StdDev Goal-Pledge vs. Outcomes'!$B$4</c:f>
              <c:strCache>
                <c:ptCount val="1"/>
                <c:pt idx="0">
                  <c:v>StdDev of goal</c:v>
                </c:pt>
              </c:strCache>
            </c:strRef>
          </c:tx>
          <c:spPr>
            <a:solidFill>
              <a:srgbClr val="00B050"/>
            </a:solidFill>
            <a:ln w="12700">
              <a:solidFill>
                <a:schemeClr val="tx1"/>
              </a:solidFill>
            </a:ln>
            <a:effectLst/>
          </c:spPr>
          <c:invertIfNegative val="0"/>
          <c:cat>
            <c:strRef>
              <c:f>'StdDev Goal-Pledge vs. Outcomes'!$A$5:$A$9</c:f>
              <c:strCache>
                <c:ptCount val="4"/>
                <c:pt idx="0">
                  <c:v>canceled</c:v>
                </c:pt>
                <c:pt idx="1">
                  <c:v>failed</c:v>
                </c:pt>
                <c:pt idx="2">
                  <c:v>live</c:v>
                </c:pt>
                <c:pt idx="3">
                  <c:v>successful</c:v>
                </c:pt>
              </c:strCache>
            </c:strRef>
          </c:cat>
          <c:val>
            <c:numRef>
              <c:f>'StdDev Goal-Pledge vs. Outcomes'!$B$5:$B$9</c:f>
              <c:numCache>
                <c:formatCode>#,##0.00</c:formatCode>
                <c:ptCount val="4"/>
                <c:pt idx="0">
                  <c:v>70557.059243016614</c:v>
                </c:pt>
                <c:pt idx="1">
                  <c:v>69884.438364358139</c:v>
                </c:pt>
                <c:pt idx="2">
                  <c:v>76831.207887775046</c:v>
                </c:pt>
                <c:pt idx="3">
                  <c:v>40734.339201666786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EF-0440-81E3-5ECE3E9D91DA}"/>
            </c:ext>
          </c:extLst>
        </c:ser>
        <c:ser>
          <c:idx val="1"/>
          <c:order val="1"/>
          <c:tx>
            <c:strRef>
              <c:f>'StdDev Goal-Pledge vs. Outcomes'!$C$4</c:f>
              <c:strCache>
                <c:ptCount val="1"/>
                <c:pt idx="0">
                  <c:v>StdDev of pledged</c:v>
                </c:pt>
              </c:strCache>
            </c:strRef>
          </c:tx>
          <c:spPr>
            <a:solidFill>
              <a:srgbClr val="0070C0"/>
            </a:solidFill>
            <a:ln w="12700">
              <a:solidFill>
                <a:schemeClr val="tx1"/>
              </a:solidFill>
            </a:ln>
            <a:effectLst/>
          </c:spPr>
          <c:invertIfNegative val="0"/>
          <c:cat>
            <c:strRef>
              <c:f>'StdDev Goal-Pledge vs. Outcomes'!$A$5:$A$9</c:f>
              <c:strCache>
                <c:ptCount val="4"/>
                <c:pt idx="0">
                  <c:v>canceled</c:v>
                </c:pt>
                <c:pt idx="1">
                  <c:v>failed</c:v>
                </c:pt>
                <c:pt idx="2">
                  <c:v>live</c:v>
                </c:pt>
                <c:pt idx="3">
                  <c:v>successful</c:v>
                </c:pt>
              </c:strCache>
            </c:strRef>
          </c:cat>
          <c:val>
            <c:numRef>
              <c:f>'StdDev Goal-Pledge vs. Outcomes'!$C$5:$C$9</c:f>
              <c:numCache>
                <c:formatCode>#,##0.00</c:formatCode>
                <c:ptCount val="4"/>
                <c:pt idx="0">
                  <c:v>35632.42106708623</c:v>
                </c:pt>
                <c:pt idx="1">
                  <c:v>45774.532020066261</c:v>
                </c:pt>
                <c:pt idx="2">
                  <c:v>52169.659492050392</c:v>
                </c:pt>
                <c:pt idx="3">
                  <c:v>64552.370461597573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EF-0440-81E3-5ECE3E9D91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9364351"/>
        <c:axId val="519634399"/>
      </c:barChart>
      <c:catAx>
        <c:axId val="5193643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Garamond" panose="02020404030301010803" pitchFamily="18" charset="0"/>
                    <a:ea typeface="+mn-ea"/>
                    <a:cs typeface="+mn-cs"/>
                  </a:defRPr>
                </a:pPr>
                <a:r>
                  <a:rPr lang="en-US" sz="1600" b="1"/>
                  <a:t>Outcome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Garamond" panose="02020404030301010803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aramond" panose="02020404030301010803" pitchFamily="18" charset="0"/>
                <a:ea typeface="+mn-ea"/>
                <a:cs typeface="+mn-cs"/>
              </a:defRPr>
            </a:pPr>
            <a:endParaRPr lang="en-US"/>
          </a:p>
        </c:txPr>
        <c:crossAx val="519634399"/>
        <c:crosses val="autoZero"/>
        <c:auto val="1"/>
        <c:lblAlgn val="ctr"/>
        <c:lblOffset val="100"/>
        <c:noMultiLvlLbl val="0"/>
      </c:catAx>
      <c:valAx>
        <c:axId val="519634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Garamond" panose="02020404030301010803" pitchFamily="18" charset="0"/>
                    <a:ea typeface="+mn-ea"/>
                    <a:cs typeface="+mn-cs"/>
                  </a:defRPr>
                </a:pPr>
                <a:r>
                  <a:rPr lang="en-US" sz="1600" b="1"/>
                  <a:t>Std. Dev.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Garamond" panose="02020404030301010803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aramond" panose="02020404030301010803" pitchFamily="18" charset="0"/>
                <a:ea typeface="+mn-ea"/>
                <a:cs typeface="+mn-cs"/>
              </a:defRPr>
            </a:pPr>
            <a:endParaRPr lang="en-US"/>
          </a:p>
        </c:txPr>
        <c:crossAx val="519364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Garamond" panose="02020404030301010803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Garamond" panose="02020404030301010803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[crowd_funding_analysis.xlsx]Duration vs. Outcomes!DurationOutcomesPivotTable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Garamond" panose="02020404030301010803" pitchFamily="18" charset="0"/>
                <a:ea typeface="+mn-ea"/>
                <a:cs typeface="+mn-cs"/>
              </a:defRPr>
            </a:pPr>
            <a:r>
              <a:rPr lang="en-US" sz="2400" b="1"/>
              <a:t>Campaign Duration vs. Outcomes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Garamond" panose="02020404030301010803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2700"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Garamond" panose="02020404030301010803" pitchFamily="18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2700"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Garamond" panose="02020404030301010803" pitchFamily="18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B050"/>
          </a:solidFill>
          <a:ln w="12700"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Garamond" panose="02020404030301010803" pitchFamily="18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'Duration vs. Outcomes'!$B$4:$B$5</c:f>
              <c:strCache>
                <c:ptCount val="1"/>
                <c:pt idx="0">
                  <c:v>canceled</c:v>
                </c:pt>
              </c:strCache>
            </c:strRef>
          </c:tx>
          <c:spPr>
            <a:solidFill>
              <a:schemeClr val="accent1"/>
            </a:solidFill>
            <a:ln w="12700">
              <a:solidFill>
                <a:schemeClr val="tx1"/>
              </a:solidFill>
            </a:ln>
            <a:effectLst/>
          </c:spPr>
          <c:invertIfNegative val="0"/>
          <c:cat>
            <c:strRef>
              <c:f>'Duration vs. Outcomes'!$A$6:$A$12</c:f>
              <c:strCache>
                <c:ptCount val="6"/>
                <c:pt idx="0">
                  <c:v>0-9</c:v>
                </c:pt>
                <c:pt idx="1">
                  <c:v>10-19</c:v>
                </c:pt>
                <c:pt idx="2">
                  <c:v>20-29</c:v>
                </c:pt>
                <c:pt idx="3">
                  <c:v>30-39</c:v>
                </c:pt>
                <c:pt idx="4">
                  <c:v>40-49</c:v>
                </c:pt>
                <c:pt idx="5">
                  <c:v>50-59</c:v>
                </c:pt>
              </c:strCache>
            </c:strRef>
          </c:cat>
          <c:val>
            <c:numRef>
              <c:f>'Duration vs. Outcomes'!$B$6:$B$12</c:f>
              <c:numCache>
                <c:formatCode>General</c:formatCode>
                <c:ptCount val="6"/>
                <c:pt idx="0">
                  <c:v>24</c:v>
                </c:pt>
                <c:pt idx="1">
                  <c:v>16</c:v>
                </c:pt>
                <c:pt idx="2">
                  <c:v>12</c:v>
                </c:pt>
                <c:pt idx="3">
                  <c:v>2</c:v>
                </c:pt>
                <c:pt idx="4">
                  <c:v>1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58-8C46-9080-50DC0247C4BA}"/>
            </c:ext>
          </c:extLst>
        </c:ser>
        <c:ser>
          <c:idx val="1"/>
          <c:order val="1"/>
          <c:tx>
            <c:strRef>
              <c:f>'Duration vs. Outcomes'!$C$4:$C$5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chemeClr val="accent2"/>
            </a:solidFill>
            <a:ln w="12700">
              <a:solidFill>
                <a:schemeClr val="tx1"/>
              </a:solidFill>
            </a:ln>
            <a:effectLst/>
          </c:spPr>
          <c:invertIfNegative val="0"/>
          <c:cat>
            <c:strRef>
              <c:f>'Duration vs. Outcomes'!$A$6:$A$12</c:f>
              <c:strCache>
                <c:ptCount val="6"/>
                <c:pt idx="0">
                  <c:v>0-9</c:v>
                </c:pt>
                <c:pt idx="1">
                  <c:v>10-19</c:v>
                </c:pt>
                <c:pt idx="2">
                  <c:v>20-29</c:v>
                </c:pt>
                <c:pt idx="3">
                  <c:v>30-39</c:v>
                </c:pt>
                <c:pt idx="4">
                  <c:v>40-49</c:v>
                </c:pt>
                <c:pt idx="5">
                  <c:v>50-59</c:v>
                </c:pt>
              </c:strCache>
            </c:strRef>
          </c:cat>
          <c:val>
            <c:numRef>
              <c:f>'Duration vs. Outcomes'!$C$6:$C$12</c:f>
              <c:numCache>
                <c:formatCode>General</c:formatCode>
                <c:ptCount val="6"/>
                <c:pt idx="0">
                  <c:v>163</c:v>
                </c:pt>
                <c:pt idx="1">
                  <c:v>86</c:v>
                </c:pt>
                <c:pt idx="2">
                  <c:v>58</c:v>
                </c:pt>
                <c:pt idx="3">
                  <c:v>27</c:v>
                </c:pt>
                <c:pt idx="4">
                  <c:v>18</c:v>
                </c:pt>
                <c:pt idx="5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58-8C46-9080-50DC0247C4BA}"/>
            </c:ext>
          </c:extLst>
        </c:ser>
        <c:ser>
          <c:idx val="2"/>
          <c:order val="2"/>
          <c:tx>
            <c:strRef>
              <c:f>'Duration vs. Outcomes'!$D$4:$D$5</c:f>
              <c:strCache>
                <c:ptCount val="1"/>
                <c:pt idx="0">
                  <c:v>successful</c:v>
                </c:pt>
              </c:strCache>
            </c:strRef>
          </c:tx>
          <c:spPr>
            <a:solidFill>
              <a:srgbClr val="00B050"/>
            </a:solidFill>
            <a:ln w="12700">
              <a:solidFill>
                <a:schemeClr val="tx1"/>
              </a:solidFill>
            </a:ln>
            <a:effectLst/>
          </c:spPr>
          <c:invertIfNegative val="0"/>
          <c:cat>
            <c:strRef>
              <c:f>'Duration vs. Outcomes'!$A$6:$A$12</c:f>
              <c:strCache>
                <c:ptCount val="6"/>
                <c:pt idx="0">
                  <c:v>0-9</c:v>
                </c:pt>
                <c:pt idx="1">
                  <c:v>10-19</c:v>
                </c:pt>
                <c:pt idx="2">
                  <c:v>20-29</c:v>
                </c:pt>
                <c:pt idx="3">
                  <c:v>30-39</c:v>
                </c:pt>
                <c:pt idx="4">
                  <c:v>40-49</c:v>
                </c:pt>
                <c:pt idx="5">
                  <c:v>50-59</c:v>
                </c:pt>
              </c:strCache>
            </c:strRef>
          </c:cat>
          <c:val>
            <c:numRef>
              <c:f>'Duration vs. Outcomes'!$D$6:$D$12</c:f>
              <c:numCache>
                <c:formatCode>General</c:formatCode>
                <c:ptCount val="6"/>
                <c:pt idx="0">
                  <c:v>250</c:v>
                </c:pt>
                <c:pt idx="1">
                  <c:v>143</c:v>
                </c:pt>
                <c:pt idx="2">
                  <c:v>85</c:v>
                </c:pt>
                <c:pt idx="3">
                  <c:v>47</c:v>
                </c:pt>
                <c:pt idx="4">
                  <c:v>32</c:v>
                </c:pt>
                <c:pt idx="5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58-8C46-9080-50DC0247C4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188374880"/>
        <c:axId val="1188336128"/>
      </c:barChart>
      <c:catAx>
        <c:axId val="11883748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Garamond" panose="02020404030301010803" pitchFamily="18" charset="0"/>
                    <a:ea typeface="+mn-ea"/>
                    <a:cs typeface="+mn-cs"/>
                  </a:defRPr>
                </a:pPr>
                <a:r>
                  <a:rPr lang="en-US" sz="1600" b="1"/>
                  <a:t>Duration (days)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Garamond" panose="02020404030301010803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aramond" panose="02020404030301010803" pitchFamily="18" charset="0"/>
                <a:ea typeface="+mn-ea"/>
                <a:cs typeface="+mn-cs"/>
              </a:defRPr>
            </a:pPr>
            <a:endParaRPr lang="en-US"/>
          </a:p>
        </c:txPr>
        <c:crossAx val="1188336128"/>
        <c:crosses val="autoZero"/>
        <c:auto val="1"/>
        <c:lblAlgn val="ctr"/>
        <c:lblOffset val="100"/>
        <c:noMultiLvlLbl val="0"/>
      </c:catAx>
      <c:valAx>
        <c:axId val="1188336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Garamond" panose="02020404030301010803" pitchFamily="18" charset="0"/>
                    <a:ea typeface="+mn-ea"/>
                    <a:cs typeface="+mn-cs"/>
                  </a:defRPr>
                </a:pPr>
                <a:r>
                  <a:rPr lang="en-US" sz="1600" b="1"/>
                  <a:t>Outcome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Garamond" panose="02020404030301010803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aramond" panose="02020404030301010803" pitchFamily="18" charset="0"/>
                <a:ea typeface="+mn-ea"/>
                <a:cs typeface="+mn-cs"/>
              </a:defRPr>
            </a:pPr>
            <a:endParaRPr lang="en-US"/>
          </a:p>
        </c:txPr>
        <c:crossAx val="1188374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Garamond" panose="02020404030301010803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Garamond" panose="02020404030301010803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Garamond" panose="02020404030301010803" pitchFamily="18" charset="0"/>
                <a:ea typeface="+mn-ea"/>
                <a:cs typeface="+mn-cs"/>
              </a:defRPr>
            </a:pPr>
            <a:r>
              <a:rPr lang="en-US" sz="2400" b="1"/>
              <a:t>Outcomes (%) vs. Campaign Duration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Garamond" panose="02020404030301010803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38100" cap="rnd">
            <a:solidFill>
              <a:srgbClr val="FFC000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1"/>
            </a:solidFill>
            <a:ln w="12700">
              <a:solidFill>
                <a:schemeClr val="tx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Garamond" panose="02020404030301010803" pitchFamily="18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38100" cap="rnd">
            <a:solidFill>
              <a:srgbClr val="C00000"/>
            </a:solidFill>
            <a:round/>
          </a:ln>
          <a:effectLst/>
        </c:spPr>
        <c:marker>
          <c:symbol val="circle"/>
          <c:size val="8"/>
          <c:spPr>
            <a:solidFill>
              <a:srgbClr val="00B050"/>
            </a:solidFill>
            <a:ln w="12700">
              <a:solidFill>
                <a:schemeClr val="tx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Garamond" panose="02020404030301010803" pitchFamily="18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38100" cap="rnd">
            <a:solidFill>
              <a:srgbClr val="00B050"/>
            </a:solidFill>
            <a:round/>
          </a:ln>
          <a:effectLst/>
        </c:spPr>
        <c:marker>
          <c:symbol val="circle"/>
          <c:size val="8"/>
          <c:spPr>
            <a:solidFill>
              <a:srgbClr val="C00000"/>
            </a:solidFill>
            <a:ln w="12700">
              <a:solidFill>
                <a:schemeClr val="tx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Garamond" panose="02020404030301010803" pitchFamily="18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38100" cap="rnd">
            <a:solidFill>
              <a:srgbClr val="C00000"/>
            </a:solidFill>
            <a:round/>
          </a:ln>
          <a:effectLst/>
        </c:spPr>
        <c:marker>
          <c:symbol val="circle"/>
          <c:size val="8"/>
          <c:spPr>
            <a:solidFill>
              <a:srgbClr val="00B050"/>
            </a:solidFill>
            <a:ln w="12700">
              <a:solidFill>
                <a:schemeClr val="tx1"/>
              </a:solidFill>
            </a:ln>
            <a:effectLst/>
          </c:spPr>
        </c:marker>
      </c:pivotFmt>
      <c:pivotFmt>
        <c:idx val="4"/>
        <c:spPr>
          <a:solidFill>
            <a:schemeClr val="accent1"/>
          </a:solidFill>
          <a:ln w="38100" cap="rnd">
            <a:solidFill>
              <a:srgbClr val="FFC000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1"/>
            </a:solidFill>
            <a:ln w="12700">
              <a:solidFill>
                <a:schemeClr val="tx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Garamond" panose="02020404030301010803" pitchFamily="18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38100" cap="rnd">
            <a:solidFill>
              <a:srgbClr val="C00000"/>
            </a:solidFill>
            <a:round/>
          </a:ln>
          <a:effectLst/>
        </c:spPr>
        <c:marker>
          <c:symbol val="circle"/>
          <c:size val="8"/>
          <c:spPr>
            <a:solidFill>
              <a:srgbClr val="00B050"/>
            </a:solidFill>
            <a:ln w="12700">
              <a:solidFill>
                <a:schemeClr val="tx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Garamond" panose="02020404030301010803" pitchFamily="18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38100" cap="rnd">
            <a:solidFill>
              <a:srgbClr val="00B050"/>
            </a:solidFill>
            <a:round/>
          </a:ln>
          <a:effectLst/>
        </c:spPr>
        <c:marker>
          <c:symbol val="circle"/>
          <c:size val="8"/>
          <c:spPr>
            <a:solidFill>
              <a:srgbClr val="C00000"/>
            </a:solidFill>
            <a:ln w="12700">
              <a:solidFill>
                <a:schemeClr val="tx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Garamond" panose="02020404030301010803" pitchFamily="18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38100" cap="rnd">
            <a:solidFill>
              <a:srgbClr val="FFC000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1"/>
            </a:solidFill>
            <a:ln w="12700">
              <a:solidFill>
                <a:schemeClr val="tx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Garamond" panose="02020404030301010803" pitchFamily="18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38100" cap="rnd">
            <a:solidFill>
              <a:srgbClr val="C00000"/>
            </a:solidFill>
            <a:round/>
          </a:ln>
          <a:effectLst/>
        </c:spPr>
        <c:marker>
          <c:symbol val="circle"/>
          <c:size val="8"/>
          <c:spPr>
            <a:solidFill>
              <a:srgbClr val="00B050"/>
            </a:solidFill>
            <a:ln w="12700">
              <a:solidFill>
                <a:schemeClr val="tx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Garamond" panose="02020404030301010803" pitchFamily="18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38100" cap="rnd">
            <a:solidFill>
              <a:srgbClr val="00B050"/>
            </a:solidFill>
            <a:round/>
          </a:ln>
          <a:effectLst/>
        </c:spPr>
        <c:marker>
          <c:symbol val="circle"/>
          <c:size val="8"/>
          <c:spPr>
            <a:solidFill>
              <a:srgbClr val="C00000"/>
            </a:solidFill>
            <a:ln w="12700">
              <a:solidFill>
                <a:schemeClr val="tx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Garamond" panose="02020404030301010803" pitchFamily="18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canceled</c:v>
          </c:tx>
          <c:spPr>
            <a:ln w="3810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Lit>
              <c:ptCount val="6"/>
              <c:pt idx="0">
                <c:v>0-9</c:v>
              </c:pt>
              <c:pt idx="1">
                <c:v>10-19</c:v>
              </c:pt>
              <c:pt idx="2">
                <c:v>20-29</c:v>
              </c:pt>
              <c:pt idx="3">
                <c:v>30-39</c:v>
              </c:pt>
              <c:pt idx="4">
                <c:v>40-49</c:v>
              </c:pt>
              <c:pt idx="5">
                <c:v>50-59</c:v>
              </c:pt>
            </c:strLit>
          </c:cat>
          <c:val>
            <c:numLit>
              <c:formatCode>General</c:formatCode>
              <c:ptCount val="6"/>
              <c:pt idx="0">
                <c:v>5.4919908466819219E-2</c:v>
              </c:pt>
              <c:pt idx="1">
                <c:v>6.5306122448979598E-2</c:v>
              </c:pt>
              <c:pt idx="2">
                <c:v>7.7419354838709681E-2</c:v>
              </c:pt>
              <c:pt idx="3">
                <c:v>2.6315789473684209E-2</c:v>
              </c:pt>
              <c:pt idx="4">
                <c:v>1.9607843137254902E-2</c:v>
              </c:pt>
              <c:pt idx="5">
                <c:v>9.0909090909090912E-2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39A3-0E40-903D-1C6FE77AF51E}"/>
            </c:ext>
          </c:extLst>
        </c:ser>
        <c:ser>
          <c:idx val="1"/>
          <c:order val="1"/>
          <c:tx>
            <c:v>failed</c:v>
          </c:tx>
          <c:spPr>
            <a:ln w="38100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00B050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Lit>
              <c:ptCount val="6"/>
              <c:pt idx="0">
                <c:v>0-9</c:v>
              </c:pt>
              <c:pt idx="1">
                <c:v>10-19</c:v>
              </c:pt>
              <c:pt idx="2">
                <c:v>20-29</c:v>
              </c:pt>
              <c:pt idx="3">
                <c:v>30-39</c:v>
              </c:pt>
              <c:pt idx="4">
                <c:v>40-49</c:v>
              </c:pt>
              <c:pt idx="5">
                <c:v>50-59</c:v>
              </c:pt>
            </c:strLit>
          </c:cat>
          <c:val>
            <c:numLit>
              <c:formatCode>General</c:formatCode>
              <c:ptCount val="6"/>
              <c:pt idx="0">
                <c:v>0.37299771167048057</c:v>
              </c:pt>
              <c:pt idx="1">
                <c:v>0.3510204081632653</c:v>
              </c:pt>
              <c:pt idx="2">
                <c:v>0.37419354838709679</c:v>
              </c:pt>
              <c:pt idx="3">
                <c:v>0.35526315789473684</c:v>
              </c:pt>
              <c:pt idx="4">
                <c:v>0.35294117647058826</c:v>
              </c:pt>
              <c:pt idx="5">
                <c:v>0.54545454545454541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39A3-0E40-903D-1C6FE77AF51E}"/>
            </c:ext>
          </c:extLst>
        </c:ser>
        <c:ser>
          <c:idx val="2"/>
          <c:order val="2"/>
          <c:tx>
            <c:v>successful</c:v>
          </c:tx>
          <c:spPr>
            <a:ln w="3810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C00000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Lit>
              <c:ptCount val="6"/>
              <c:pt idx="0">
                <c:v>0-9</c:v>
              </c:pt>
              <c:pt idx="1">
                <c:v>10-19</c:v>
              </c:pt>
              <c:pt idx="2">
                <c:v>20-29</c:v>
              </c:pt>
              <c:pt idx="3">
                <c:v>30-39</c:v>
              </c:pt>
              <c:pt idx="4">
                <c:v>40-49</c:v>
              </c:pt>
              <c:pt idx="5">
                <c:v>50-59</c:v>
              </c:pt>
            </c:strLit>
          </c:cat>
          <c:val>
            <c:numLit>
              <c:formatCode>General</c:formatCode>
              <c:ptCount val="6"/>
              <c:pt idx="0">
                <c:v>0.57208237986270027</c:v>
              </c:pt>
              <c:pt idx="1">
                <c:v>0.58367346938775511</c:v>
              </c:pt>
              <c:pt idx="2">
                <c:v>0.54838709677419351</c:v>
              </c:pt>
              <c:pt idx="3">
                <c:v>0.61842105263157898</c:v>
              </c:pt>
              <c:pt idx="4">
                <c:v>0.62745098039215685</c:v>
              </c:pt>
              <c:pt idx="5">
                <c:v>0.36363636363636365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39A3-0E40-903D-1C6FE77AF5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5249744"/>
        <c:axId val="794677488"/>
      </c:lineChart>
      <c:catAx>
        <c:axId val="14952497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Garamond" panose="02020404030301010803" pitchFamily="18" charset="0"/>
                    <a:ea typeface="+mn-ea"/>
                    <a:cs typeface="+mn-cs"/>
                  </a:defRPr>
                </a:pPr>
                <a:r>
                  <a:rPr lang="en-US" sz="1600" b="1"/>
                  <a:t>Duration (days)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Garamond" panose="02020404030301010803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aramond" panose="02020404030301010803" pitchFamily="18" charset="0"/>
                <a:ea typeface="+mn-ea"/>
                <a:cs typeface="+mn-cs"/>
              </a:defRPr>
            </a:pPr>
            <a:endParaRPr lang="en-US"/>
          </a:p>
        </c:txPr>
        <c:crossAx val="794677488"/>
        <c:crosses val="autoZero"/>
        <c:auto val="1"/>
        <c:lblAlgn val="ctr"/>
        <c:lblOffset val="100"/>
        <c:noMultiLvlLbl val="0"/>
      </c:catAx>
      <c:valAx>
        <c:axId val="794677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Garamond" panose="02020404030301010803" pitchFamily="18" charset="0"/>
                    <a:ea typeface="+mn-ea"/>
                    <a:cs typeface="+mn-cs"/>
                  </a:defRPr>
                </a:pPr>
                <a:r>
                  <a:rPr lang="en-US" sz="1600" b="1"/>
                  <a:t>Outcome</a:t>
                </a:r>
              </a:p>
              <a:p>
                <a:pPr>
                  <a:defRPr sz="1600" b="1"/>
                </a:pPr>
                <a:endParaRPr lang="en-US" sz="16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Garamond" panose="02020404030301010803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aramond" panose="02020404030301010803" pitchFamily="18" charset="0"/>
                <a:ea typeface="+mn-ea"/>
                <a:cs typeface="+mn-cs"/>
              </a:defRPr>
            </a:pPr>
            <a:endParaRPr lang="en-US"/>
          </a:p>
        </c:txPr>
        <c:crossAx val="1495249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Garamond" panose="02020404030301010803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Garamond" panose="02020404030301010803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[crowd_funding_analysis.xlsx]Countries vs. Outcomes!OutcomesCountriesPivotTable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Garamond" panose="02020404030301010803" pitchFamily="18" charset="0"/>
                <a:ea typeface="+mn-ea"/>
                <a:cs typeface="+mn-cs"/>
              </a:defRPr>
            </a:pPr>
            <a:r>
              <a:rPr lang="en-US" sz="2400" b="1"/>
              <a:t>Countries vs. Outcomes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Garamond" panose="02020404030301010803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Garamond" panose="02020404030301010803" pitchFamily="18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Garamond" panose="02020404030301010803" pitchFamily="18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70C0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Garamond" panose="02020404030301010803" pitchFamily="18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Garamond" panose="02020404030301010803" pitchFamily="18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'Countries vs. Outcomes'!$B$3:$B$4</c:f>
              <c:strCache>
                <c:ptCount val="1"/>
                <c:pt idx="0">
                  <c:v>canceled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'Countries vs. Outcomes'!$A$5:$A$12</c:f>
              <c:strCache>
                <c:ptCount val="7"/>
                <c:pt idx="0">
                  <c:v>AU</c:v>
                </c:pt>
                <c:pt idx="1">
                  <c:v>CA</c:v>
                </c:pt>
                <c:pt idx="2">
                  <c:v>CH</c:v>
                </c:pt>
                <c:pt idx="3">
                  <c:v>DK</c:v>
                </c:pt>
                <c:pt idx="4">
                  <c:v>GB</c:v>
                </c:pt>
                <c:pt idx="5">
                  <c:v>IT</c:v>
                </c:pt>
                <c:pt idx="6">
                  <c:v>US</c:v>
                </c:pt>
              </c:strCache>
            </c:strRef>
          </c:cat>
          <c:val>
            <c:numRef>
              <c:f>'Countries vs. Outcomes'!$B$5:$B$12</c:f>
              <c:numCache>
                <c:formatCode>General</c:formatCode>
                <c:ptCount val="7"/>
                <c:pt idx="0">
                  <c:v>2</c:v>
                </c:pt>
                <c:pt idx="1">
                  <c:v>2</c:v>
                </c:pt>
                <c:pt idx="2">
                  <c:v>4</c:v>
                </c:pt>
                <c:pt idx="3">
                  <c:v>1</c:v>
                </c:pt>
                <c:pt idx="4">
                  <c:v>1</c:v>
                </c:pt>
                <c:pt idx="5">
                  <c:v>3</c:v>
                </c:pt>
                <c:pt idx="6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47-084A-9406-4218E9EC7EE2}"/>
            </c:ext>
          </c:extLst>
        </c:ser>
        <c:ser>
          <c:idx val="1"/>
          <c:order val="1"/>
          <c:tx>
            <c:strRef>
              <c:f>'Countries vs. Outcomes'!$C$3:$C$4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'Countries vs. Outcomes'!$A$5:$A$12</c:f>
              <c:strCache>
                <c:ptCount val="7"/>
                <c:pt idx="0">
                  <c:v>AU</c:v>
                </c:pt>
                <c:pt idx="1">
                  <c:v>CA</c:v>
                </c:pt>
                <c:pt idx="2">
                  <c:v>CH</c:v>
                </c:pt>
                <c:pt idx="3">
                  <c:v>DK</c:v>
                </c:pt>
                <c:pt idx="4">
                  <c:v>GB</c:v>
                </c:pt>
                <c:pt idx="5">
                  <c:v>IT</c:v>
                </c:pt>
                <c:pt idx="6">
                  <c:v>US</c:v>
                </c:pt>
              </c:strCache>
            </c:strRef>
          </c:cat>
          <c:val>
            <c:numRef>
              <c:f>'Countries vs. Outcomes'!$C$5:$C$12</c:f>
              <c:numCache>
                <c:formatCode>General</c:formatCode>
                <c:ptCount val="7"/>
                <c:pt idx="0">
                  <c:v>16</c:v>
                </c:pt>
                <c:pt idx="1">
                  <c:v>19</c:v>
                </c:pt>
                <c:pt idx="2">
                  <c:v>6</c:v>
                </c:pt>
                <c:pt idx="3">
                  <c:v>12</c:v>
                </c:pt>
                <c:pt idx="4">
                  <c:v>18</c:v>
                </c:pt>
                <c:pt idx="5">
                  <c:v>19</c:v>
                </c:pt>
                <c:pt idx="6">
                  <c:v>274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47-084A-9406-4218E9EC7EE2}"/>
            </c:ext>
          </c:extLst>
        </c:ser>
        <c:ser>
          <c:idx val="2"/>
          <c:order val="2"/>
          <c:tx>
            <c:strRef>
              <c:f>'Countries vs. Outcomes'!$D$3:$D$4</c:f>
              <c:strCache>
                <c:ptCount val="1"/>
                <c:pt idx="0">
                  <c:v>successful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'Countries vs. Outcomes'!$A$5:$A$12</c:f>
              <c:strCache>
                <c:ptCount val="7"/>
                <c:pt idx="0">
                  <c:v>AU</c:v>
                </c:pt>
                <c:pt idx="1">
                  <c:v>CA</c:v>
                </c:pt>
                <c:pt idx="2">
                  <c:v>CH</c:v>
                </c:pt>
                <c:pt idx="3">
                  <c:v>DK</c:v>
                </c:pt>
                <c:pt idx="4">
                  <c:v>GB</c:v>
                </c:pt>
                <c:pt idx="5">
                  <c:v>IT</c:v>
                </c:pt>
                <c:pt idx="6">
                  <c:v>US</c:v>
                </c:pt>
              </c:strCache>
            </c:strRef>
          </c:cat>
          <c:val>
            <c:numRef>
              <c:f>'Countries vs. Outcomes'!$D$5:$D$12</c:f>
              <c:numCache>
                <c:formatCode>General</c:formatCode>
                <c:ptCount val="7"/>
                <c:pt idx="0">
                  <c:v>24</c:v>
                </c:pt>
                <c:pt idx="1">
                  <c:v>22</c:v>
                </c:pt>
                <c:pt idx="2">
                  <c:v>12</c:v>
                </c:pt>
                <c:pt idx="3">
                  <c:v>17</c:v>
                </c:pt>
                <c:pt idx="4">
                  <c:v>28</c:v>
                </c:pt>
                <c:pt idx="5">
                  <c:v>26</c:v>
                </c:pt>
                <c:pt idx="6">
                  <c:v>436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D47-084A-9406-4218E9EC7E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138478224"/>
        <c:axId val="1138479952"/>
      </c:barChart>
      <c:catAx>
        <c:axId val="113847822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Garamond" panose="02020404030301010803" pitchFamily="18" charset="0"/>
                    <a:ea typeface="+mn-ea"/>
                    <a:cs typeface="+mn-cs"/>
                  </a:defRPr>
                </a:pPr>
                <a:r>
                  <a:rPr lang="en-US" sz="1600" b="1"/>
                  <a:t>Country Code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Garamond" panose="02020404030301010803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aramond" panose="02020404030301010803" pitchFamily="18" charset="0"/>
                <a:ea typeface="+mn-ea"/>
                <a:cs typeface="+mn-cs"/>
              </a:defRPr>
            </a:pPr>
            <a:endParaRPr lang="en-US"/>
          </a:p>
        </c:txPr>
        <c:crossAx val="1138479952"/>
        <c:crosses val="autoZero"/>
        <c:auto val="1"/>
        <c:lblAlgn val="ctr"/>
        <c:lblOffset val="100"/>
        <c:noMultiLvlLbl val="0"/>
      </c:catAx>
      <c:valAx>
        <c:axId val="1138479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Garamond" panose="02020404030301010803" pitchFamily="18" charset="0"/>
                    <a:ea typeface="+mn-ea"/>
                    <a:cs typeface="+mn-cs"/>
                  </a:defRPr>
                </a:pPr>
                <a:r>
                  <a:rPr lang="en-US" sz="1600" b="1"/>
                  <a:t>Outcome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Garamond" panose="02020404030301010803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aramond" panose="02020404030301010803" pitchFamily="18" charset="0"/>
                <a:ea typeface="+mn-ea"/>
                <a:cs typeface="+mn-cs"/>
              </a:defRPr>
            </a:pPr>
            <a:endParaRPr lang="en-US"/>
          </a:p>
        </c:txPr>
        <c:crossAx val="1138478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Garamond" panose="02020404030301010803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Garamond" panose="02020404030301010803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Garamond" panose="02020404030301010803" pitchFamily="18" charset="0"/>
                <a:ea typeface="+mn-ea"/>
                <a:cs typeface="+mn-cs"/>
              </a:defRPr>
            </a:pPr>
            <a:r>
              <a:rPr lang="en-US" sz="2400" b="1"/>
              <a:t>Outcomes (%) vs. Countries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Garamond" panose="02020404030301010803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38100" cap="rnd">
            <a:solidFill>
              <a:srgbClr val="FFC000"/>
            </a:solidFill>
            <a:round/>
          </a:ln>
          <a:effectLst/>
        </c:spPr>
        <c:marker>
          <c:symbol val="circle"/>
          <c:size val="8"/>
          <c:spPr>
            <a:solidFill>
              <a:srgbClr val="0070C0"/>
            </a:solidFill>
            <a:ln w="12700">
              <a:solidFill>
                <a:schemeClr val="tx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Garamond" panose="02020404030301010803" pitchFamily="18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38100" cap="rnd">
            <a:solidFill>
              <a:srgbClr val="C00000"/>
            </a:solidFill>
            <a:round/>
          </a:ln>
          <a:effectLst/>
        </c:spPr>
        <c:marker>
          <c:symbol val="circle"/>
          <c:size val="8"/>
          <c:spPr>
            <a:solidFill>
              <a:srgbClr val="00B050"/>
            </a:solidFill>
            <a:ln w="12700">
              <a:solidFill>
                <a:schemeClr val="tx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Garamond" panose="02020404030301010803" pitchFamily="18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38100" cap="rnd">
            <a:solidFill>
              <a:srgbClr val="00B050"/>
            </a:solidFill>
            <a:round/>
          </a:ln>
          <a:effectLst/>
        </c:spPr>
        <c:marker>
          <c:symbol val="circle"/>
          <c:size val="8"/>
          <c:spPr>
            <a:solidFill>
              <a:srgbClr val="C00000"/>
            </a:solidFill>
            <a:ln w="12700">
              <a:solidFill>
                <a:schemeClr val="tx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Garamond" panose="02020404030301010803" pitchFamily="18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38100" cap="rnd">
            <a:solidFill>
              <a:srgbClr val="FFC000"/>
            </a:solidFill>
            <a:round/>
          </a:ln>
          <a:effectLst/>
        </c:spPr>
        <c:marker>
          <c:symbol val="circle"/>
          <c:size val="8"/>
          <c:spPr>
            <a:solidFill>
              <a:srgbClr val="0070C0"/>
            </a:solidFill>
            <a:ln w="12700">
              <a:solidFill>
                <a:schemeClr val="tx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Garamond" panose="02020404030301010803" pitchFamily="18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38100" cap="rnd">
            <a:solidFill>
              <a:srgbClr val="C00000"/>
            </a:solidFill>
            <a:round/>
          </a:ln>
          <a:effectLst/>
        </c:spPr>
        <c:marker>
          <c:symbol val="circle"/>
          <c:size val="8"/>
          <c:spPr>
            <a:solidFill>
              <a:srgbClr val="00B050"/>
            </a:solidFill>
            <a:ln w="12700">
              <a:solidFill>
                <a:schemeClr val="tx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Garamond" panose="02020404030301010803" pitchFamily="18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38100" cap="rnd">
            <a:solidFill>
              <a:srgbClr val="00B050"/>
            </a:solidFill>
            <a:round/>
          </a:ln>
          <a:effectLst/>
        </c:spPr>
        <c:marker>
          <c:symbol val="circle"/>
          <c:size val="8"/>
          <c:spPr>
            <a:solidFill>
              <a:srgbClr val="C00000"/>
            </a:solidFill>
            <a:ln w="12700">
              <a:solidFill>
                <a:schemeClr val="tx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Garamond" panose="02020404030301010803" pitchFamily="18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38100" cap="rnd">
            <a:solidFill>
              <a:srgbClr val="FFC000"/>
            </a:solidFill>
            <a:round/>
          </a:ln>
          <a:effectLst/>
        </c:spPr>
        <c:marker>
          <c:symbol val="circle"/>
          <c:size val="8"/>
          <c:spPr>
            <a:solidFill>
              <a:srgbClr val="0070C0"/>
            </a:solidFill>
            <a:ln w="12700">
              <a:solidFill>
                <a:schemeClr val="tx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Garamond" panose="02020404030301010803" pitchFamily="18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38100" cap="rnd">
            <a:solidFill>
              <a:srgbClr val="C00000"/>
            </a:solidFill>
            <a:round/>
          </a:ln>
          <a:effectLst/>
        </c:spPr>
        <c:marker>
          <c:symbol val="circle"/>
          <c:size val="8"/>
          <c:spPr>
            <a:solidFill>
              <a:srgbClr val="00B050"/>
            </a:solidFill>
            <a:ln w="12700">
              <a:solidFill>
                <a:schemeClr val="tx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Garamond" panose="02020404030301010803" pitchFamily="18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38100" cap="rnd">
            <a:solidFill>
              <a:srgbClr val="00B050"/>
            </a:solidFill>
            <a:round/>
          </a:ln>
          <a:effectLst/>
        </c:spPr>
        <c:marker>
          <c:symbol val="circle"/>
          <c:size val="8"/>
          <c:spPr>
            <a:solidFill>
              <a:srgbClr val="C00000"/>
            </a:solidFill>
            <a:ln w="12700">
              <a:solidFill>
                <a:schemeClr val="tx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Garamond" panose="02020404030301010803" pitchFamily="18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canceled</c:v>
          </c:tx>
          <c:spPr>
            <a:ln w="3810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0070C0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Lit>
              <c:ptCount val="7"/>
              <c:pt idx="0">
                <c:v>AU</c:v>
              </c:pt>
              <c:pt idx="1">
                <c:v>CA</c:v>
              </c:pt>
              <c:pt idx="2">
                <c:v>CH</c:v>
              </c:pt>
              <c:pt idx="3">
                <c:v>DK</c:v>
              </c:pt>
              <c:pt idx="4">
                <c:v>GB</c:v>
              </c:pt>
              <c:pt idx="5">
                <c:v>IT</c:v>
              </c:pt>
              <c:pt idx="6">
                <c:v>US</c:v>
              </c:pt>
            </c:strLit>
          </c:cat>
          <c:val>
            <c:numLit>
              <c:formatCode>General</c:formatCode>
              <c:ptCount val="7"/>
              <c:pt idx="0">
                <c:v>4.7619047619047616E-2</c:v>
              </c:pt>
              <c:pt idx="1">
                <c:v>4.6511627906976744E-2</c:v>
              </c:pt>
              <c:pt idx="2">
                <c:v>0.18181818181818182</c:v>
              </c:pt>
              <c:pt idx="3">
                <c:v>3.3333333333333333E-2</c:v>
              </c:pt>
              <c:pt idx="4">
                <c:v>2.1276595744680851E-2</c:v>
              </c:pt>
              <c:pt idx="5">
                <c:v>6.25E-2</c:v>
              </c:pt>
              <c:pt idx="6">
                <c:v>5.8355437665782495E-2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364D-3C49-A156-9055BA66D472}"/>
            </c:ext>
          </c:extLst>
        </c:ser>
        <c:ser>
          <c:idx val="1"/>
          <c:order val="1"/>
          <c:tx>
            <c:v>failed</c:v>
          </c:tx>
          <c:spPr>
            <a:ln w="38100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00B050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Lit>
              <c:ptCount val="7"/>
              <c:pt idx="0">
                <c:v>AU</c:v>
              </c:pt>
              <c:pt idx="1">
                <c:v>CA</c:v>
              </c:pt>
              <c:pt idx="2">
                <c:v>CH</c:v>
              </c:pt>
              <c:pt idx="3">
                <c:v>DK</c:v>
              </c:pt>
              <c:pt idx="4">
                <c:v>GB</c:v>
              </c:pt>
              <c:pt idx="5">
                <c:v>IT</c:v>
              </c:pt>
              <c:pt idx="6">
                <c:v>US</c:v>
              </c:pt>
            </c:strLit>
          </c:cat>
          <c:val>
            <c:numLit>
              <c:formatCode>General</c:formatCode>
              <c:ptCount val="7"/>
              <c:pt idx="0">
                <c:v>0.38095238095238093</c:v>
              </c:pt>
              <c:pt idx="1">
                <c:v>0.44186046511627908</c:v>
              </c:pt>
              <c:pt idx="2">
                <c:v>0.27272727272727271</c:v>
              </c:pt>
              <c:pt idx="3">
                <c:v>0.4</c:v>
              </c:pt>
              <c:pt idx="4">
                <c:v>0.38297872340425532</c:v>
              </c:pt>
              <c:pt idx="5">
                <c:v>0.39583333333333331</c:v>
              </c:pt>
              <c:pt idx="6">
                <c:v>0.36339522546419101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364D-3C49-A156-9055BA66D472}"/>
            </c:ext>
          </c:extLst>
        </c:ser>
        <c:ser>
          <c:idx val="2"/>
          <c:order val="2"/>
          <c:tx>
            <c:v>successful</c:v>
          </c:tx>
          <c:spPr>
            <a:ln w="3810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C00000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Lit>
              <c:ptCount val="7"/>
              <c:pt idx="0">
                <c:v>AU</c:v>
              </c:pt>
              <c:pt idx="1">
                <c:v>CA</c:v>
              </c:pt>
              <c:pt idx="2">
                <c:v>CH</c:v>
              </c:pt>
              <c:pt idx="3">
                <c:v>DK</c:v>
              </c:pt>
              <c:pt idx="4">
                <c:v>GB</c:v>
              </c:pt>
              <c:pt idx="5">
                <c:v>IT</c:v>
              </c:pt>
              <c:pt idx="6">
                <c:v>US</c:v>
              </c:pt>
            </c:strLit>
          </c:cat>
          <c:val>
            <c:numLit>
              <c:formatCode>General</c:formatCode>
              <c:ptCount val="7"/>
              <c:pt idx="0">
                <c:v>0.5714285714285714</c:v>
              </c:pt>
              <c:pt idx="1">
                <c:v>0.51162790697674421</c:v>
              </c:pt>
              <c:pt idx="2">
                <c:v>0.54545454545454541</c:v>
              </c:pt>
              <c:pt idx="3">
                <c:v>0.56666666666666665</c:v>
              </c:pt>
              <c:pt idx="4">
                <c:v>0.5957446808510638</c:v>
              </c:pt>
              <c:pt idx="5">
                <c:v>0.54166666666666663</c:v>
              </c:pt>
              <c:pt idx="6">
                <c:v>0.57824933687002655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364D-3C49-A156-9055BA66D4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1097056"/>
        <c:axId val="741098784"/>
      </c:lineChart>
      <c:catAx>
        <c:axId val="7410970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Garamond" panose="02020404030301010803" pitchFamily="18" charset="0"/>
                    <a:ea typeface="+mn-ea"/>
                    <a:cs typeface="+mn-cs"/>
                  </a:defRPr>
                </a:pPr>
                <a:r>
                  <a:rPr lang="en-US" sz="1600" b="1"/>
                  <a:t>Country Code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Garamond" panose="02020404030301010803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aramond" panose="02020404030301010803" pitchFamily="18" charset="0"/>
                <a:ea typeface="+mn-ea"/>
                <a:cs typeface="+mn-cs"/>
              </a:defRPr>
            </a:pPr>
            <a:endParaRPr lang="en-US"/>
          </a:p>
        </c:txPr>
        <c:crossAx val="741098784"/>
        <c:crosses val="autoZero"/>
        <c:auto val="1"/>
        <c:lblAlgn val="ctr"/>
        <c:lblOffset val="100"/>
        <c:noMultiLvlLbl val="0"/>
      </c:catAx>
      <c:valAx>
        <c:axId val="741098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Garamond" panose="02020404030301010803" pitchFamily="18" charset="0"/>
                    <a:ea typeface="+mn-ea"/>
                    <a:cs typeface="+mn-cs"/>
                  </a:defRPr>
                </a:pPr>
                <a:r>
                  <a:rPr lang="en-US" sz="1600" b="1"/>
                  <a:t>Outcome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Garamond" panose="02020404030301010803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aramond" panose="02020404030301010803" pitchFamily="18" charset="0"/>
                <a:ea typeface="+mn-ea"/>
                <a:cs typeface="+mn-cs"/>
              </a:defRPr>
            </a:pPr>
            <a:endParaRPr lang="en-US"/>
          </a:p>
        </c:txPr>
        <c:crossAx val="741097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Garamond" panose="02020404030301010803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Garamond" panose="02020404030301010803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Goals (Successful Campaigns) Distribution</cx:v>
        </cx:txData>
      </cx:tx>
      <cx:txPr>
        <a:bodyPr vertOverflow="overflow" horzOverflow="overflow" wrap="square" lIns="0" tIns="0" rIns="0" bIns="0"/>
        <a:lstStyle/>
        <a:p>
          <a:pPr algn="ctr" rtl="0">
            <a:defRPr sz="2400" b="1" i="0">
              <a:solidFill>
                <a:srgbClr val="595959"/>
              </a:solidFill>
              <a:latin typeface="Garamond" panose="02020404030301010803" pitchFamily="18" charset="0"/>
              <a:ea typeface="Garamond" panose="02020404030301010803" pitchFamily="18" charset="0"/>
              <a:cs typeface="Garamond" panose="02020404030301010803" pitchFamily="18" charset="0"/>
            </a:defRPr>
          </a:pPr>
          <a:r>
            <a:rPr lang="en-US" sz="2400" b="1">
              <a:latin typeface="Garamond" panose="02020404030301010803" pitchFamily="18" charset="0"/>
            </a:rPr>
            <a:t>Goals (Successful Campaigns) Distribution</a:t>
          </a:r>
        </a:p>
      </cx:txPr>
    </cx:title>
    <cx:plotArea>
      <cx:plotAreaRegion>
        <cx:series layoutId="clusteredColumn" uniqueId="{E7B9F1A9-17D7-7046-A208-043B66BC15CC}">
          <cx:spPr>
            <a:solidFill>
              <a:srgbClr val="00B050"/>
            </a:solidFill>
            <a:ln w="12700">
              <a:solidFill>
                <a:schemeClr val="tx1"/>
              </a:solidFill>
            </a:ln>
          </cx:spPr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1000" b="0" i="0">
                    <a:solidFill>
                      <a:srgbClr val="595959"/>
                    </a:solidFill>
                    <a:latin typeface="Garamond" panose="02020404030301010803" pitchFamily="18" charset="0"/>
                    <a:ea typeface="Garamond" panose="02020404030301010803" pitchFamily="18" charset="0"/>
                    <a:cs typeface="Garamond" panose="02020404030301010803" pitchFamily="18" charset="0"/>
                  </a:defRPr>
                </a:pPr>
                <a:endParaRPr lang="en-US" sz="1000">
                  <a:latin typeface="Garamond" panose="02020404030301010803" pitchFamily="18" charset="0"/>
                </a:endParaRPr>
              </a:p>
            </cx:txPr>
          </cx:dataLabels>
          <cx:dataId val="0"/>
          <cx:layoutPr>
            <cx:binning intervalClosed="r">
              <cx:binCount val="20"/>
            </cx:binning>
          </cx:layoutPr>
        </cx:series>
      </cx:plotAreaRegion>
      <cx:axis id="0">
        <cx:catScaling gapWidth="0"/>
        <cx:title>
          <cx:tx>
            <cx:txData>
              <cx:v> Goal Amount</cx:v>
            </cx:txData>
          </cx:tx>
          <cx:txPr>
            <a:bodyPr vertOverflow="overflow" horzOverflow="overflow" wrap="square" lIns="0" tIns="0" rIns="0" bIns="0"/>
            <a:lstStyle/>
            <a:p>
              <a:pPr algn="ctr" rtl="0">
                <a:defRPr sz="1600" b="1" i="0">
                  <a:solidFill>
                    <a:srgbClr val="595959"/>
                  </a:solidFill>
                  <a:latin typeface="Garamond" panose="02020404030301010803" pitchFamily="18" charset="0"/>
                  <a:ea typeface="Garamond" panose="02020404030301010803" pitchFamily="18" charset="0"/>
                  <a:cs typeface="Garamond" panose="02020404030301010803" pitchFamily="18" charset="0"/>
                </a:defRPr>
              </a:pPr>
              <a:r>
                <a:rPr lang="en-US" sz="1600" b="1">
                  <a:latin typeface="Garamond" panose="02020404030301010803" pitchFamily="18" charset="0"/>
                </a:rPr>
                <a:t> Goal Amount</a:t>
              </a:r>
            </a:p>
          </cx:txPr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595959"/>
                </a:solidFill>
                <a:latin typeface="Garamond" panose="02020404030301010803" pitchFamily="18" charset="0"/>
                <a:ea typeface="Garamond" panose="02020404030301010803" pitchFamily="18" charset="0"/>
                <a:cs typeface="Garamond" panose="02020404030301010803" pitchFamily="18" charset="0"/>
              </a:defRPr>
            </a:pPr>
            <a:endParaRPr lang="en-US" sz="1200">
              <a:latin typeface="Garamond" panose="02020404030301010803" pitchFamily="18" charset="0"/>
            </a:endParaRPr>
          </a:p>
        </cx:txPr>
      </cx:axis>
      <cx:axis id="1">
        <cx:valScaling/>
        <cx:title>
          <cx:tx>
            <cx:txData>
              <cx:v>Frequency</cx:v>
            </cx:txData>
          </cx:tx>
          <cx:txPr>
            <a:bodyPr vertOverflow="overflow" horzOverflow="overflow" wrap="square" lIns="0" tIns="0" rIns="0" bIns="0"/>
            <a:lstStyle/>
            <a:p>
              <a:pPr algn="ctr" rtl="0">
                <a:defRPr sz="1600" b="1" i="0">
                  <a:solidFill>
                    <a:srgbClr val="595959"/>
                  </a:solidFill>
                  <a:latin typeface="Garamond" panose="02020404030301010803" pitchFamily="18" charset="0"/>
                  <a:ea typeface="Garamond" panose="02020404030301010803" pitchFamily="18" charset="0"/>
                  <a:cs typeface="Garamond" panose="02020404030301010803" pitchFamily="18" charset="0"/>
                </a:defRPr>
              </a:pPr>
              <a:r>
                <a:rPr lang="en-US" sz="1600" b="1">
                  <a:latin typeface="Garamond" panose="02020404030301010803" pitchFamily="18" charset="0"/>
                </a:rPr>
                <a:t>Frequency</a:t>
              </a:r>
            </a:p>
          </cx:txPr>
        </cx:title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595959"/>
                </a:solidFill>
                <a:latin typeface="Garamond" panose="02020404030301010803" pitchFamily="18" charset="0"/>
                <a:ea typeface="Garamond" panose="02020404030301010803" pitchFamily="18" charset="0"/>
                <a:cs typeface="Garamond" panose="02020404030301010803" pitchFamily="18" charset="0"/>
              </a:defRPr>
            </a:pPr>
            <a:endParaRPr lang="en-US" sz="1200" b="0">
              <a:latin typeface="Garamond" panose="02020404030301010803" pitchFamily="18" charset="0"/>
            </a:endParaRPr>
          </a:p>
        </cx:txPr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Goals (Failed Campaigns) Distribution</cx:v>
        </cx:txData>
      </cx:tx>
      <cx:txPr>
        <a:bodyPr vertOverflow="overflow" horzOverflow="overflow" wrap="square" lIns="0" tIns="0" rIns="0" bIns="0"/>
        <a:lstStyle/>
        <a:p>
          <a:pPr algn="ctr" rtl="0">
            <a:defRPr sz="2400" b="1" i="0">
              <a:solidFill>
                <a:srgbClr val="595959"/>
              </a:solidFill>
              <a:latin typeface="Garamond" panose="02020404030301010803" pitchFamily="18" charset="0"/>
              <a:ea typeface="Garamond" panose="02020404030301010803" pitchFamily="18" charset="0"/>
              <a:cs typeface="Garamond" panose="02020404030301010803" pitchFamily="18" charset="0"/>
            </a:defRPr>
          </a:pPr>
          <a:r>
            <a:rPr lang="en-US" sz="2400" b="1">
              <a:latin typeface="Garamond" panose="02020404030301010803" pitchFamily="18" charset="0"/>
            </a:rPr>
            <a:t>Goals (Failed Campaigns) Distribution</a:t>
          </a:r>
        </a:p>
      </cx:txPr>
    </cx:title>
    <cx:plotArea>
      <cx:plotAreaRegion>
        <cx:series layoutId="clusteredColumn" uniqueId="{2D779675-B5B2-3B40-9DD8-44961661EA6E}">
          <cx:spPr>
            <a:solidFill>
              <a:srgbClr val="C00000"/>
            </a:solidFill>
            <a:ln w="12700">
              <a:solidFill>
                <a:schemeClr val="tx1"/>
              </a:solidFill>
            </a:ln>
          </cx:spPr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000">
                    <a:latin typeface="Garamond" panose="02020404030301010803" pitchFamily="18" charset="0"/>
                    <a:ea typeface="Garamond" panose="02020404030301010803" pitchFamily="18" charset="0"/>
                    <a:cs typeface="Garamond" panose="02020404030301010803" pitchFamily="18" charset="0"/>
                  </a:defRPr>
                </a:pPr>
                <a:endParaRPr lang="en-US" sz="10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Garamond" panose="02020404030301010803" pitchFamily="18" charset="0"/>
                </a:endParaRPr>
              </a:p>
            </cx:txPr>
          </cx:dataLabels>
          <cx:dataId val="0"/>
          <cx:layoutPr>
            <cx:binning intervalClosed="r">
              <cx:binCount val="20"/>
            </cx:binning>
          </cx:layoutPr>
        </cx:series>
      </cx:plotAreaRegion>
      <cx:axis id="0">
        <cx:catScaling gapWidth="0"/>
        <cx:title>
          <cx:tx>
            <cx:txData>
              <cx:v>Goal Amount</cx:v>
            </cx:txData>
          </cx:tx>
          <cx:txPr>
            <a:bodyPr vertOverflow="overflow" horzOverflow="overflow" wrap="square" lIns="0" tIns="0" rIns="0" bIns="0"/>
            <a:lstStyle/>
            <a:p>
              <a:pPr algn="ctr" rtl="0">
                <a:defRPr sz="1600" b="1">
                  <a:latin typeface="Garamond" panose="02020404030301010803" pitchFamily="18" charset="0"/>
                  <a:ea typeface="Garamond" panose="02020404030301010803" pitchFamily="18" charset="0"/>
                  <a:cs typeface="Garamond" panose="02020404030301010803" pitchFamily="18" charset="0"/>
                </a:defRPr>
              </a:pPr>
              <a:r>
                <a:rPr lang="en-US" sz="1600" b="1" i="0">
                  <a:solidFill>
                    <a:srgbClr val="595959"/>
                  </a:solidFill>
                  <a:latin typeface="Garamond" panose="02020404030301010803" pitchFamily="18" charset="0"/>
                  <a:cs typeface="Calibri" panose="020F0502020204030204" pitchFamily="34" charset="0"/>
                </a:rPr>
                <a:t>Goal Amount</a:t>
              </a:r>
            </a:p>
          </cx:txPr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595959"/>
                </a:solidFill>
                <a:latin typeface="Garamond" panose="02020404030301010803" pitchFamily="18" charset="0"/>
                <a:ea typeface="Garamond" panose="02020404030301010803" pitchFamily="18" charset="0"/>
                <a:cs typeface="Garamond" panose="02020404030301010803" pitchFamily="18" charset="0"/>
              </a:defRPr>
            </a:pPr>
            <a:endParaRPr lang="en-US" sz="1200">
              <a:latin typeface="Garamond" panose="02020404030301010803" pitchFamily="18" charset="0"/>
            </a:endParaRPr>
          </a:p>
        </cx:txPr>
      </cx:axis>
      <cx:axis id="1">
        <cx:valScaling/>
        <cx:title>
          <cx:tx>
            <cx:txData>
              <cx:v>Frequency</cx:v>
            </cx:txData>
          </cx:tx>
          <cx:txPr>
            <a:bodyPr vertOverflow="overflow" horzOverflow="overflow" wrap="square" lIns="0" tIns="0" rIns="0" bIns="0"/>
            <a:lstStyle/>
            <a:p>
              <a:pPr algn="ctr" rtl="0">
                <a:defRPr sz="1600" b="1" i="0">
                  <a:solidFill>
                    <a:srgbClr val="595959"/>
                  </a:solidFill>
                  <a:latin typeface="Garamond" panose="02020404030301010803" pitchFamily="18" charset="0"/>
                  <a:ea typeface="Garamond" panose="02020404030301010803" pitchFamily="18" charset="0"/>
                  <a:cs typeface="Garamond" panose="02020404030301010803" pitchFamily="18" charset="0"/>
                </a:defRPr>
              </a:pPr>
              <a:r>
                <a:rPr lang="en-US" sz="1600" b="1">
                  <a:latin typeface="Garamond" panose="02020404030301010803" pitchFamily="18" charset="0"/>
                </a:rPr>
                <a:t>Frequency</a:t>
              </a:r>
            </a:p>
          </cx:txPr>
        </cx:title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595959"/>
                </a:solidFill>
                <a:latin typeface="Garamond" panose="02020404030301010803" pitchFamily="18" charset="0"/>
                <a:ea typeface="Garamond" panose="02020404030301010803" pitchFamily="18" charset="0"/>
                <a:cs typeface="Garamond" panose="02020404030301010803" pitchFamily="18" charset="0"/>
              </a:defRPr>
            </a:pPr>
            <a:endParaRPr lang="en-US" sz="1200">
              <a:latin typeface="Garamond" panose="02020404030301010803" pitchFamily="18" charset="0"/>
            </a:endParaRPr>
          </a:p>
        </cx:txPr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>
      <cx:tx>
        <cx:txData>
          <cx:v>Pledges (Successful Campaigns) Distribution</cx:v>
        </cx:txData>
      </cx:tx>
      <cx:txPr>
        <a:bodyPr vertOverflow="overflow" horzOverflow="overflow" wrap="square" lIns="0" tIns="0" rIns="0" bIns="0"/>
        <a:lstStyle/>
        <a:p>
          <a:pPr algn="ctr" rtl="0">
            <a:defRPr sz="2400" b="1" i="0">
              <a:solidFill>
                <a:srgbClr val="595959"/>
              </a:solidFill>
              <a:latin typeface="Garamond" panose="02020404030301010803" pitchFamily="18" charset="0"/>
              <a:ea typeface="Garamond" panose="02020404030301010803" pitchFamily="18" charset="0"/>
              <a:cs typeface="Garamond" panose="02020404030301010803" pitchFamily="18" charset="0"/>
            </a:defRPr>
          </a:pPr>
          <a:r>
            <a:rPr lang="en-US" sz="2400" b="1">
              <a:latin typeface="Garamond" panose="02020404030301010803" pitchFamily="18" charset="0"/>
            </a:rPr>
            <a:t>Pledges (Successful Campaigns) Distribution</a:t>
          </a:r>
        </a:p>
      </cx:txPr>
    </cx:title>
    <cx:plotArea>
      <cx:plotAreaRegion>
        <cx:series layoutId="clusteredColumn" uniqueId="{A3347637-E773-5049-9CE8-ADA948CBF1D1}">
          <cx:spPr>
            <a:solidFill>
              <a:srgbClr val="00B050"/>
            </a:solidFill>
            <a:ln w="12700">
              <a:solidFill>
                <a:schemeClr val="tx1"/>
              </a:solidFill>
            </a:ln>
          </cx:spPr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1000" b="1" i="0">
                    <a:solidFill>
                      <a:srgbClr val="595959"/>
                    </a:solidFill>
                    <a:latin typeface="Garamond" panose="02020404030301010803" pitchFamily="18" charset="0"/>
                    <a:ea typeface="Garamond" panose="02020404030301010803" pitchFamily="18" charset="0"/>
                    <a:cs typeface="Garamond" panose="02020404030301010803" pitchFamily="18" charset="0"/>
                  </a:defRPr>
                </a:pPr>
                <a:endParaRPr lang="en-US" sz="1000" b="1">
                  <a:latin typeface="Garamond" panose="02020404030301010803" pitchFamily="18" charset="0"/>
                </a:endParaRPr>
              </a:p>
            </cx:txPr>
          </cx:dataLabels>
          <cx:dataId val="0"/>
          <cx:layoutPr>
            <cx:binning intervalClosed="r">
              <cx:binCount val="20"/>
            </cx:binning>
          </cx:layoutPr>
        </cx:series>
      </cx:plotAreaRegion>
      <cx:axis id="0">
        <cx:catScaling gapWidth="0"/>
        <cx:title>
          <cx:tx>
            <cx:txData>
              <cx:v>Pledged Amount</cx:v>
            </cx:txData>
          </cx:tx>
          <cx:txPr>
            <a:bodyPr vertOverflow="overflow" horzOverflow="overflow" wrap="square" lIns="0" tIns="0" rIns="0" bIns="0"/>
            <a:lstStyle/>
            <a:p>
              <a:pPr algn="ctr" rtl="0">
                <a:defRPr sz="1600" b="1" i="0">
                  <a:solidFill>
                    <a:srgbClr val="595959"/>
                  </a:solidFill>
                  <a:latin typeface="Garamond" panose="02020404030301010803" pitchFamily="18" charset="0"/>
                  <a:ea typeface="Garamond" panose="02020404030301010803" pitchFamily="18" charset="0"/>
                  <a:cs typeface="Garamond" panose="02020404030301010803" pitchFamily="18" charset="0"/>
                </a:defRPr>
              </a:pPr>
              <a:r>
                <a:rPr lang="en-US" sz="1600" b="1">
                  <a:latin typeface="Garamond" panose="02020404030301010803" pitchFamily="18" charset="0"/>
                </a:rPr>
                <a:t>Pledged Amount</a:t>
              </a:r>
            </a:p>
          </cx:txPr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595959"/>
                </a:solidFill>
                <a:latin typeface="Garamond" panose="02020404030301010803" pitchFamily="18" charset="0"/>
                <a:ea typeface="Garamond" panose="02020404030301010803" pitchFamily="18" charset="0"/>
                <a:cs typeface="Garamond" panose="02020404030301010803" pitchFamily="18" charset="0"/>
              </a:defRPr>
            </a:pPr>
            <a:endParaRPr lang="en-US" sz="1200">
              <a:latin typeface="Garamond" panose="02020404030301010803" pitchFamily="18" charset="0"/>
            </a:endParaRPr>
          </a:p>
        </cx:txPr>
      </cx:axis>
      <cx:axis id="1">
        <cx:valScaling/>
        <cx:title>
          <cx:tx>
            <cx:txData>
              <cx:v>Frequency</cx:v>
            </cx:txData>
          </cx:tx>
          <cx:txPr>
            <a:bodyPr vertOverflow="overflow" horzOverflow="overflow" wrap="square" lIns="0" tIns="0" rIns="0" bIns="0"/>
            <a:lstStyle/>
            <a:p>
              <a:pPr algn="ctr" rtl="0">
                <a:defRPr sz="1600" b="1" i="0">
                  <a:solidFill>
                    <a:srgbClr val="595959"/>
                  </a:solidFill>
                  <a:latin typeface="Garamond" panose="02020404030301010803" pitchFamily="18" charset="0"/>
                  <a:ea typeface="Garamond" panose="02020404030301010803" pitchFamily="18" charset="0"/>
                  <a:cs typeface="Garamond" panose="02020404030301010803" pitchFamily="18" charset="0"/>
                </a:defRPr>
              </a:pPr>
              <a:r>
                <a:rPr lang="en-US" sz="1600" b="1">
                  <a:latin typeface="Garamond" panose="02020404030301010803" pitchFamily="18" charset="0"/>
                </a:rPr>
                <a:t>Frequency</a:t>
              </a:r>
            </a:p>
          </cx:txPr>
        </cx:title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595959"/>
                </a:solidFill>
                <a:latin typeface="Garamond" panose="02020404030301010803" pitchFamily="18" charset="0"/>
                <a:ea typeface="Garamond" panose="02020404030301010803" pitchFamily="18" charset="0"/>
                <a:cs typeface="Garamond" panose="02020404030301010803" pitchFamily="18" charset="0"/>
              </a:defRPr>
            </a:pPr>
            <a:endParaRPr lang="en-US" sz="1200" b="0">
              <a:latin typeface="Garamond" panose="02020404030301010803" pitchFamily="18" charset="0"/>
            </a:endParaRPr>
          </a:p>
        </cx:txPr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Pledges (Failed Campaigns) Distribution</cx:v>
        </cx:txData>
      </cx:tx>
      <cx:txPr>
        <a:bodyPr vertOverflow="overflow" horzOverflow="overflow" wrap="square" lIns="0" tIns="0" rIns="0" bIns="0"/>
        <a:lstStyle/>
        <a:p>
          <a:pPr algn="ctr" rtl="0">
            <a:defRPr sz="2400" b="1" i="0">
              <a:solidFill>
                <a:srgbClr val="595959"/>
              </a:solidFill>
              <a:latin typeface="Garamond" panose="02020404030301010803" pitchFamily="18" charset="0"/>
              <a:ea typeface="Garamond" panose="02020404030301010803" pitchFamily="18" charset="0"/>
              <a:cs typeface="Garamond" panose="02020404030301010803" pitchFamily="18" charset="0"/>
            </a:defRPr>
          </a:pPr>
          <a:r>
            <a:rPr lang="en-US" sz="2400" b="1">
              <a:latin typeface="Garamond" panose="02020404030301010803" pitchFamily="18" charset="0"/>
            </a:rPr>
            <a:t>Pledges (Failed Campaigns) Distribution</a:t>
          </a:r>
        </a:p>
      </cx:txPr>
    </cx:title>
    <cx:plotArea>
      <cx:plotAreaRegion>
        <cx:series layoutId="clusteredColumn" uniqueId="{A5F7150E-2ED7-B64E-8DAA-58D7C152459C}">
          <cx:spPr>
            <a:solidFill>
              <a:srgbClr val="C00000"/>
            </a:solidFill>
            <a:ln w="12700">
              <a:solidFill>
                <a:schemeClr val="tx1"/>
              </a:solidFill>
            </a:ln>
          </cx:spPr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1000" b="1" i="0">
                    <a:solidFill>
                      <a:srgbClr val="595959"/>
                    </a:solidFill>
                    <a:latin typeface="Garamond" panose="02020404030301010803" pitchFamily="18" charset="0"/>
                    <a:ea typeface="Garamond" panose="02020404030301010803" pitchFamily="18" charset="0"/>
                    <a:cs typeface="Garamond" panose="02020404030301010803" pitchFamily="18" charset="0"/>
                  </a:defRPr>
                </a:pPr>
                <a:endParaRPr lang="en-US" sz="1000" b="1">
                  <a:latin typeface="Garamond" panose="02020404030301010803" pitchFamily="18" charset="0"/>
                </a:endParaRPr>
              </a:p>
            </cx:txPr>
          </cx:dataLabels>
          <cx:dataId val="0"/>
          <cx:layoutPr>
            <cx:binning intervalClosed="r">
              <cx:binCount val="20"/>
            </cx:binning>
          </cx:layoutPr>
        </cx:series>
      </cx:plotAreaRegion>
      <cx:axis id="0">
        <cx:catScaling gapWidth="0"/>
        <cx:title>
          <cx:tx>
            <cx:txData>
              <cx:v>Pledged Amount</cx:v>
            </cx:txData>
          </cx:tx>
          <cx:txPr>
            <a:bodyPr vertOverflow="overflow" horzOverflow="overflow" wrap="square" lIns="0" tIns="0" rIns="0" bIns="0"/>
            <a:lstStyle/>
            <a:p>
              <a:pPr algn="ctr" rtl="0">
                <a:defRPr sz="1600" b="1">
                  <a:latin typeface="Garamond" panose="02020404030301010803" pitchFamily="18" charset="0"/>
                  <a:ea typeface="Garamond" panose="02020404030301010803" pitchFamily="18" charset="0"/>
                  <a:cs typeface="Garamond" panose="02020404030301010803" pitchFamily="18" charset="0"/>
                </a:defRPr>
              </a:pPr>
              <a:r>
                <a:rPr lang="en-US" sz="1600" b="1" i="0">
                  <a:solidFill>
                    <a:srgbClr val="595959"/>
                  </a:solidFill>
                  <a:latin typeface="Garamond" panose="02020404030301010803" pitchFamily="18" charset="0"/>
                  <a:cs typeface="Calibri" panose="020F0502020204030204" pitchFamily="34" charset="0"/>
                </a:rPr>
                <a:t>Pledged Amount</a:t>
              </a:r>
            </a:p>
          </cx:txPr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595959"/>
                </a:solidFill>
                <a:latin typeface="Garamond" panose="02020404030301010803" pitchFamily="18" charset="0"/>
                <a:ea typeface="Garamond" panose="02020404030301010803" pitchFamily="18" charset="0"/>
                <a:cs typeface="Garamond" panose="02020404030301010803" pitchFamily="18" charset="0"/>
              </a:defRPr>
            </a:pPr>
            <a:endParaRPr lang="en-US" sz="1200">
              <a:latin typeface="Garamond" panose="02020404030301010803" pitchFamily="18" charset="0"/>
            </a:endParaRPr>
          </a:p>
        </cx:txPr>
      </cx:axis>
      <cx:axis id="1">
        <cx:valScaling/>
        <cx:title>
          <cx:tx>
            <cx:txData>
              <cx:v>Frequency</cx:v>
            </cx:txData>
          </cx:tx>
          <cx:txPr>
            <a:bodyPr vertOverflow="overflow" horzOverflow="overflow" wrap="square" lIns="0" tIns="0" rIns="0" bIns="0"/>
            <a:lstStyle/>
            <a:p>
              <a:pPr algn="ctr" rtl="0">
                <a:defRPr sz="1600" b="1" i="0">
                  <a:solidFill>
                    <a:srgbClr val="595959"/>
                  </a:solidFill>
                  <a:latin typeface="Garamond" panose="02020404030301010803" pitchFamily="18" charset="0"/>
                  <a:ea typeface="Garamond" panose="02020404030301010803" pitchFamily="18" charset="0"/>
                  <a:cs typeface="Garamond" panose="02020404030301010803" pitchFamily="18" charset="0"/>
                </a:defRPr>
              </a:pPr>
              <a:r>
                <a:rPr lang="en-US" sz="1600" b="1">
                  <a:latin typeface="Garamond" panose="02020404030301010803" pitchFamily="18" charset="0"/>
                </a:rPr>
                <a:t>Frequency</a:t>
              </a:r>
            </a:p>
          </cx:txPr>
        </cx:title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595959"/>
                </a:solidFill>
                <a:latin typeface="Garamond" panose="02020404030301010803" pitchFamily="18" charset="0"/>
                <a:ea typeface="Garamond" panose="02020404030301010803" pitchFamily="18" charset="0"/>
                <a:cs typeface="Garamond" panose="02020404030301010803" pitchFamily="18" charset="0"/>
              </a:defRPr>
            </a:pPr>
            <a:endParaRPr lang="en-US" sz="1200">
              <a:latin typeface="Garamond" panose="02020404030301010803" pitchFamily="18" charset="0"/>
            </a:endParaRPr>
          </a:p>
        </cx:txPr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</cx:f>
      </cx:numDim>
    </cx:data>
  </cx:chartData>
  <cx:chart>
    <cx:title pos="t" align="ctr" overlay="0">
      <cx:tx>
        <cx:txData>
          <cx:v>Backers (Successful Campaigns) Distribution</cx:v>
        </cx:txData>
      </cx:tx>
      <cx:txPr>
        <a:bodyPr vertOverflow="overflow" horzOverflow="overflow" wrap="square" lIns="0" tIns="0" rIns="0" bIns="0"/>
        <a:lstStyle/>
        <a:p>
          <a:pPr algn="ctr" rtl="0">
            <a:defRPr sz="2400" b="1" i="0">
              <a:solidFill>
                <a:srgbClr val="595959"/>
              </a:solidFill>
              <a:latin typeface="Garamond" panose="02020404030301010803" pitchFamily="18" charset="0"/>
              <a:ea typeface="Garamond" panose="02020404030301010803" pitchFamily="18" charset="0"/>
              <a:cs typeface="Garamond" panose="02020404030301010803" pitchFamily="18" charset="0"/>
            </a:defRPr>
          </a:pPr>
          <a:r>
            <a:rPr lang="en-US" sz="2400" b="1">
              <a:latin typeface="Garamond" panose="02020404030301010803" pitchFamily="18" charset="0"/>
            </a:rPr>
            <a:t>Backers (Successful Campaigns) Distribution</a:t>
          </a:r>
        </a:p>
      </cx:txPr>
    </cx:title>
    <cx:plotArea>
      <cx:plotAreaRegion>
        <cx:series layoutId="clusteredColumn" uniqueId="{BF62AF7D-23BF-934C-B935-2B5599C8801A}">
          <cx:spPr>
            <a:solidFill>
              <a:srgbClr val="00B050"/>
            </a:solidFill>
            <a:ln w="12700">
              <a:solidFill>
                <a:schemeClr val="tx1"/>
              </a:solidFill>
            </a:ln>
          </cx:spPr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1000" b="1" i="0">
                    <a:solidFill>
                      <a:srgbClr val="595959"/>
                    </a:solidFill>
                    <a:latin typeface="Garamond" panose="02020404030301010803" pitchFamily="18" charset="0"/>
                    <a:ea typeface="Garamond" panose="02020404030301010803" pitchFamily="18" charset="0"/>
                    <a:cs typeface="Garamond" panose="02020404030301010803" pitchFamily="18" charset="0"/>
                  </a:defRPr>
                </a:pPr>
                <a:endParaRPr lang="en-US" sz="1000" b="1">
                  <a:latin typeface="Garamond" panose="02020404030301010803" pitchFamily="18" charset="0"/>
                </a:endParaRPr>
              </a:p>
            </cx:txPr>
          </cx:dataLabels>
          <cx:dataId val="0"/>
          <cx:layoutPr>
            <cx:binning intervalClosed="r">
              <cx:binSize val="200"/>
            </cx:binning>
          </cx:layoutPr>
        </cx:series>
      </cx:plotAreaRegion>
      <cx:axis id="0">
        <cx:catScaling gapWidth="0"/>
        <cx:title>
          <cx:tx>
            <cx:txData>
              <cx:v>Number of Backers (Successful Campaigns)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600" b="1">
                  <a:latin typeface="Garamond" panose="02020404030301010803" pitchFamily="18" charset="0"/>
                  <a:ea typeface="Garamond" panose="02020404030301010803" pitchFamily="18" charset="0"/>
                  <a:cs typeface="Garamond" panose="02020404030301010803" pitchFamily="18" charset="0"/>
                </a:defRPr>
              </a:pPr>
              <a:r>
                <a:rPr lang="en-US" sz="16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Garamond" panose="02020404030301010803" pitchFamily="18" charset="0"/>
                </a:rPr>
                <a:t>Number of Backers (Successful Campaigns)</a:t>
              </a:r>
            </a:p>
          </cx:txPr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595959"/>
                </a:solidFill>
                <a:latin typeface="Garamond" panose="02020404030301010803" pitchFamily="18" charset="0"/>
                <a:ea typeface="Garamond" panose="02020404030301010803" pitchFamily="18" charset="0"/>
                <a:cs typeface="Garamond" panose="02020404030301010803" pitchFamily="18" charset="0"/>
              </a:defRPr>
            </a:pPr>
            <a:endParaRPr lang="en-US" sz="1200">
              <a:latin typeface="Garamond" panose="02020404030301010803" pitchFamily="18" charset="0"/>
            </a:endParaRPr>
          </a:p>
        </cx:txPr>
      </cx:axis>
      <cx:axis id="1">
        <cx:valScaling/>
        <cx:title>
          <cx:tx>
            <cx:txData>
              <cx:v>Frequency</cx:v>
            </cx:txData>
          </cx:tx>
          <cx:txPr>
            <a:bodyPr vertOverflow="overflow" horzOverflow="overflow" wrap="square" lIns="0" tIns="0" rIns="0" bIns="0"/>
            <a:lstStyle/>
            <a:p>
              <a:pPr algn="ctr" rtl="0">
                <a:defRPr sz="1600" b="1" i="0">
                  <a:solidFill>
                    <a:srgbClr val="595959"/>
                  </a:solidFill>
                  <a:latin typeface="Garamond" panose="02020404030301010803" pitchFamily="18" charset="0"/>
                  <a:ea typeface="Garamond" panose="02020404030301010803" pitchFamily="18" charset="0"/>
                  <a:cs typeface="Garamond" panose="02020404030301010803" pitchFamily="18" charset="0"/>
                </a:defRPr>
              </a:pPr>
              <a:r>
                <a:rPr lang="en-US" sz="1600" b="1">
                  <a:latin typeface="Garamond" panose="02020404030301010803" pitchFamily="18" charset="0"/>
                </a:rPr>
                <a:t>Frequency</a:t>
              </a:r>
            </a:p>
          </cx:txPr>
        </cx:title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595959"/>
                </a:solidFill>
                <a:latin typeface="Garamond" panose="02020404030301010803" pitchFamily="18" charset="0"/>
                <a:ea typeface="Garamond" panose="02020404030301010803" pitchFamily="18" charset="0"/>
                <a:cs typeface="Garamond" panose="02020404030301010803" pitchFamily="18" charset="0"/>
              </a:defRPr>
            </a:pPr>
            <a:endParaRPr lang="en-US" sz="1200">
              <a:latin typeface="Garamond" panose="02020404030301010803" pitchFamily="18" charset="0"/>
            </a:endParaRPr>
          </a:p>
        </cx:txPr>
      </cx:axis>
    </cx:plotArea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>
      <cx:tx>
        <cx:txData>
          <cx:v>Backers (Failed Campaigns) Distribution</cx:v>
        </cx:txData>
      </cx:tx>
      <cx:txPr>
        <a:bodyPr vertOverflow="overflow" horzOverflow="overflow" wrap="square" lIns="0" tIns="0" rIns="0" bIns="0"/>
        <a:lstStyle/>
        <a:p>
          <a:pPr algn="ctr" rtl="0">
            <a:defRPr sz="2400" b="1" i="0">
              <a:solidFill>
                <a:srgbClr val="595959"/>
              </a:solidFill>
              <a:latin typeface="Garamond" panose="02020404030301010803" pitchFamily="18" charset="0"/>
              <a:ea typeface="Garamond" panose="02020404030301010803" pitchFamily="18" charset="0"/>
              <a:cs typeface="Garamond" panose="02020404030301010803" pitchFamily="18" charset="0"/>
            </a:defRPr>
          </a:pPr>
          <a:r>
            <a:rPr lang="en-US" sz="2400" b="1">
              <a:latin typeface="Garamond" panose="02020404030301010803" pitchFamily="18" charset="0"/>
            </a:rPr>
            <a:t>Backers (Failed Campaigns) Distribution</a:t>
          </a:r>
        </a:p>
      </cx:txPr>
    </cx:title>
    <cx:plotArea>
      <cx:plotAreaRegion>
        <cx:series layoutId="clusteredColumn" uniqueId="{28D4DB8C-CE01-2A4A-ADDE-0C72B66AC0CB}">
          <cx:spPr>
            <a:solidFill>
              <a:srgbClr val="C00000"/>
            </a:solidFill>
            <a:ln w="12700">
              <a:solidFill>
                <a:schemeClr val="tx1"/>
              </a:solidFill>
            </a:ln>
          </cx:spPr>
          <cx:dataPt idx="0">
            <cx:spPr>
              <a:solidFill>
                <a:srgbClr val="C00000"/>
              </a:solidFill>
            </cx:spPr>
          </cx:dataPt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1000" b="1" i="0">
                    <a:solidFill>
                      <a:srgbClr val="595959"/>
                    </a:solidFill>
                    <a:latin typeface="Garamond" panose="02020404030301010803" pitchFamily="18" charset="0"/>
                    <a:ea typeface="Garamond" panose="02020404030301010803" pitchFamily="18" charset="0"/>
                    <a:cs typeface="Garamond" panose="02020404030301010803" pitchFamily="18" charset="0"/>
                  </a:defRPr>
                </a:pPr>
                <a:endParaRPr lang="en-US" sz="1000" b="1">
                  <a:latin typeface="Garamond" panose="02020404030301010803" pitchFamily="18" charset="0"/>
                </a:endParaRPr>
              </a:p>
            </cx:txPr>
          </cx:dataLabels>
          <cx:dataId val="0"/>
          <cx:layoutPr>
            <cx:binning intervalClosed="r">
              <cx:binSize val="200"/>
            </cx:binning>
          </cx:layoutPr>
        </cx:series>
      </cx:plotAreaRegion>
      <cx:axis id="0">
        <cx:catScaling gapWidth="0"/>
        <cx:title>
          <cx:tx>
            <cx:txData>
              <cx:v>Number of Backers (Failed Campaigns)</cx:v>
            </cx:txData>
          </cx:tx>
          <cx:txPr>
            <a:bodyPr vertOverflow="overflow" horzOverflow="overflow" wrap="square" lIns="0" tIns="0" rIns="0" bIns="0"/>
            <a:lstStyle/>
            <a:p>
              <a:pPr algn="ctr" rtl="0">
                <a:defRPr sz="1600" b="1" i="0">
                  <a:solidFill>
                    <a:srgbClr val="595959"/>
                  </a:solidFill>
                  <a:latin typeface="Garamond" panose="02020404030301010803" pitchFamily="18" charset="0"/>
                  <a:ea typeface="Garamond" panose="02020404030301010803" pitchFamily="18" charset="0"/>
                  <a:cs typeface="Garamond" panose="02020404030301010803" pitchFamily="18" charset="0"/>
                </a:defRPr>
              </a:pPr>
              <a:r>
                <a:rPr lang="en-US" sz="1600" b="1">
                  <a:latin typeface="Garamond" panose="02020404030301010803" pitchFamily="18" charset="0"/>
                </a:rPr>
                <a:t>Number of Backers (Failed Campaigns)</a:t>
              </a:r>
            </a:p>
          </cx:txPr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595959"/>
                </a:solidFill>
                <a:latin typeface="Garamond" panose="02020404030301010803" pitchFamily="18" charset="0"/>
                <a:ea typeface="Garamond" panose="02020404030301010803" pitchFamily="18" charset="0"/>
                <a:cs typeface="Garamond" panose="02020404030301010803" pitchFamily="18" charset="0"/>
              </a:defRPr>
            </a:pPr>
            <a:endParaRPr lang="en-US" sz="1200" b="0">
              <a:latin typeface="Garamond" panose="02020404030301010803" pitchFamily="18" charset="0"/>
            </a:endParaRPr>
          </a:p>
        </cx:txPr>
      </cx:axis>
      <cx:axis id="1">
        <cx:valScaling/>
        <cx:title>
          <cx:tx>
            <cx:txData>
              <cx:v>Frequency</cx:v>
            </cx:txData>
          </cx:tx>
          <cx:txPr>
            <a:bodyPr vertOverflow="overflow" horzOverflow="overflow" wrap="square" lIns="0" tIns="0" rIns="0" bIns="0"/>
            <a:lstStyle/>
            <a:p>
              <a:pPr algn="ctr" rtl="0">
                <a:defRPr sz="1600" b="1" i="0">
                  <a:solidFill>
                    <a:srgbClr val="595959"/>
                  </a:solidFill>
                  <a:latin typeface="Garamond" panose="02020404030301010803" pitchFamily="18" charset="0"/>
                  <a:ea typeface="Garamond" panose="02020404030301010803" pitchFamily="18" charset="0"/>
                  <a:cs typeface="Garamond" panose="02020404030301010803" pitchFamily="18" charset="0"/>
                </a:defRPr>
              </a:pPr>
              <a:r>
                <a:rPr lang="en-US" sz="1600" b="1">
                  <a:latin typeface="Garamond" panose="02020404030301010803" pitchFamily="18" charset="0"/>
                </a:rPr>
                <a:t>Frequency</a:t>
              </a:r>
            </a:p>
          </cx:txPr>
        </cx:title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rgbClr val="595959"/>
                </a:solidFill>
                <a:latin typeface="Garamond" panose="02020404030301010803" pitchFamily="18" charset="0"/>
                <a:ea typeface="Garamond" panose="02020404030301010803" pitchFamily="18" charset="0"/>
                <a:cs typeface="Garamond" panose="02020404030301010803" pitchFamily="18" charset="0"/>
              </a:defRPr>
            </a:pPr>
            <a:endParaRPr lang="en-US">
              <a:latin typeface="Garamond" panose="02020404030301010803" pitchFamily="18" charset="0"/>
            </a:endParaRPr>
          </a:p>
        </cx:txPr>
      </cx:axis>
    </cx:plotArea>
  </cx:chart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_xlchart.v1.6</cx:f>
      </cx:numDim>
    </cx:data>
  </cx:chartData>
  <cx:chart>
    <cx:title pos="t" align="ctr" overlay="0">
      <cx:tx>
        <cx:txData>
          <cx:v>Duration in Days (Successful Campaigns) Distribution</cx:v>
        </cx:txData>
      </cx:tx>
      <cx:txPr>
        <a:bodyPr vertOverflow="overflow" horzOverflow="overflow" wrap="square" lIns="0" tIns="0" rIns="0" bIns="0"/>
        <a:lstStyle/>
        <a:p>
          <a:pPr algn="ctr" rtl="0">
            <a:defRPr sz="2400" b="1" i="0">
              <a:solidFill>
                <a:srgbClr val="595959"/>
              </a:solidFill>
              <a:latin typeface="Garamond" panose="02020404030301010803" pitchFamily="18" charset="0"/>
              <a:ea typeface="Garamond" panose="02020404030301010803" pitchFamily="18" charset="0"/>
              <a:cs typeface="Garamond" panose="02020404030301010803" pitchFamily="18" charset="0"/>
            </a:defRPr>
          </a:pPr>
          <a:r>
            <a:rPr lang="en-US" sz="2400" b="1">
              <a:latin typeface="Garamond" panose="02020404030301010803" pitchFamily="18" charset="0"/>
            </a:rPr>
            <a:t>Duration in Days (Successful Campaigns) Distribution</a:t>
          </a:r>
        </a:p>
      </cx:txPr>
    </cx:title>
    <cx:plotArea>
      <cx:plotAreaRegion>
        <cx:series layoutId="clusteredColumn" uniqueId="{A57D2243-F9A1-E040-872C-98AED6C38B42}">
          <cx:spPr>
            <a:solidFill>
              <a:srgbClr val="00B050"/>
            </a:solidFill>
            <a:ln w="12700">
              <a:solidFill>
                <a:schemeClr val="tx1"/>
              </a:solidFill>
            </a:ln>
          </cx:spPr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000" b="1">
                    <a:latin typeface="Garamond" panose="02020404030301010803" pitchFamily="18" charset="0"/>
                    <a:ea typeface="Garamond" panose="02020404030301010803" pitchFamily="18" charset="0"/>
                    <a:cs typeface="Garamond" panose="02020404030301010803" pitchFamily="18" charset="0"/>
                  </a:defRPr>
                </a:pPr>
                <a:endParaRPr lang="en-US" sz="10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Garamond" panose="02020404030301010803" pitchFamily="18" charset="0"/>
                </a:endParaRPr>
              </a:p>
            </cx:txPr>
          </cx:dataLabels>
          <cx:dataId val="0"/>
          <cx:layoutPr>
            <cx:binning intervalClosed="r">
              <cx:binCount val="20"/>
            </cx:binning>
          </cx:layoutPr>
        </cx:series>
      </cx:plotAreaRegion>
      <cx:axis id="0">
        <cx:catScaling gapWidth="0"/>
        <cx:title>
          <cx:tx>
            <cx:txData>
              <cx:v>Duration in Days (Successful Campaigns)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600" b="1">
                  <a:latin typeface="Garamond" panose="02020404030301010803" pitchFamily="18" charset="0"/>
                  <a:ea typeface="Garamond" panose="02020404030301010803" pitchFamily="18" charset="0"/>
                  <a:cs typeface="Garamond" panose="02020404030301010803" pitchFamily="18" charset="0"/>
                </a:defRPr>
              </a:pPr>
              <a:r>
                <a:rPr lang="en-US" sz="16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Garamond" panose="02020404030301010803" pitchFamily="18" charset="0"/>
                </a:rPr>
                <a:t>Duration in Days (Successful Campaigns)</a:t>
              </a:r>
            </a:p>
          </cx:txPr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595959"/>
                </a:solidFill>
                <a:latin typeface="Garamond" panose="02020404030301010803" pitchFamily="18" charset="0"/>
                <a:ea typeface="Garamond" panose="02020404030301010803" pitchFamily="18" charset="0"/>
                <a:cs typeface="Garamond" panose="02020404030301010803" pitchFamily="18" charset="0"/>
              </a:defRPr>
            </a:pPr>
            <a:endParaRPr lang="en-US" sz="1200">
              <a:latin typeface="Garamond" panose="02020404030301010803" pitchFamily="18" charset="0"/>
            </a:endParaRPr>
          </a:p>
        </cx:txPr>
      </cx:axis>
      <cx:axis id="1">
        <cx:valScaling/>
        <cx:title>
          <cx:tx>
            <cx:txData>
              <cx:v>Frequency</cx:v>
            </cx:txData>
          </cx:tx>
          <cx:txPr>
            <a:bodyPr vertOverflow="overflow" horzOverflow="overflow" wrap="square" lIns="0" tIns="0" rIns="0" bIns="0"/>
            <a:lstStyle/>
            <a:p>
              <a:pPr algn="ctr" rtl="0">
                <a:defRPr sz="1600" b="1" i="0">
                  <a:solidFill>
                    <a:srgbClr val="595959"/>
                  </a:solidFill>
                  <a:latin typeface="Garamond" panose="02020404030301010803" pitchFamily="18" charset="0"/>
                  <a:ea typeface="Garamond" panose="02020404030301010803" pitchFamily="18" charset="0"/>
                  <a:cs typeface="Garamond" panose="02020404030301010803" pitchFamily="18" charset="0"/>
                </a:defRPr>
              </a:pPr>
              <a:r>
                <a:rPr lang="en-US" sz="1600" b="1">
                  <a:latin typeface="Garamond" panose="02020404030301010803" pitchFamily="18" charset="0"/>
                </a:rPr>
                <a:t>Frequency</a:t>
              </a:r>
            </a:p>
          </cx:txPr>
        </cx:title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595959"/>
                </a:solidFill>
                <a:latin typeface="Garamond" panose="02020404030301010803" pitchFamily="18" charset="0"/>
                <a:ea typeface="Garamond" panose="02020404030301010803" pitchFamily="18" charset="0"/>
                <a:cs typeface="Garamond" panose="02020404030301010803" pitchFamily="18" charset="0"/>
              </a:defRPr>
            </a:pPr>
            <a:endParaRPr lang="en-US" sz="1200">
              <a:latin typeface="Garamond" panose="02020404030301010803" pitchFamily="18" charset="0"/>
            </a:endParaRPr>
          </a:p>
        </cx:txPr>
      </cx:axis>
    </cx:plotArea>
  </cx:chart>
</cx:chartSpace>
</file>

<file path=xl/charts/chartEx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</cx:chartData>
  <cx:chart>
    <cx:title pos="t" align="ctr" overlay="0">
      <cx:tx>
        <cx:txData>
          <cx:v>Duration in Days (Failed Campaigns) Distribution</cx:v>
        </cx:txData>
      </cx:tx>
      <cx:txPr>
        <a:bodyPr vertOverflow="overflow" horzOverflow="overflow" wrap="square" lIns="0" tIns="0" rIns="0" bIns="0"/>
        <a:lstStyle/>
        <a:p>
          <a:pPr algn="ctr" rtl="0">
            <a:defRPr sz="2400" b="1" i="0">
              <a:solidFill>
                <a:srgbClr val="595959"/>
              </a:solidFill>
              <a:latin typeface="Garamond" panose="02020404030301010803" pitchFamily="18" charset="0"/>
              <a:ea typeface="Garamond" panose="02020404030301010803" pitchFamily="18" charset="0"/>
              <a:cs typeface="Garamond" panose="02020404030301010803" pitchFamily="18" charset="0"/>
            </a:defRPr>
          </a:pPr>
          <a:r>
            <a:rPr lang="en-US" sz="2400" b="1">
              <a:latin typeface="Garamond" panose="02020404030301010803" pitchFamily="18" charset="0"/>
            </a:rPr>
            <a:t>Duration in Days (Failed Campaigns) Distribution</a:t>
          </a:r>
        </a:p>
      </cx:txPr>
    </cx:title>
    <cx:plotArea>
      <cx:plotAreaRegion>
        <cx:series layoutId="clusteredColumn" uniqueId="{4C7702FE-A1F4-CD4D-A55F-1C82B32E60A1}">
          <cx:spPr>
            <a:solidFill>
              <a:srgbClr val="C00000"/>
            </a:solidFill>
            <a:ln w="12700">
              <a:solidFill>
                <a:schemeClr val="tx1"/>
              </a:solidFill>
            </a:ln>
          </cx:spPr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000" b="1">
                    <a:latin typeface="Garamond" panose="02020404030301010803" pitchFamily="18" charset="0"/>
                    <a:ea typeface="Garamond" panose="02020404030301010803" pitchFamily="18" charset="0"/>
                    <a:cs typeface="Garamond" panose="02020404030301010803" pitchFamily="18" charset="0"/>
                  </a:defRPr>
                </a:pPr>
                <a:endParaRPr lang="en-US" sz="10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Garamond" panose="02020404030301010803" pitchFamily="18" charset="0"/>
                </a:endParaRPr>
              </a:p>
            </cx:txPr>
          </cx:dataLabels>
          <cx:dataId val="0"/>
          <cx:layoutPr>
            <cx:binning intervalClosed="r">
              <cx:binCount val="20"/>
            </cx:binning>
          </cx:layoutPr>
        </cx:series>
      </cx:plotAreaRegion>
      <cx:axis id="0">
        <cx:catScaling gapWidth="0"/>
        <cx:title>
          <cx:tx>
            <cx:txData>
              <cx:v>Duration in Days (Failed Campaigns)</cx:v>
            </cx:txData>
          </cx:tx>
          <cx:txPr>
            <a:bodyPr vertOverflow="overflow" horzOverflow="overflow" wrap="square" lIns="0" tIns="0" rIns="0" bIns="0"/>
            <a:lstStyle/>
            <a:p>
              <a:pPr algn="ctr" rtl="0">
                <a:defRPr sz="1600" b="1" i="0">
                  <a:solidFill>
                    <a:srgbClr val="595959"/>
                  </a:solidFill>
                  <a:latin typeface="Garamond" panose="02020404030301010803" pitchFamily="18" charset="0"/>
                  <a:ea typeface="Garamond" panose="02020404030301010803" pitchFamily="18" charset="0"/>
                  <a:cs typeface="Garamond" panose="02020404030301010803" pitchFamily="18" charset="0"/>
                </a:defRPr>
              </a:pPr>
              <a:r>
                <a:rPr lang="en-US" sz="1600" b="1">
                  <a:latin typeface="Garamond" panose="02020404030301010803" pitchFamily="18" charset="0"/>
                </a:rPr>
                <a:t>Duration in Days (Failed Campaigns)</a:t>
              </a:r>
            </a:p>
          </cx:txPr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595959"/>
                </a:solidFill>
                <a:latin typeface="Garamond" panose="02020404030301010803" pitchFamily="18" charset="0"/>
                <a:ea typeface="Garamond" panose="02020404030301010803" pitchFamily="18" charset="0"/>
                <a:cs typeface="Garamond" panose="02020404030301010803" pitchFamily="18" charset="0"/>
              </a:defRPr>
            </a:pPr>
            <a:endParaRPr lang="en-US" sz="1200" b="0">
              <a:latin typeface="Garamond" panose="02020404030301010803" pitchFamily="18" charset="0"/>
            </a:endParaRPr>
          </a:p>
        </cx:txPr>
      </cx:axis>
      <cx:axis id="1">
        <cx:valScaling/>
        <cx:title>
          <cx:tx>
            <cx:txData>
              <cx:v>Frequency</cx:v>
            </cx:txData>
          </cx:tx>
          <cx:txPr>
            <a:bodyPr vertOverflow="overflow" horzOverflow="overflow" wrap="square" lIns="0" tIns="0" rIns="0" bIns="0"/>
            <a:lstStyle/>
            <a:p>
              <a:pPr algn="ctr" rtl="0">
                <a:defRPr sz="1600" b="1" i="0">
                  <a:solidFill>
                    <a:srgbClr val="595959"/>
                  </a:solidFill>
                  <a:latin typeface="Garamond" panose="02020404030301010803" pitchFamily="18" charset="0"/>
                  <a:ea typeface="Garamond" panose="02020404030301010803" pitchFamily="18" charset="0"/>
                  <a:cs typeface="Garamond" panose="02020404030301010803" pitchFamily="18" charset="0"/>
                </a:defRPr>
              </a:pPr>
              <a:r>
                <a:rPr lang="en-US" sz="1600" b="1">
                  <a:latin typeface="Garamond" panose="02020404030301010803" pitchFamily="18" charset="0"/>
                </a:rPr>
                <a:t>Frequency</a:t>
              </a:r>
            </a:p>
          </cx:txPr>
        </cx:title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rgbClr val="595959"/>
                </a:solidFill>
                <a:latin typeface="Garamond" panose="02020404030301010803" pitchFamily="18" charset="0"/>
                <a:ea typeface="Garamond" panose="02020404030301010803" pitchFamily="18" charset="0"/>
                <a:cs typeface="Garamond" panose="02020404030301010803" pitchFamily="18" charset="0"/>
              </a:defRPr>
            </a:pPr>
            <a:endParaRPr lang="en-US">
              <a:latin typeface="Garamond" panose="02020404030301010803" pitchFamily="18" charset="0"/>
            </a:endParaRPr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8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_rels/drawing9.xml.rels><?xml version="1.0" encoding="UTF-8" standalone="yes"?>
<Relationships xmlns="http://schemas.openxmlformats.org/package/2006/relationships"><Relationship Id="rId2" Type="http://schemas.microsoft.com/office/2014/relationships/chartEx" Target="../charts/chartEx4.xml"/><Relationship Id="rId1" Type="http://schemas.microsoft.com/office/2014/relationships/chartEx" Target="../charts/chartEx3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1.xml.rels><?xml version="1.0" encoding="UTF-8" standalone="yes"?>
<Relationships xmlns="http://schemas.openxmlformats.org/package/2006/relationships"><Relationship Id="rId2" Type="http://schemas.microsoft.com/office/2014/relationships/chartEx" Target="../charts/chartEx6.xml"/><Relationship Id="rId1" Type="http://schemas.microsoft.com/office/2014/relationships/chartEx" Target="../charts/chartEx5.xml"/></Relationships>
</file>

<file path=xl/drawings/_rels/drawing12.xml.rels><?xml version="1.0" encoding="UTF-8" standalone="yes"?>
<Relationships xmlns="http://schemas.openxmlformats.org/package/2006/relationships"><Relationship Id="rId2" Type="http://schemas.microsoft.com/office/2014/relationships/chartEx" Target="../charts/chartEx8.xml"/><Relationship Id="rId1" Type="http://schemas.microsoft.com/office/2014/relationships/chartEx" Target="../charts/chartEx7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10582</xdr:colOff>
      <xdr:row>3</xdr:row>
      <xdr:rowOff>0</xdr:rowOff>
    </xdr:from>
    <xdr:to>
      <xdr:col>18</xdr:col>
      <xdr:colOff>10583</xdr:colOff>
      <xdr:row>27</xdr:row>
      <xdr:rowOff>190500</xdr:rowOff>
    </xdr:to>
    <xdr:graphicFrame macro="">
      <xdr:nvGraphicFramePr>
        <xdr:cNvPr id="4" name="OutcomesPercentCategoriesChart">
          <a:extLst>
            <a:ext uri="{FF2B5EF4-FFF2-40B4-BE49-F238E27FC236}">
              <a16:creationId xmlns:a16="http://schemas.microsoft.com/office/drawing/2014/main" id="{C2FB72B0-607E-084A-77D8-5038EAF3A6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26458</xdr:colOff>
      <xdr:row>30</xdr:row>
      <xdr:rowOff>9525</xdr:rowOff>
    </xdr:from>
    <xdr:to>
      <xdr:col>18</xdr:col>
      <xdr:colOff>42333</xdr:colOff>
      <xdr:row>55</xdr:row>
      <xdr:rowOff>1</xdr:rowOff>
    </xdr:to>
    <xdr:graphicFrame macro="">
      <xdr:nvGraphicFramePr>
        <xdr:cNvPr id="2" name="OutcomesCategoriesChart">
          <a:extLst>
            <a:ext uri="{FF2B5EF4-FFF2-40B4-BE49-F238E27FC236}">
              <a16:creationId xmlns:a16="http://schemas.microsoft.com/office/drawing/2014/main" id="{4BB092BE-8A29-565F-D403-238468A5DA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825499</xdr:colOff>
      <xdr:row>3</xdr:row>
      <xdr:rowOff>10583</xdr:rowOff>
    </xdr:from>
    <xdr:to>
      <xdr:col>20</xdr:col>
      <xdr:colOff>74082</xdr:colOff>
      <xdr:row>39</xdr:row>
      <xdr:rowOff>10583</xdr:rowOff>
    </xdr:to>
    <xdr:graphicFrame macro="">
      <xdr:nvGraphicFramePr>
        <xdr:cNvPr id="2" name="MeanFundingRatioChart">
          <a:extLst>
            <a:ext uri="{FF2B5EF4-FFF2-40B4-BE49-F238E27FC236}">
              <a16:creationId xmlns:a16="http://schemas.microsoft.com/office/drawing/2014/main" id="{F0B38231-3398-EA3A-8F40-5884C245F2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19842</xdr:colOff>
      <xdr:row>15</xdr:row>
      <xdr:rowOff>12171</xdr:rowOff>
    </xdr:from>
    <xdr:to>
      <xdr:col>7</xdr:col>
      <xdr:colOff>0</xdr:colOff>
      <xdr:row>36</xdr:row>
      <xdr:rowOff>21167</xdr:rowOff>
    </xdr:to>
    <xdr:graphicFrame macro="">
      <xdr:nvGraphicFramePr>
        <xdr:cNvPr id="3" name="OutcomesWeekdayChart">
          <a:extLst>
            <a:ext uri="{FF2B5EF4-FFF2-40B4-BE49-F238E27FC236}">
              <a16:creationId xmlns:a16="http://schemas.microsoft.com/office/drawing/2014/main" id="{35FEF2B8-FC08-79FA-46A0-D51CE9F757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10584</xdr:colOff>
      <xdr:row>15</xdr:row>
      <xdr:rowOff>10584</xdr:rowOff>
    </xdr:from>
    <xdr:to>
      <xdr:col>15</xdr:col>
      <xdr:colOff>10583</xdr:colOff>
      <xdr:row>36</xdr:row>
      <xdr:rowOff>21168</xdr:rowOff>
    </xdr:to>
    <xdr:graphicFrame macro="">
      <xdr:nvGraphicFramePr>
        <xdr:cNvPr id="2" name="OutcomesWeekdayPercentChart">
          <a:extLst>
            <a:ext uri="{FF2B5EF4-FFF2-40B4-BE49-F238E27FC236}">
              <a16:creationId xmlns:a16="http://schemas.microsoft.com/office/drawing/2014/main" id="{CCC1C9FE-E680-AF47-9493-7CFDEDA0E0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199702</xdr:rowOff>
    </xdr:from>
    <xdr:to>
      <xdr:col>7</xdr:col>
      <xdr:colOff>10584</xdr:colOff>
      <xdr:row>41</xdr:row>
      <xdr:rowOff>190499</xdr:rowOff>
    </xdr:to>
    <xdr:graphicFrame macro="">
      <xdr:nvGraphicFramePr>
        <xdr:cNvPr id="2" name="MonthsPivotChart">
          <a:extLst>
            <a:ext uri="{FF2B5EF4-FFF2-40B4-BE49-F238E27FC236}">
              <a16:creationId xmlns:a16="http://schemas.microsoft.com/office/drawing/2014/main" id="{77F8351D-DAB8-39D2-8F0A-FD3B5275C1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10584</xdr:colOff>
      <xdr:row>20</xdr:row>
      <xdr:rowOff>10584</xdr:rowOff>
    </xdr:from>
    <xdr:to>
      <xdr:col>16</xdr:col>
      <xdr:colOff>0</xdr:colOff>
      <xdr:row>42</xdr:row>
      <xdr:rowOff>10583</xdr:rowOff>
    </xdr:to>
    <xdr:graphicFrame macro="">
      <xdr:nvGraphicFramePr>
        <xdr:cNvPr id="3" name="OutcomesPercentMonthsChart">
          <a:extLst>
            <a:ext uri="{FF2B5EF4-FFF2-40B4-BE49-F238E27FC236}">
              <a16:creationId xmlns:a16="http://schemas.microsoft.com/office/drawing/2014/main" id="{DF0CD648-D23D-7A4C-B6F1-FB1FE76535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20864</xdr:rowOff>
    </xdr:from>
    <xdr:to>
      <xdr:col>8</xdr:col>
      <xdr:colOff>0</xdr:colOff>
      <xdr:row>38</xdr:row>
      <xdr:rowOff>10583</xdr:rowOff>
    </xdr:to>
    <xdr:graphicFrame macro="">
      <xdr:nvGraphicFramePr>
        <xdr:cNvPr id="3" name="OutcomesYearsChart">
          <a:extLst>
            <a:ext uri="{FF2B5EF4-FFF2-40B4-BE49-F238E27FC236}">
              <a16:creationId xmlns:a16="http://schemas.microsoft.com/office/drawing/2014/main" id="{579253E5-4A0B-EDF1-1D2F-6DA33F66DB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811895</xdr:colOff>
      <xdr:row>37</xdr:row>
      <xdr:rowOff>199875</xdr:rowOff>
    </xdr:to>
    <xdr:graphicFrame macro="">
      <xdr:nvGraphicFramePr>
        <xdr:cNvPr id="2" name="OutcomePercentYearsChart">
          <a:extLst>
            <a:ext uri="{FF2B5EF4-FFF2-40B4-BE49-F238E27FC236}">
              <a16:creationId xmlns:a16="http://schemas.microsoft.com/office/drawing/2014/main" id="{2626AFEB-418E-B245-A86A-52EEEFA683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15874</xdr:colOff>
      <xdr:row>8</xdr:row>
      <xdr:rowOff>200024</xdr:rowOff>
    </xdr:from>
    <xdr:to>
      <xdr:col>7</xdr:col>
      <xdr:colOff>0</xdr:colOff>
      <xdr:row>34</xdr:row>
      <xdr:rowOff>10582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1A53BA5-0A93-FF3B-913A-ECC26BEDB3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15998</xdr:colOff>
      <xdr:row>9</xdr:row>
      <xdr:rowOff>10555</xdr:rowOff>
    </xdr:from>
    <xdr:to>
      <xdr:col>8</xdr:col>
      <xdr:colOff>0</xdr:colOff>
      <xdr:row>42</xdr:row>
      <xdr:rowOff>0</xdr:rowOff>
    </xdr:to>
    <xdr:graphicFrame macro="">
      <xdr:nvGraphicFramePr>
        <xdr:cNvPr id="2" name="GoalAnalysisChart">
          <a:extLst>
            <a:ext uri="{FF2B5EF4-FFF2-40B4-BE49-F238E27FC236}">
              <a16:creationId xmlns:a16="http://schemas.microsoft.com/office/drawing/2014/main" id="{C1B91569-FDC8-C68B-1B72-BD943DEE57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1579417</xdr:colOff>
      <xdr:row>10</xdr:row>
      <xdr:rowOff>0</xdr:rowOff>
    </xdr:from>
    <xdr:to>
      <xdr:col>18</xdr:col>
      <xdr:colOff>12700</xdr:colOff>
      <xdr:row>33</xdr:row>
      <xdr:rowOff>0</xdr:rowOff>
    </xdr:to>
    <xdr:graphicFrame macro="">
      <xdr:nvGraphicFramePr>
        <xdr:cNvPr id="3" name="SuccesfulCampaignBreakdownChart">
          <a:extLst>
            <a:ext uri="{FF2B5EF4-FFF2-40B4-BE49-F238E27FC236}">
              <a16:creationId xmlns:a16="http://schemas.microsoft.com/office/drawing/2014/main" id="{13A85FD6-91CF-E678-A788-532727AD29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1582883</xdr:colOff>
      <xdr:row>33</xdr:row>
      <xdr:rowOff>1</xdr:rowOff>
    </xdr:from>
    <xdr:to>
      <xdr:col>17</xdr:col>
      <xdr:colOff>812800</xdr:colOff>
      <xdr:row>56</xdr:row>
      <xdr:rowOff>1</xdr:rowOff>
    </xdr:to>
    <xdr:graphicFrame macro="">
      <xdr:nvGraphicFramePr>
        <xdr:cNvPr id="4" name="AllCampaignsBreakdownChart">
          <a:extLst>
            <a:ext uri="{FF2B5EF4-FFF2-40B4-BE49-F238E27FC236}">
              <a16:creationId xmlns:a16="http://schemas.microsoft.com/office/drawing/2014/main" id="{A614F646-2429-8E3E-3796-802BE18E2E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825498</xdr:colOff>
      <xdr:row>17</xdr:row>
      <xdr:rowOff>9523</xdr:rowOff>
    </xdr:from>
    <xdr:to>
      <xdr:col>19</xdr:col>
      <xdr:colOff>12700</xdr:colOff>
      <xdr:row>41</xdr:row>
      <xdr:rowOff>12700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PledgesSuccessDistributionChart">
              <a:extLst>
                <a:ext uri="{FF2B5EF4-FFF2-40B4-BE49-F238E27FC236}">
                  <a16:creationId xmlns:a16="http://schemas.microsoft.com/office/drawing/2014/main" id="{5A8C81D5-250A-514D-89C8-29A22B2B9AD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905998" y="3463923"/>
              <a:ext cx="9601202" cy="487997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12</xdr:col>
      <xdr:colOff>26459</xdr:colOff>
      <xdr:row>41</xdr:row>
      <xdr:rowOff>30692</xdr:rowOff>
    </xdr:from>
    <xdr:to>
      <xdr:col>19</xdr:col>
      <xdr:colOff>12700</xdr:colOff>
      <xdr:row>64</xdr:row>
      <xdr:rowOff>190500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PledgesFaillureDistributionChart">
              <a:extLst>
                <a:ext uri="{FF2B5EF4-FFF2-40B4-BE49-F238E27FC236}">
                  <a16:creationId xmlns:a16="http://schemas.microsoft.com/office/drawing/2014/main" id="{BDA8347D-102E-BF4F-B826-6D669ED73EE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932459" y="8361892"/>
              <a:ext cx="9574741" cy="483340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825498</xdr:colOff>
      <xdr:row>17</xdr:row>
      <xdr:rowOff>9523</xdr:rowOff>
    </xdr:from>
    <xdr:to>
      <xdr:col>19</xdr:col>
      <xdr:colOff>12700</xdr:colOff>
      <xdr:row>41</xdr:row>
      <xdr:rowOff>12700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PledgesSuccessDistributionChart">
              <a:extLst>
                <a:ext uri="{FF2B5EF4-FFF2-40B4-BE49-F238E27FC236}">
                  <a16:creationId xmlns:a16="http://schemas.microsoft.com/office/drawing/2014/main" id="{D59C5CAB-2D49-5567-4574-D0CCE958732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905998" y="3463923"/>
              <a:ext cx="9601202" cy="487997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12</xdr:col>
      <xdr:colOff>15875</xdr:colOff>
      <xdr:row>41</xdr:row>
      <xdr:rowOff>9525</xdr:rowOff>
    </xdr:from>
    <xdr:to>
      <xdr:col>19</xdr:col>
      <xdr:colOff>25400</xdr:colOff>
      <xdr:row>65</xdr:row>
      <xdr:rowOff>12700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PledgesFaillureDistributionChart">
              <a:extLst>
                <a:ext uri="{FF2B5EF4-FFF2-40B4-BE49-F238E27FC236}">
                  <a16:creationId xmlns:a16="http://schemas.microsoft.com/office/drawing/2014/main" id="{D9524892-82EE-9FC9-692C-A1FEF6F7F50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921875" y="8340725"/>
              <a:ext cx="9598025" cy="4879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11701</xdr:colOff>
      <xdr:row>10</xdr:row>
      <xdr:rowOff>18801</xdr:rowOff>
    </xdr:from>
    <xdr:to>
      <xdr:col>6</xdr:col>
      <xdr:colOff>10583</xdr:colOff>
      <xdr:row>32</xdr:row>
      <xdr:rowOff>10583</xdr:rowOff>
    </xdr:to>
    <xdr:graphicFrame macro="">
      <xdr:nvGraphicFramePr>
        <xdr:cNvPr id="3" name="OutcomeByStdDevPivotChart">
          <a:extLst>
            <a:ext uri="{FF2B5EF4-FFF2-40B4-BE49-F238E27FC236}">
              <a16:creationId xmlns:a16="http://schemas.microsoft.com/office/drawing/2014/main" id="{2F68B430-FBA6-EF2A-316A-C57B0F28D6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17</xdr:row>
      <xdr:rowOff>13757</xdr:rowOff>
    </xdr:from>
    <xdr:to>
      <xdr:col>18</xdr:col>
      <xdr:colOff>0</xdr:colOff>
      <xdr:row>39</xdr:row>
      <xdr:rowOff>139700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BackersSuccessDistributionChart">
              <a:extLst>
                <a:ext uri="{FF2B5EF4-FFF2-40B4-BE49-F238E27FC236}">
                  <a16:creationId xmlns:a16="http://schemas.microsoft.com/office/drawing/2014/main" id="{679BB87D-D36E-8D05-87BA-70D57F8C79D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906000" y="3468157"/>
              <a:ext cx="8763000" cy="459634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12</xdr:col>
      <xdr:colOff>12700</xdr:colOff>
      <xdr:row>41</xdr:row>
      <xdr:rowOff>34924</xdr:rowOff>
    </xdr:from>
    <xdr:to>
      <xdr:col>18</xdr:col>
      <xdr:colOff>0</xdr:colOff>
      <xdr:row>65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BackersFaillureDistributionChart">
              <a:extLst>
                <a:ext uri="{FF2B5EF4-FFF2-40B4-BE49-F238E27FC236}">
                  <a16:creationId xmlns:a16="http://schemas.microsoft.com/office/drawing/2014/main" id="{1B77AA8A-CDD1-88E0-ED6A-29F4A042811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918700" y="8366124"/>
              <a:ext cx="8750300" cy="484187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26458</xdr:colOff>
      <xdr:row>17</xdr:row>
      <xdr:rowOff>51857</xdr:rowOff>
    </xdr:from>
    <xdr:to>
      <xdr:col>18</xdr:col>
      <xdr:colOff>12700</xdr:colOff>
      <xdr:row>41</xdr:row>
      <xdr:rowOff>12700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BackersSuccessDistributionChart">
              <a:extLst>
                <a:ext uri="{FF2B5EF4-FFF2-40B4-BE49-F238E27FC236}">
                  <a16:creationId xmlns:a16="http://schemas.microsoft.com/office/drawing/2014/main" id="{9377C0A1-111D-B240-85CD-F10E7EF528F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932458" y="3506257"/>
              <a:ext cx="8749242" cy="483764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12</xdr:col>
      <xdr:colOff>38100</xdr:colOff>
      <xdr:row>41</xdr:row>
      <xdr:rowOff>38100</xdr:rowOff>
    </xdr:from>
    <xdr:to>
      <xdr:col>18</xdr:col>
      <xdr:colOff>25400</xdr:colOff>
      <xdr:row>65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BackersFaillureDistributionChart">
              <a:extLst>
                <a:ext uri="{FF2B5EF4-FFF2-40B4-BE49-F238E27FC236}">
                  <a16:creationId xmlns:a16="http://schemas.microsoft.com/office/drawing/2014/main" id="{C5D645AD-832C-144B-BF79-9405F3416F9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944100" y="8369300"/>
              <a:ext cx="8750300" cy="48387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11791</xdr:rowOff>
    </xdr:from>
    <xdr:to>
      <xdr:col>7</xdr:col>
      <xdr:colOff>805446</xdr:colOff>
      <xdr:row>36</xdr:row>
      <xdr:rowOff>0</xdr:rowOff>
    </xdr:to>
    <xdr:graphicFrame macro="">
      <xdr:nvGraphicFramePr>
        <xdr:cNvPr id="3" name="DurationOutcomesChart">
          <a:extLst>
            <a:ext uri="{FF2B5EF4-FFF2-40B4-BE49-F238E27FC236}">
              <a16:creationId xmlns:a16="http://schemas.microsoft.com/office/drawing/2014/main" id="{7A497EC6-8FCA-65D4-344E-7825BC227A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14</xdr:row>
      <xdr:rowOff>0</xdr:rowOff>
    </xdr:from>
    <xdr:to>
      <xdr:col>17</xdr:col>
      <xdr:colOff>3934</xdr:colOff>
      <xdr:row>35</xdr:row>
      <xdr:rowOff>179916</xdr:rowOff>
    </xdr:to>
    <xdr:graphicFrame macro="">
      <xdr:nvGraphicFramePr>
        <xdr:cNvPr id="2" name="OutcomesPercentDurationChart">
          <a:extLst>
            <a:ext uri="{FF2B5EF4-FFF2-40B4-BE49-F238E27FC236}">
              <a16:creationId xmlns:a16="http://schemas.microsoft.com/office/drawing/2014/main" id="{9F58F326-30AF-7D4A-9E23-7FE4794CDC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4536</xdr:colOff>
      <xdr:row>14</xdr:row>
      <xdr:rowOff>23885</xdr:rowOff>
    </xdr:from>
    <xdr:to>
      <xdr:col>8</xdr:col>
      <xdr:colOff>0</xdr:colOff>
      <xdr:row>35</xdr:row>
      <xdr:rowOff>201082</xdr:rowOff>
    </xdr:to>
    <xdr:graphicFrame macro="">
      <xdr:nvGraphicFramePr>
        <xdr:cNvPr id="4" name="OutcomesCountriesChart">
          <a:extLst>
            <a:ext uri="{FF2B5EF4-FFF2-40B4-BE49-F238E27FC236}">
              <a16:creationId xmlns:a16="http://schemas.microsoft.com/office/drawing/2014/main" id="{CC5D21A7-3285-55E1-D002-FD1167A9FF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14</xdr:row>
      <xdr:rowOff>1</xdr:rowOff>
    </xdr:from>
    <xdr:to>
      <xdr:col>16</xdr:col>
      <xdr:colOff>819452</xdr:colOff>
      <xdr:row>35</xdr:row>
      <xdr:rowOff>189294</xdr:rowOff>
    </xdr:to>
    <xdr:graphicFrame macro="">
      <xdr:nvGraphicFramePr>
        <xdr:cNvPr id="2" name="OutcomesPercentCountriesChart">
          <a:extLst>
            <a:ext uri="{FF2B5EF4-FFF2-40B4-BE49-F238E27FC236}">
              <a16:creationId xmlns:a16="http://schemas.microsoft.com/office/drawing/2014/main" id="{994B65A2-031C-9C48-82B6-576FA3A5C3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cholas George" refreshedDate="45179.581455092593" createdVersion="8" refreshedVersion="8" minRefreshableVersion="3" recordCount="1000" xr:uid="{C0BAF6A5-1D82-6941-8F3F-57F8232B9153}">
  <cacheSource type="worksheet">
    <worksheetSource ref="A1:P1001" sheet="Crowdfunding"/>
  </cacheSource>
  <cacheFields count="18">
    <cacheField name="id" numFmtId="0">
      <sharedItems containsSemiMixedTypes="0" containsString="0" containsNumber="1" containsInteger="1" minValue="0" maxValue="999"/>
    </cacheField>
    <cacheField name="name" numFmtId="0">
      <sharedItems/>
    </cacheField>
    <cacheField name="blurb" numFmtId="0">
      <sharedItems/>
    </cacheField>
    <cacheField name="goal" numFmtId="1">
      <sharedItems containsSemiMixedTypes="0" containsString="0" containsNumber="1" containsInteger="1" minValue="100" maxValue="199200"/>
    </cacheField>
    <cacheField name="pledged" numFmtId="1">
      <sharedItems containsSemiMixedTypes="0" containsString="0" containsNumber="1" containsInteger="1" minValue="0" maxValue="199110"/>
    </cacheField>
    <cacheField name="Percent Funded" numFmtId="9">
      <sharedItems containsSemiMixedTypes="0" containsString="0" containsNumber="1" minValue="0" maxValue="23.388333333333332"/>
    </cacheField>
    <cacheField name="outcome" numFmtId="0">
      <sharedItems count="4">
        <s v="failed"/>
        <s v="successful"/>
        <s v="live"/>
        <s v="canceled"/>
      </sharedItems>
    </cacheField>
    <cacheField name="backers_count" numFmtId="0">
      <sharedItems containsSemiMixedTypes="0" containsString="0" containsNumber="1" containsInteger="1" minValue="0" maxValue="7295"/>
    </cacheField>
    <cacheField name="Average Donation" numFmtId="2">
      <sharedItems containsSemiMixedTypes="0" containsString="0" containsNumber="1" minValue="0" maxValue="113.17073170731707"/>
    </cacheField>
    <cacheField name="country" numFmtId="0">
      <sharedItems count="7">
        <s v="CA"/>
        <s v="US"/>
        <s v="AU"/>
        <s v="DK"/>
        <s v="GB"/>
        <s v="CH"/>
        <s v="IT"/>
      </sharedItems>
    </cacheField>
    <cacheField name="currency" numFmtId="0">
      <sharedItems/>
    </cacheField>
    <cacheField name="launched_at" numFmtId="0">
      <sharedItems containsSemiMixedTypes="0" containsString="0" containsNumber="1" containsInteger="1" minValue="1263016800" maxValue="1580104800"/>
    </cacheField>
    <cacheField name="deadline" numFmtId="0">
      <sharedItems containsSemiMixedTypes="0" containsString="0" containsNumber="1" containsInteger="1" minValue="1263016800" maxValue="1581314400"/>
    </cacheField>
    <cacheField name="Date Created Conversion" numFmtId="14">
      <sharedItems containsSemiMixedTypes="0" containsNonDate="0" containsDate="1" containsString="0" minDate="2010-01-09T06:00:00" maxDate="2020-01-27T06:00:00" count="879">
        <d v="2015-11-28T06:00:00"/>
        <d v="2014-08-19T05:00:00"/>
        <d v="2013-11-17T06:00:00"/>
        <d v="2019-08-11T05:00:00"/>
        <d v="2019-01-20T06:00:00"/>
        <d v="2012-08-28T05:00:00"/>
        <d v="2017-09-13T05:00:00"/>
        <d v="2015-08-13T05:00:00"/>
        <d v="2010-08-09T05:00:00"/>
        <d v="2013-09-19T05:00:00"/>
        <d v="2010-08-14T05:00:00"/>
        <d v="2010-09-21T05:00:00"/>
        <d v="2019-10-22T05:00:00"/>
        <d v="2016-06-11T05:00:00"/>
        <d v="2012-03-06T06:00:00"/>
        <d v="2019-12-10T06:00:00"/>
        <d v="2014-01-22T06:00:00"/>
        <d v="2011-01-12T06:00:00"/>
        <d v="2018-09-08T05:00:00"/>
        <d v="2019-03-04T06:00:00"/>
        <d v="2014-07-28T05:00:00"/>
        <d v="2011-08-15T05:00:00"/>
        <d v="2018-04-03T05:00:00"/>
        <d v="2019-02-14T06:00:00"/>
        <d v="2014-06-21T05:00:00"/>
        <d v="2011-05-18T05:00:00"/>
        <d v="2018-07-31T05:00:00"/>
        <d v="2015-10-03T05:00:00"/>
        <d v="2010-02-09T06:00:00"/>
        <d v="2018-07-20T05:00:00"/>
        <d v="2019-05-24T05:00:00"/>
        <d v="2016-01-05T06:00:00"/>
        <d v="2018-01-10T06:00:00"/>
        <d v="2014-10-05T05:00:00"/>
        <d v="2017-03-23T05:00:00"/>
        <d v="2019-01-19T06:00:00"/>
        <d v="2011-02-26T06:00:00"/>
        <d v="2019-10-06T05:00:00"/>
        <d v="2010-10-18T05:00:00"/>
        <d v="2013-02-25T06:00:00"/>
        <d v="2010-06-05T05:00:00"/>
        <d v="2012-09-04T05:00:00"/>
        <d v="2011-07-04T05:00:00"/>
        <d v="2014-07-24T05:00:00"/>
        <d v="2019-03-17T05:00:00"/>
        <d v="2016-11-02T05:00:00"/>
        <d v="2010-07-08T05:00:00"/>
        <d v="2014-03-29T05:00:00"/>
        <d v="2015-06-25T05:00:00"/>
        <d v="2019-10-20T05:00:00"/>
        <d v="2013-08-01T05:00:00"/>
        <d v="2012-03-27T05:00:00"/>
        <d v="2010-09-15T05:00:00"/>
        <d v="2014-05-20T05:00:00"/>
        <d v="2018-03-11T06:00:00"/>
        <d v="2018-07-30T05:00:00"/>
        <d v="2015-01-10T06:00:00"/>
        <d v="2017-09-01T05:00:00"/>
        <d v="2015-09-21T05:00:00"/>
        <d v="2017-06-12T05:00:00"/>
        <d v="2012-07-17T05:00:00"/>
        <d v="2011-02-21T06:00:00"/>
        <d v="2015-06-05T05:00:00"/>
        <d v="2017-04-28T05:00:00"/>
        <d v="2018-07-02T05:00:00"/>
        <d v="2011-01-27T06:00:00"/>
        <d v="2015-04-08T05:00:00"/>
        <d v="2010-01-25T06:00:00"/>
        <d v="2017-07-27T05:00:00"/>
        <d v="2010-12-19T06:00:00"/>
        <d v="2010-11-02T05:00:00"/>
        <d v="2019-11-30T06:00:00"/>
        <d v="2015-07-01T05:00:00"/>
        <d v="2016-11-27T06:00:00"/>
        <d v="2016-03-27T05:00:00"/>
        <d v="2018-07-15T05:00:00"/>
        <d v="2015-01-23T06:00:00"/>
        <d v="2010-09-27T05:00:00"/>
        <d v="2018-04-16T05:00:00"/>
        <d v="2018-06-16T05:00:00"/>
        <d v="2017-08-29T05:00:00"/>
        <d v="2017-11-23T06:00:00"/>
        <d v="2019-01-17T06:00:00"/>
        <d v="2016-07-28T05:00:00"/>
        <d v="2012-07-28T05:00:00"/>
        <d v="2011-09-11T05:00:00"/>
        <d v="2015-05-04T05:00:00"/>
        <d v="2011-03-08T06:00:00"/>
        <d v="2015-04-16T05:00:00"/>
        <d v="2010-04-15T05:00:00"/>
        <d v="2016-02-25T06:00:00"/>
        <d v="2016-08-06T05:00:00"/>
        <d v="2010-06-23T05:00:00"/>
        <d v="2012-10-20T05:00:00"/>
        <d v="2019-04-07T05:00:00"/>
        <d v="2019-10-14T05:00:00"/>
        <d v="2011-03-10T06:00:00"/>
        <d v="2015-07-27T05:00:00"/>
        <d v="2014-11-25T06:00:00"/>
        <d v="2011-10-19T05:00:00"/>
        <d v="2015-02-21T06:00:00"/>
        <d v="2018-05-14T05:00:00"/>
        <d v="2010-10-24T05:00:00"/>
        <d v="2017-05-23T05:00:00"/>
        <d v="2013-04-02T05:00:00"/>
        <d v="2019-09-08T05:00:00"/>
        <d v="2018-04-23T05:00:00"/>
        <d v="2012-04-06T05:00:00"/>
        <d v="2014-01-12T06:00:00"/>
        <d v="2018-09-11T05:00:00"/>
        <d v="2012-09-22T05:00:00"/>
        <d v="2014-08-24T05:00:00"/>
        <d v="2017-09-12T05:00:00"/>
        <d v="2019-04-09T05:00:00"/>
        <d v="2017-11-17T06:00:00"/>
        <d v="2015-09-18T05:00:00"/>
        <d v="2011-09-22T05:00:00"/>
        <d v="2014-01-26T06:00:00"/>
        <d v="2014-06-16T05:00:00"/>
        <d v="2015-04-17T05:00:00"/>
        <d v="2014-11-27T06:00:00"/>
        <d v="2015-11-24T06:00:00"/>
        <d v="2019-05-13T05:00:00"/>
        <d v="2018-09-19T05:00:00"/>
        <d v="2016-08-14T05:00:00"/>
        <d v="2010-05-12T05:00:00"/>
        <d v="2010-08-27T05:00:00"/>
        <d v="2015-02-03T06:00:00"/>
        <d v="2011-10-26T05:00:00"/>
        <d v="2013-11-29T06:00:00"/>
        <d v="2018-01-12T06:00:00"/>
        <d v="2011-08-12T05:00:00"/>
        <d v="2011-06-19T05:00:00"/>
        <d v="2013-03-07T06:00:00"/>
        <d v="2014-06-07T05:00:00"/>
        <d v="2010-10-06T05:00:00"/>
        <d v="2012-09-28T05:00:00"/>
        <d v="2015-04-21T05:00:00"/>
        <d v="2018-02-25T06:00:00"/>
        <d v="2015-06-12T05:00:00"/>
        <d v="2010-06-28T05:00:00"/>
        <d v="2019-06-17T05:00:00"/>
        <d v="2014-09-07T05:00:00"/>
        <d v="2011-11-08T06:00:00"/>
        <d v="2016-06-13T05:00:00"/>
        <d v="2017-07-25T05:00:00"/>
        <d v="2013-01-01T06:00:00"/>
        <d v="2018-12-16T06:00:00"/>
        <d v="2014-06-09T05:00:00"/>
        <d v="2017-02-17T06:00:00"/>
        <d v="2012-10-19T05:00:00"/>
        <d v="2016-05-12T05:00:00"/>
        <d v="2010-03-25T05:00:00"/>
        <d v="2019-10-05T05:00:00"/>
        <d v="2013-12-30T06:00:00"/>
        <d v="2015-12-08T06:00:00"/>
        <d v="2019-03-27T05:00:00"/>
        <d v="2019-04-27T05:00:00"/>
        <d v="2015-09-23T05:00:00"/>
        <d v="2018-12-08T06:00:00"/>
        <d v="2017-10-20T05:00:00"/>
        <d v="2017-10-08T05:00:00"/>
        <d v="2017-08-01T05:00:00"/>
        <d v="2010-12-22T06:00:00"/>
        <d v="2013-06-10T05:00:00"/>
        <d v="2019-02-22T06:00:00"/>
        <d v="2012-06-17T05:00:00"/>
        <d v="2017-08-03T05:00:00"/>
        <d v="2014-03-20T05:00:00"/>
        <d v="2014-07-19T05:00:00"/>
        <d v="2013-05-18T05:00:00"/>
        <d v="2015-10-05T05:00:00"/>
        <d v="2016-08-31T05:00:00"/>
        <d v="2016-09-03T05:00:00"/>
        <d v="2010-11-15T06:00:00"/>
        <d v="2017-09-21T05:00:00"/>
        <d v="2013-03-17T05:00:00"/>
        <d v="2010-03-22T05:00:00"/>
        <d v="2017-10-04T05:00:00"/>
        <d v="2019-06-15T05:00:00"/>
        <d v="2010-09-09T05:00:00"/>
        <d v="2019-05-03T05:00:00"/>
        <d v="2018-05-13T05:00:00"/>
        <d v="2014-05-23T05:00:00"/>
        <d v="2013-02-23T06:00:00"/>
        <d v="2014-12-02T06:00:00"/>
        <d v="2016-03-04T06:00:00"/>
        <d v="2013-06-04T05:00:00"/>
        <d v="2019-03-12T05:00:00"/>
        <d v="2014-06-27T05:00:00"/>
        <d v="2018-04-08T05:00:00"/>
        <d v="2015-09-14T05:00:00"/>
        <d v="2018-07-29T05:00:00"/>
        <d v="2017-06-23T05:00:00"/>
        <d v="2010-08-06T05:00:00"/>
        <d v="2015-07-07T05:00:00"/>
        <d v="2014-07-25T05:00:00"/>
        <d v="2011-10-02T05:00:00"/>
        <d v="2017-01-17T06:00:00"/>
        <d v="2011-04-03T05:00:00"/>
        <d v="2018-10-17T05:00:00"/>
        <d v="2010-02-27T06:00:00"/>
        <d v="2018-08-28T05:00:00"/>
        <d v="2017-11-09T06:00:00"/>
        <d v="2016-05-06T05:00:00"/>
        <d v="2017-03-03T06:00:00"/>
        <d v="2013-08-27T05:00:00"/>
        <d v="2019-12-15T06:00:00"/>
        <d v="2010-11-06T05:00:00"/>
        <d v="2010-08-19T05:00:00"/>
        <d v="2019-02-13T06:00:00"/>
        <d v="2011-11-22T06:00:00"/>
        <d v="2019-04-28T05:00:00"/>
        <d v="2011-11-11T06:00:00"/>
        <d v="2012-08-16T05:00:00"/>
        <d v="2011-07-01T05:00:00"/>
        <d v="2012-06-21T05:00:00"/>
        <d v="2014-10-02T05:00:00"/>
        <d v="2016-03-16T05:00:00"/>
        <d v="2014-09-24T05:00:00"/>
        <d v="2014-05-03T05:00:00"/>
        <d v="2010-04-08T05:00:00"/>
        <d v="2015-05-15T05:00:00"/>
        <d v="2017-06-01T05:00:00"/>
        <d v="2019-12-06T06:00:00"/>
        <d v="2013-05-21T05:00:00"/>
        <d v="2016-07-25T05:00:00"/>
        <d v="2011-06-12T05:00:00"/>
        <d v="2017-08-22T05:00:00"/>
        <d v="2017-02-13T06:00:00"/>
        <d v="2019-06-25T05:00:00"/>
        <d v="2014-04-25T05:00:00"/>
        <d v="2017-12-14T06:00:00"/>
        <d v="2015-08-29T05:00:00"/>
        <d v="2014-04-13T05:00:00"/>
        <d v="2017-05-10T05:00:00"/>
        <d v="2018-03-04T06:00:00"/>
        <d v="2014-07-14T05:00:00"/>
        <d v="2014-04-07T05:00:00"/>
        <d v="2013-08-05T05:00:00"/>
        <d v="2016-12-22T06:00:00"/>
        <d v="2014-12-31T06:00:00"/>
        <d v="2015-01-02T06:00:00"/>
        <d v="2012-12-09T06:00:00"/>
        <d v="2013-10-25T05:00:00"/>
        <d v="2011-04-08T05:00:00"/>
        <d v="2017-02-21T06:00:00"/>
        <d v="2011-02-16T06:00:00"/>
        <d v="2016-01-24T06:00:00"/>
        <d v="2013-03-05T06:00:00"/>
        <d v="2016-12-08T06:00:00"/>
        <d v="2012-12-08T06:00:00"/>
        <d v="2010-08-25T05:00:00"/>
        <d v="2011-04-05T05:00:00"/>
        <d v="2010-01-09T06:00:00"/>
        <d v="2013-02-12T06:00:00"/>
        <d v="2016-01-03T06:00:00"/>
        <d v="2014-11-07T06:00:00"/>
        <d v="2012-10-24T05:00:00"/>
        <d v="2012-10-04T05:00:00"/>
        <d v="2019-01-31T06:00:00"/>
        <d v="2010-12-02T06:00:00"/>
        <d v="2015-12-07T06:00:00"/>
        <d v="2019-07-10T05:00:00"/>
        <d v="2017-09-17T05:00:00"/>
        <d v="2017-11-06T06:00:00"/>
        <d v="2019-04-06T05:00:00"/>
        <d v="2012-04-19T05:00:00"/>
        <d v="2010-07-19T05:00:00"/>
        <d v="2012-11-26T06:00:00"/>
        <d v="2018-09-03T05:00:00"/>
        <d v="2017-11-21T06:00:00"/>
        <d v="2012-03-11T06:00:00"/>
        <d v="2016-05-30T05:00:00"/>
        <d v="2012-05-01T05:00:00"/>
        <d v="2016-09-10T05:00:00"/>
        <d v="2016-11-23T06:00:00"/>
        <d v="2015-04-28T05:00:00"/>
        <d v="2012-03-14T05:00:00"/>
        <d v="2015-08-03T05:00:00"/>
        <d v="2013-05-10T05:00:00"/>
        <d v="2011-10-15T05:00:00"/>
        <d v="2012-03-16T05:00:00"/>
        <d v="2010-10-05T05:00:00"/>
        <d v="2018-10-26T05:00:00"/>
        <d v="2013-10-15T05:00:00"/>
        <d v="2019-01-28T06:00:00"/>
        <d v="2014-01-14T06:00:00"/>
        <d v="2016-02-26T06:00:00"/>
        <d v="2016-03-03T06:00:00"/>
        <d v="2017-08-30T05:00:00"/>
        <d v="2015-02-26T06:00:00"/>
        <d v="2018-09-02T05:00:00"/>
        <d v="2016-01-07T06:00:00"/>
        <d v="2016-08-07T05:00:00"/>
        <d v="2016-03-19T05:00:00"/>
        <d v="2017-07-14T05:00:00"/>
        <d v="2012-06-06T05:00:00"/>
        <d v="2011-04-18T05:00:00"/>
        <d v="2011-09-21T05:00:00"/>
        <d v="2010-04-09T05:00:00"/>
        <d v="2012-02-27T06:00:00"/>
        <d v="2014-05-24T05:00:00"/>
        <d v="2019-11-19T06:00:00"/>
        <d v="2017-05-14T05:00:00"/>
        <d v="2014-02-14T06:00:00"/>
        <d v="2010-08-12T05:00:00"/>
        <d v="2011-05-10T05:00:00"/>
        <d v="2011-04-01T05:00:00"/>
        <d v="2010-11-25T06:00:00"/>
        <d v="2014-03-27T05:00:00"/>
        <d v="2015-06-21T05:00:00"/>
        <d v="2015-12-26T06:00:00"/>
        <d v="2019-08-28T05:00:00"/>
        <d v="2018-11-30T06:00:00"/>
        <d v="2016-12-12T06:00:00"/>
        <d v="2017-12-08T06:00:00"/>
        <d v="2011-12-19T06:00:00"/>
        <d v="2013-03-28T05:00:00"/>
        <d v="2018-11-20T06:00:00"/>
        <d v="2019-11-15T06:00:00"/>
        <d v="2010-12-15T06:00:00"/>
        <d v="2019-11-11T06:00:00"/>
        <d v="2011-10-05T05:00:00"/>
        <d v="2017-08-02T05:00:00"/>
        <d v="2011-12-12T06:00:00"/>
        <d v="2015-08-28T05:00:00"/>
        <d v="2013-07-20T05:00:00"/>
        <d v="2013-11-19T06:00:00"/>
        <d v="2018-01-22T06:00:00"/>
        <d v="2015-07-09T05:00:00"/>
        <d v="2017-08-24T05:00:00"/>
        <d v="2015-02-11T06:00:00"/>
        <d v="2017-02-16T06:00:00"/>
        <d v="2015-05-20T05:00:00"/>
        <d v="2015-08-24T05:00:00"/>
        <d v="2015-11-07T06:00:00"/>
        <d v="2019-07-05T05:00:00"/>
        <d v="2013-09-03T05:00:00"/>
        <d v="2017-01-22T06:00:00"/>
        <d v="2012-01-14T06:00:00"/>
        <d v="2015-09-03T05:00:00"/>
        <d v="2018-08-10T05:00:00"/>
        <d v="2011-08-27T05:00:00"/>
        <d v="2011-01-01T06:00:00"/>
        <d v="2017-10-07T05:00:00"/>
        <d v="2011-12-27T06:00:00"/>
        <d v="2018-03-05T06:00:00"/>
        <d v="2016-12-29T06:00:00"/>
        <d v="2011-01-03T06:00:00"/>
        <d v="2014-10-18T05:00:00"/>
        <d v="2010-10-13T05:00:00"/>
        <d v="2013-02-03T06:00:00"/>
        <d v="2019-04-15T05:00:00"/>
        <d v="2015-02-08T06:00:00"/>
        <d v="2015-01-08T06:00:00"/>
        <d v="2017-08-17T05:00:00"/>
        <d v="2019-01-11T06:00:00"/>
        <d v="2015-10-16T05:00:00"/>
        <d v="2014-07-06T05:00:00"/>
        <d v="2018-05-21T05:00:00"/>
        <d v="2011-10-27T05:00:00"/>
        <d v="2013-06-23T05:00:00"/>
        <d v="2015-06-08T05:00:00"/>
        <d v="2017-10-16T05:00:00"/>
        <d v="2017-02-10T06:00:00"/>
        <d v="2019-03-29T05:00:00"/>
        <d v="2010-06-26T05:00:00"/>
        <d v="2012-06-12T05:00:00"/>
        <d v="2012-01-04T06:00:00"/>
        <d v="2010-10-28T05:00:00"/>
        <d v="2013-09-13T05:00:00"/>
        <d v="2011-01-06T06:00:00"/>
        <d v="2017-07-17T05:00:00"/>
        <d v="2013-07-29T05:00:00"/>
        <d v="2011-12-08T06:00:00"/>
        <d v="2018-10-05T05:00:00"/>
        <d v="2013-05-23T05:00:00"/>
        <d v="2018-05-08T05:00:00"/>
        <d v="2011-02-02T06:00:00"/>
        <d v="2013-08-16T05:00:00"/>
        <d v="2019-10-27T05:00:00"/>
        <d v="2012-01-06T06:00:00"/>
        <d v="2017-11-14T06:00:00"/>
        <d v="2018-06-04T05:00:00"/>
        <d v="2013-01-30T06:00:00"/>
        <d v="2019-10-13T05:00:00"/>
        <d v="2016-06-20T05:00:00"/>
        <d v="2017-04-18T05:00:00"/>
        <d v="2017-05-29T05:00:00"/>
        <d v="2014-01-03T06:00:00"/>
        <d v="2018-11-27T06:00:00"/>
        <d v="2010-04-20T05:00:00"/>
        <d v="2012-01-13T06:00:00"/>
        <d v="2011-01-17T06:00:00"/>
        <d v="2018-11-03T05:00:00"/>
        <d v="2012-05-06T05:00:00"/>
        <d v="2011-12-22T06:00:00"/>
        <d v="2017-06-25T05:00:00"/>
        <d v="2017-06-29T05:00:00"/>
        <d v="2010-04-17T05:00:00"/>
        <d v="2018-04-18T05:00:00"/>
        <d v="2015-07-28T05:00:00"/>
        <d v="2013-02-27T06:00:00"/>
        <d v="2014-09-13T05:00:00"/>
        <d v="2011-02-11T06:00:00"/>
        <d v="2014-02-10T06:00:00"/>
        <d v="2019-09-29T05:00:00"/>
        <d v="2018-06-22T05:00:00"/>
        <d v="2014-05-02T05:00:00"/>
        <d v="2013-11-25T06:00:00"/>
        <d v="2016-12-01T06:00:00"/>
        <d v="2014-12-15T06:00:00"/>
        <d v="2019-04-20T05:00:00"/>
        <d v="2015-09-13T05:00:00"/>
        <d v="2013-03-04T06:00:00"/>
        <d v="2016-11-06T05:00:00"/>
        <d v="2017-06-30T05:00:00"/>
        <d v="2012-04-26T05:00:00"/>
        <d v="2017-09-02T05:00:00"/>
        <d v="2010-09-30T05:00:00"/>
        <d v="2011-07-24T05:00:00"/>
        <d v="2010-12-03T06:00:00"/>
        <d v="2012-12-18T06:00:00"/>
        <d v="2017-12-19T06:00:00"/>
        <d v="2013-04-14T05:00:00"/>
        <d v="2019-03-06T06:00:00"/>
        <d v="2018-10-21T05:00:00"/>
        <d v="2017-07-19T05:00:00"/>
        <d v="2010-07-06T05:00:00"/>
        <d v="2013-10-21T05:00:00"/>
        <d v="2011-09-23T05:00:00"/>
        <d v="2018-02-10T06:00:00"/>
        <d v="2016-10-14T05:00:00"/>
        <d v="2010-03-28T05:00:00"/>
        <d v="2014-12-28T06:00:00"/>
        <d v="2014-04-28T05:00:00"/>
        <d v="2013-12-31T06:00:00"/>
        <d v="2018-02-11T06:00:00"/>
        <d v="2018-01-27T06:00:00"/>
        <d v="2013-05-15T05:00:00"/>
        <d v="2015-11-23T06:00:00"/>
        <d v="2019-04-14T05:00:00"/>
        <d v="2015-05-18T05:00:00"/>
        <d v="2012-05-02T05:00:00"/>
        <d v="2019-03-11T05:00:00"/>
        <d v="2018-06-26T05:00:00"/>
        <d v="2014-12-16T06:00:00"/>
        <d v="2013-06-25T05:00:00"/>
        <d v="2011-06-26T05:00:00"/>
        <d v="2015-03-09T05:00:00"/>
        <d v="2017-07-29T05:00:00"/>
        <d v="2010-03-11T06:00:00"/>
        <d v="2014-10-01T05:00:00"/>
        <d v="2012-02-24T06:00:00"/>
        <d v="2019-12-12T06:00:00"/>
        <d v="2014-08-04T05:00:00"/>
        <d v="2019-06-10T05:00:00"/>
        <d v="2018-03-09T06:00:00"/>
        <d v="2017-04-20T05:00:00"/>
        <d v="2016-02-03T06:00:00"/>
        <d v="2010-08-16T05:00:00"/>
        <d v="2019-11-17T06:00:00"/>
        <d v="2013-07-01T05:00:00"/>
        <d v="2010-06-07T05:00:00"/>
        <d v="2019-06-29T05:00:00"/>
        <d v="2012-03-22T05:00:00"/>
        <d v="2014-06-10T05:00:00"/>
        <d v="2017-05-21T05:00:00"/>
        <d v="2016-12-20T06:00:00"/>
        <d v="2015-01-01T06:00:00"/>
        <d v="2016-03-15T05:00:00"/>
        <d v="2013-05-01T05:00:00"/>
        <d v="2013-03-12T05:00:00"/>
        <d v="2012-07-27T05:00:00"/>
        <d v="2013-03-08T06:00:00"/>
        <d v="2013-04-09T05:00:00"/>
        <d v="2012-05-05T05:00:00"/>
        <d v="2018-05-31T05:00:00"/>
        <d v="2019-07-25T05:00:00"/>
        <d v="2014-07-05T05:00:00"/>
        <d v="2013-12-06T06:00:00"/>
        <d v="2011-12-23T06:00:00"/>
        <d v="2017-05-05T05:00:00"/>
        <d v="2018-02-23T06:00:00"/>
        <d v="2019-04-19T05:00:00"/>
        <d v="2016-08-23T05:00:00"/>
        <d v="2012-07-03T05:00:00"/>
        <d v="2010-03-04T06:00:00"/>
        <d v="2010-04-26T05:00:00"/>
        <d v="2010-11-23T06:00:00"/>
        <d v="2016-02-05T06:00:00"/>
        <d v="2013-11-23T06:00:00"/>
        <d v="2014-05-10T05:00:00"/>
        <d v="2010-08-31T05:00:00"/>
        <d v="2013-11-11T06:00:00"/>
        <d v="2018-01-25T06:00:00"/>
        <d v="2013-07-24T05:00:00"/>
        <d v="2018-08-17T05:00:00"/>
        <d v="2018-06-08T05:00:00"/>
        <d v="2010-08-24T05:00:00"/>
        <d v="2018-08-30T05:00:00"/>
        <d v="2013-09-22T05:00:00"/>
        <d v="2019-07-01T05:00:00"/>
        <d v="2018-05-05T05:00:00"/>
        <d v="2015-06-10T05:00:00"/>
        <d v="2016-01-22T06:00:00"/>
        <d v="2013-09-11T05:00:00"/>
        <d v="2016-01-08T06:00:00"/>
        <d v="2019-12-25T06:00:00"/>
        <d v="2018-09-17T05:00:00"/>
        <d v="2015-01-25T06:00:00"/>
        <d v="2016-04-01T05:00:00"/>
        <d v="2013-05-28T05:00:00"/>
        <d v="2012-02-29T06:00:00"/>
        <d v="2014-12-20T06:00:00"/>
        <d v="2016-11-26T06:00:00"/>
        <d v="2011-01-02T06:00:00"/>
        <d v="2016-12-19T06:00:00"/>
        <d v="2014-04-02T05:00:00"/>
        <d v="2011-09-06T05:00:00"/>
        <d v="2015-10-02T05:00:00"/>
        <d v="2016-02-24T06:00:00"/>
        <d v="2016-08-02T05:00:00"/>
        <d v="2011-11-18T06:00:00"/>
        <d v="2011-10-17T05:00:00"/>
        <d v="2018-11-13T06:00:00"/>
        <d v="2015-03-15T05:00:00"/>
        <d v="2011-11-15T06:00:00"/>
        <d v="2014-07-10T05:00:00"/>
        <d v="2010-07-15T05:00:00"/>
        <d v="2011-01-11T06:00:00"/>
        <d v="2015-06-19T05:00:00"/>
        <d v="2015-09-28T05:00:00"/>
        <d v="2019-12-07T06:00:00"/>
        <d v="2017-11-01T05:00:00"/>
        <d v="2011-03-11T06:00:00"/>
        <d v="2011-12-01T06:00:00"/>
        <d v="2011-08-07T05:00:00"/>
        <d v="2014-02-26T06:00:00"/>
        <d v="2011-04-29T05:00:00"/>
        <d v="2012-02-20T06:00:00"/>
        <d v="2012-04-25T05:00:00"/>
        <d v="2010-03-18T05:00:00"/>
        <d v="2010-11-17T06:00:00"/>
        <d v="2015-07-05T05:00:00"/>
        <d v="2014-12-21T06:00:00"/>
        <d v="2010-07-14T05:00:00"/>
        <d v="2014-05-30T05:00:00"/>
        <d v="2014-03-26T05:00:00"/>
        <d v="2016-06-27T05:00:00"/>
        <d v="2010-03-16T05:00:00"/>
        <d v="2016-03-05T06:00:00"/>
        <d v="2010-06-15T05:00:00"/>
        <d v="2015-02-12T06:00:00"/>
        <d v="2013-07-30T05:00:00"/>
        <d v="2019-04-18T05:00:00"/>
        <d v="2011-01-22T06:00:00"/>
        <d v="2016-03-07T06:00:00"/>
        <d v="2014-03-23T05:00:00"/>
        <d v="2019-01-16T06:00:00"/>
        <d v="2012-12-16T06:00:00"/>
        <d v="2013-07-25T05:00:00"/>
        <d v="2010-10-23T05:00:00"/>
        <d v="2017-08-26T05:00:00"/>
        <d v="2017-01-11T06:00:00"/>
        <d v="2016-04-29T05:00:00"/>
        <d v="2013-09-20T05:00:00"/>
        <d v="2014-06-04T05:00:00"/>
        <d v="2013-05-02T05:00:00"/>
        <d v="2011-05-06T05:00:00"/>
        <d v="2016-07-08T05:00:00"/>
        <d v="2016-09-13T05:00:00"/>
        <d v="2018-04-15T05:00:00"/>
        <d v="2015-07-16T05:00:00"/>
        <d v="2020-01-27T06:00:00"/>
        <d v="2010-09-28T05:00:00"/>
        <d v="2010-06-16T05:00:00"/>
        <d v="2010-10-04T05:00:00"/>
        <d v="2016-07-06T05:00:00"/>
        <d v="2019-05-01T05:00:00"/>
        <d v="2019-03-26T05:00:00"/>
        <d v="2014-11-02T05:00:00"/>
        <d v="2017-03-25T05:00:00"/>
        <d v="2013-02-09T06:00:00"/>
        <d v="2012-01-18T06:00:00"/>
        <d v="2016-11-14T06:00:00"/>
        <d v="2010-07-27T05:00:00"/>
        <d v="2018-07-28T05:00:00"/>
        <d v="2016-01-18T06:00:00"/>
        <d v="2017-02-20T06:00:00"/>
        <d v="2018-12-17T06:00:00"/>
        <d v="2017-03-01T06:00:00"/>
        <d v="2018-12-18T06:00:00"/>
        <d v="2018-09-26T05:00:00"/>
        <d v="2013-03-13T05:00:00"/>
        <d v="2018-04-09T05:00:00"/>
        <d v="2017-07-06T05:00:00"/>
        <d v="2010-10-20T05:00:00"/>
        <d v="2014-07-08T05:00:00"/>
        <d v="2014-02-22T06:00:00"/>
        <d v="2016-08-05T05:00:00"/>
        <d v="2016-04-08T05:00:00"/>
        <d v="2017-03-02T06:00:00"/>
        <d v="2017-12-28T06:00:00"/>
        <d v="2017-12-27T06:00:00"/>
        <d v="2015-08-30T05:00:00"/>
        <d v="2015-08-21T05:00:00"/>
        <d v="2012-03-28T05:00:00"/>
        <d v="2018-12-09T06:00:00"/>
        <d v="2010-10-07T05:00:00"/>
        <d v="2011-07-09T05:00:00"/>
        <d v="2013-08-30T05:00:00"/>
        <d v="2014-09-10T05:00:00"/>
        <d v="2012-08-01T05:00:00"/>
        <d v="2017-06-26T05:00:00"/>
        <d v="2010-07-31T05:00:00"/>
        <d v="2018-03-21T05:00:00"/>
        <d v="2016-04-15T05:00:00"/>
        <d v="2011-08-19T05:00:00"/>
        <d v="2019-09-11T05:00:00"/>
        <d v="2012-09-26T05:00:00"/>
        <d v="2016-07-10T05:00:00"/>
        <d v="2019-10-18T05:00:00"/>
        <d v="2019-12-14T06:00:00"/>
        <d v="2011-12-21T06:00:00"/>
        <d v="2013-12-11T06:00:00"/>
        <d v="2018-09-16T05:00:00"/>
        <d v="2010-06-29T05:00:00"/>
        <d v="2015-08-23T05:00:00"/>
        <d v="2018-03-27T05:00:00"/>
        <d v="2017-03-12T06:00:00"/>
        <d v="2019-01-10T06:00:00"/>
        <d v="2013-10-29T05:00:00"/>
        <d v="2011-11-27T06:00:00"/>
        <d v="2012-10-03T05:00:00"/>
        <d v="2019-07-09T05:00:00"/>
        <d v="2017-10-17T05:00:00"/>
        <d v="2017-11-27T06:00:00"/>
        <d v="2015-11-14T06:00:00"/>
        <d v="2015-04-20T05:00:00"/>
        <d v="2018-03-31T05:00:00"/>
        <d v="2011-11-24T06:00:00"/>
        <d v="2011-03-27T05:00:00"/>
        <d v="2013-07-22T05:00:00"/>
        <d v="2012-04-21T05:00:00"/>
        <d v="2016-07-04T05:00:00"/>
        <d v="2019-01-06T06:00:00"/>
        <d v="2017-05-22T05:00:00"/>
        <d v="2018-07-14T05:00:00"/>
        <d v="2016-08-22T05:00:00"/>
        <d v="2010-08-07T05:00:00"/>
        <d v="2013-07-10T05:00:00"/>
        <d v="2011-08-22T05:00:00"/>
        <d v="2013-06-17T05:00:00"/>
        <d v="2012-05-29T05:00:00"/>
        <d v="2018-02-21T06:00:00"/>
        <d v="2018-04-04T05:00:00"/>
        <d v="2016-03-02T06:00:00"/>
        <d v="2014-10-22T05:00:00"/>
        <d v="2014-11-15T06:00:00"/>
        <d v="2010-10-25T05:00:00"/>
        <d v="2016-05-25T05:00:00"/>
        <d v="2013-02-04T06:00:00"/>
        <d v="2015-05-23T05:00:00"/>
        <d v="2017-07-23T05:00:00"/>
        <d v="2017-03-22T05:00:00"/>
        <d v="2017-01-28T06:00:00"/>
        <d v="2016-03-30T05:00:00"/>
        <d v="2015-02-20T06:00:00"/>
        <d v="2016-11-11T06:00:00"/>
        <d v="2014-11-16T06:00:00"/>
        <d v="2012-06-29T05:00:00"/>
        <d v="2017-02-03T06:00:00"/>
        <d v="2010-05-23T05:00:00"/>
        <d v="2010-01-19T06:00:00"/>
        <d v="2015-10-21T05:00:00"/>
        <d v="2010-05-30T05:00:00"/>
        <d v="2011-10-09T05:00:00"/>
        <d v="2010-09-02T05:00:00"/>
        <d v="2010-03-01T06:00:00"/>
        <d v="2014-10-08T05:00:00"/>
        <d v="2010-07-01T05:00:00"/>
        <d v="2016-03-17T05:00:00"/>
        <d v="2010-08-05T05:00:00"/>
        <d v="2012-10-28T05:00:00"/>
        <d v="2015-01-20T06:00:00"/>
        <d v="2011-05-12T05:00:00"/>
        <d v="2014-10-24T05:00:00"/>
        <d v="2018-02-05T06:00:00"/>
        <d v="2019-08-01T05:00:00"/>
        <d v="2017-07-22T05:00:00"/>
        <d v="2012-11-28T06:00:00"/>
        <d v="2012-05-08T05:00:00"/>
        <d v="2011-05-13T05:00:00"/>
        <d v="2017-04-15T05:00:00"/>
        <d v="2015-10-06T05:00:00"/>
        <d v="2013-08-15T05:00:00"/>
        <d v="2014-04-14T05:00:00"/>
        <d v="2019-01-26T06:00:00"/>
        <d v="2019-02-09T06:00:00"/>
        <d v="2017-04-13T05:00:00"/>
        <d v="2016-05-23T05:00:00"/>
        <d v="2014-11-06T06:00:00"/>
        <d v="2019-07-04T05:00:00"/>
        <d v="2011-08-13T05:00:00"/>
        <d v="2015-08-14T05:00:00"/>
        <d v="2016-07-22T05:00:00"/>
        <d v="2010-10-31T05:00:00"/>
        <d v="2011-03-01T06:00:00"/>
        <d v="2013-12-17T06:00:00"/>
        <d v="2016-03-06T06:00:00"/>
        <d v="2011-05-21T05:00:00"/>
        <d v="2014-05-27T05:00:00"/>
        <d v="2010-02-14T06:00:00"/>
        <d v="2016-12-11T06:00:00"/>
        <d v="2013-06-26T05:00:00"/>
        <d v="2017-12-22T06:00:00"/>
        <d v="2016-11-01T05:00:00"/>
        <d v="2014-08-08T05:00:00"/>
        <d v="2018-12-30T06:00:00"/>
        <d v="2012-05-31T05:00:00"/>
        <d v="2016-01-30T06:00:00"/>
        <d v="2019-12-31T06:00:00"/>
        <d v="2019-01-27T06:00:00"/>
        <d v="2018-01-02T06:00:00"/>
        <d v="2012-03-05T06:00:00"/>
        <d v="2019-10-15T05:00:00"/>
        <d v="2016-05-17T05:00:00"/>
        <d v="2012-08-14T05:00:00"/>
        <d v="2017-11-28T06:00:00"/>
        <d v="2016-01-09T06:00:00"/>
        <d v="2012-08-27T05:00:00"/>
        <d v="2016-05-27T05:00:00"/>
        <d v="2017-11-29T06:00:00"/>
        <d v="2019-05-04T05:00:00"/>
        <d v="2019-01-21T06:00:00"/>
        <d v="2012-11-24T06:00:00"/>
        <d v="2017-02-28T06:00:00"/>
        <d v="2014-02-28T06:00:00"/>
        <d v="2010-06-19T05:00:00"/>
        <d v="2010-12-13T06:00:00"/>
        <d v="2011-05-03T05:00:00"/>
        <d v="2015-06-09T05:00:00"/>
        <d v="2018-01-03T06:00:00"/>
        <d v="2012-03-26T05:00:00"/>
        <d v="2015-10-22T05:00:00"/>
        <d v="2011-02-14T06:00:00"/>
        <d v="2015-02-28T06:00:00"/>
        <d v="2010-02-05T06:00:00"/>
        <d v="2018-09-27T05:00:00"/>
        <d v="2014-03-17T05:00:00"/>
        <d v="2014-07-16T05:00:00"/>
        <d v="2016-02-19T06:00:00"/>
        <d v="2018-06-15T05:00:00"/>
        <d v="2018-08-26T05:00:00"/>
        <d v="2012-01-22T06:00:00"/>
        <d v="2018-05-15T05:00:00"/>
        <d v="2018-07-21T05:00:00"/>
        <d v="2018-01-07T06:00:00"/>
        <d v="2010-06-12T05:00:00"/>
        <d v="2012-02-09T06:00:00"/>
        <d v="2011-11-19T06:00:00"/>
        <d v="2011-07-16T05:00:00"/>
        <d v="2011-06-20T05:00:00"/>
        <d v="2019-11-18T06:00:00"/>
        <d v="2011-06-18T05:00:00"/>
        <d v="2012-04-24T05:00:00"/>
        <d v="2012-02-05T06:00:00"/>
        <d v="2018-04-21T05:00:00"/>
        <d v="2013-03-01T06:00:00"/>
        <d v="2019-02-19T06:00:00"/>
        <d v="2010-03-21T05:00:00"/>
        <d v="2011-08-01T05:00:00"/>
        <d v="2015-06-17T05:00:00"/>
        <d v="2016-08-19T05:00:00"/>
        <d v="2014-09-15T05:00:00"/>
        <d v="2011-05-08T05:00:00"/>
        <d v="2018-10-09T05:00:00"/>
        <d v="2013-10-12T05:00:00"/>
        <d v="2010-06-21T05:00:00"/>
        <d v="2014-01-08T06:00:00"/>
        <d v="2010-04-23T05:00:00"/>
        <d v="2011-01-13T06:00:00"/>
        <d v="2019-06-08T05:00:00"/>
        <d v="2016-07-26T05:00:00"/>
        <d v="2020-01-15T06:00:00"/>
        <d v="2017-02-22T06:00:00"/>
        <d v="2019-07-21T05:00:00"/>
        <d v="2015-01-21T06:00:00"/>
        <d v="2010-05-25T05:00:00"/>
        <d v="2014-05-04T05:00:00"/>
        <d v="2010-06-06T05:00:00"/>
        <d v="2010-08-26T05:00:00"/>
        <d v="2015-07-17T05:00:00"/>
        <d v="2017-04-11T05:00:00"/>
        <d v="2014-03-12T05:00:00"/>
        <d v="2019-06-24T05:00:00"/>
        <d v="2011-12-03T06:00:00"/>
        <d v="2010-05-21T05:00:00"/>
        <d v="2015-06-15T05:00:00"/>
        <d v="2013-07-11T05:00:00"/>
        <d v="2018-02-03T06:00:00"/>
        <d v="2011-07-14T05:00:00"/>
        <d v="2019-12-16T06:00:00"/>
        <d v="2013-10-07T05:00:00"/>
        <d v="2014-09-19T05:00:00"/>
        <d v="2018-07-17T05:00:00"/>
        <d v="2017-05-13T05:00:00"/>
        <d v="2011-04-27T05:00:00"/>
        <d v="2015-01-22T06:00:00"/>
        <d v="2019-09-09T05:00:00"/>
        <d v="2012-09-05T05:00:00"/>
        <d v="2019-05-12T05:00:00"/>
        <d v="2013-08-04T05:00:00"/>
        <d v="2014-12-18T06:00:00"/>
        <d v="2011-06-28T05:00:00"/>
        <d v="2017-10-14T05:00:00"/>
        <d v="2019-02-07T06:00:00"/>
        <d v="2012-02-12T06:00:00"/>
        <d v="2019-10-31T05:00:00"/>
        <d v="2017-09-22T05:00:00"/>
        <d v="2012-07-12T05:00:00"/>
        <d v="2013-12-29T06:00:00"/>
        <d v="2017-05-03T05:00:00"/>
        <d v="2015-02-25T06:00:00"/>
        <d v="2014-06-28T05:00:00"/>
        <d v="2014-03-11T05:00:00"/>
        <d v="2013-04-08T05:00:00"/>
        <d v="2016-02-22T06:00:00"/>
        <d v="2015-07-24T05:00:00"/>
        <d v="2019-07-22T05:00:00"/>
        <d v="2015-11-26T06:00:00"/>
        <d v="2018-06-12T05:00:00"/>
        <d v="2011-05-07T05:00:00"/>
        <d v="2012-12-01T06:00:00"/>
        <d v="2011-01-09T06:00:00"/>
        <d v="2011-01-25T06:00:00"/>
        <d v="2012-04-05T05:00:00"/>
        <d v="2011-06-16T05:00:00"/>
        <d v="2014-09-26T05:00:00"/>
        <d v="2014-12-12T06:00:00"/>
        <d v="2015-04-18T05:00:00"/>
        <d v="2019-04-16T05:00:00"/>
        <d v="2016-12-26T06:00:00"/>
        <d v="2016-08-09T05:00:00"/>
        <d v="2015-12-20T06:00:00"/>
        <d v="2012-11-25T06:00:00"/>
        <d v="2015-12-22T06:00:00"/>
        <d v="2012-02-16T06:00:00"/>
        <d v="2016-02-08T06:00:00"/>
        <d v="2011-02-17T06:00:00"/>
        <d v="2013-11-14T06:00:00"/>
        <d v="2011-03-05T06:00:00"/>
        <d v="2015-05-11T05:00:00"/>
        <d v="2017-06-15T05:00:00"/>
        <d v="2019-12-22T06:00:00"/>
        <d v="2011-05-09T05:00:00"/>
        <d v="2013-10-08T05:00:00"/>
        <d v="2014-06-02T05:00:00"/>
        <d v="2010-12-10T06:00:00"/>
        <d v="2015-11-29T06:00:00"/>
        <d v="2011-01-28T06:00:00"/>
        <d v="2018-02-07T06:00:00"/>
        <d v="2016-11-12T06:00:00"/>
        <d v="2015-10-30T05:00:00"/>
        <d v="2017-12-25T06:00:00"/>
        <d v="2011-07-19T05:00:00"/>
        <d v="2019-08-04T05:00:00"/>
        <d v="2017-04-27T05:00:00"/>
        <d v="2014-09-25T05:00:00"/>
        <d v="2018-05-07T05:00:00"/>
        <d v="2015-12-24T06:00:00"/>
        <d v="2014-10-17T05:00:00"/>
        <d v="2018-11-04T05:00:00"/>
        <d v="2013-01-02T06:00:00"/>
        <d v="2014-01-20T06:00:00"/>
        <d v="2010-02-11T06:00:00"/>
        <d v="2016-06-29T05:00:00"/>
      </sharedItems>
      <fieldGroup par="17" base="13">
        <rangePr groupBy="months" startDate="2010-01-09T06:00:00" endDate="2020-01-27T06:00:00"/>
        <groupItems count="14">
          <s v="&lt;1/9/1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27/20"/>
        </groupItems>
      </fieldGroup>
    </cacheField>
    <cacheField name="Date Ended Conversion" numFmtId="14">
      <sharedItems containsSemiMixedTypes="0" containsNonDate="0" containsDate="1" containsString="0" minDate="2010-01-09T06:00:00" maxDate="2020-02-10T06:00:00"/>
    </cacheField>
    <cacheField name="weekday_created" numFmtId="0">
      <sharedItems count="7">
        <s v="Sat"/>
        <s v="Tue"/>
        <s v="Sun"/>
        <s v="Wed"/>
        <s v="Thu"/>
        <s v="Mon"/>
        <s v="Fri"/>
      </sharedItems>
    </cacheField>
    <cacheField name="Quarters" numFmtId="0" databaseField="0">
      <fieldGroup base="13">
        <rangePr groupBy="quarters" startDate="2010-01-09T06:00:00" endDate="2020-01-27T06:00:00"/>
        <groupItems count="6">
          <s v="&lt;1/9/10"/>
          <s v="Qtr1"/>
          <s v="Qtr2"/>
          <s v="Qtr3"/>
          <s v="Qtr4"/>
          <s v="&gt;1/27/20"/>
        </groupItems>
      </fieldGroup>
    </cacheField>
    <cacheField name="Years" numFmtId="0" databaseField="0">
      <fieldGroup base="13">
        <rangePr groupBy="years" startDate="2010-01-09T06:00:00" endDate="2020-01-27T06:00:00"/>
        <groupItems count="13">
          <s v="&lt;1/9/10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&gt;1/27/2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cholas George" refreshedDate="45180.375030787036" createdVersion="8" refreshedVersion="8" minRefreshableVersion="3" recordCount="1000" xr:uid="{25B9C5B8-AB14-014F-910A-56313FE5B905}">
  <cacheSource type="worksheet">
    <worksheetSource ref="A1:V1001" sheet="Crowdfunding"/>
  </cacheSource>
  <cacheFields count="25">
    <cacheField name="id" numFmtId="0">
      <sharedItems containsSemiMixedTypes="0" containsString="0" containsNumber="1" containsInteger="1" minValue="0" maxValue="999"/>
    </cacheField>
    <cacheField name="name" numFmtId="0">
      <sharedItems/>
    </cacheField>
    <cacheField name="blurb" numFmtId="0">
      <sharedItems/>
    </cacheField>
    <cacheField name="goal" numFmtId="1">
      <sharedItems containsSemiMixedTypes="0" containsString="0" containsNumber="1" containsInteger="1" minValue="100" maxValue="199200"/>
    </cacheField>
    <cacheField name="pledged" numFmtId="1">
      <sharedItems containsSemiMixedTypes="0" containsString="0" containsNumber="1" containsInteger="1" minValue="0" maxValue="199110"/>
    </cacheField>
    <cacheField name="Percent Funded" numFmtId="9">
      <sharedItems containsSemiMixedTypes="0" containsString="0" containsNumber="1" minValue="0" maxValue="23.388333333333332"/>
    </cacheField>
    <cacheField name="outcome" numFmtId="0">
      <sharedItems count="4">
        <s v="failed"/>
        <s v="successful"/>
        <s v="live"/>
        <s v="canceled"/>
      </sharedItems>
    </cacheField>
    <cacheField name="backers_count" numFmtId="0">
      <sharedItems containsSemiMixedTypes="0" containsString="0" containsNumber="1" containsInteger="1" minValue="0" maxValue="7295"/>
    </cacheField>
    <cacheField name="Average Donation" numFmtId="2">
      <sharedItems containsSemiMixedTypes="0" containsString="0" containsNumber="1" minValue="0" maxValue="113.17073170731707"/>
    </cacheField>
    <cacheField name="country" numFmtId="0">
      <sharedItems count="7">
        <s v="CA"/>
        <s v="US"/>
        <s v="AU"/>
        <s v="DK"/>
        <s v="GB"/>
        <s v="CH"/>
        <s v="IT"/>
      </sharedItems>
    </cacheField>
    <cacheField name="currency" numFmtId="0">
      <sharedItems/>
    </cacheField>
    <cacheField name="launched_at" numFmtId="0">
      <sharedItems containsSemiMixedTypes="0" containsString="0" containsNumber="1" containsInteger="1" minValue="1263016800" maxValue="1580104800"/>
    </cacheField>
    <cacheField name="deadline" numFmtId="0">
      <sharedItems containsSemiMixedTypes="0" containsString="0" containsNumber="1" containsInteger="1" minValue="1263016800" maxValue="1581314400"/>
    </cacheField>
    <cacheField name="Date Created Conversion" numFmtId="14">
      <sharedItems containsSemiMixedTypes="0" containsNonDate="0" containsDate="1" containsString="0" minDate="2010-01-09T06:00:00" maxDate="2020-01-27T06:00:00" count="879">
        <d v="2015-11-28T06:00:00"/>
        <d v="2014-08-19T05:00:00"/>
        <d v="2013-11-17T06:00:00"/>
        <d v="2019-08-11T05:00:00"/>
        <d v="2019-01-20T06:00:00"/>
        <d v="2012-08-28T05:00:00"/>
        <d v="2017-09-13T05:00:00"/>
        <d v="2015-08-13T05:00:00"/>
        <d v="2010-08-09T05:00:00"/>
        <d v="2013-09-19T05:00:00"/>
        <d v="2010-08-14T05:00:00"/>
        <d v="2010-09-21T05:00:00"/>
        <d v="2019-10-22T05:00:00"/>
        <d v="2016-06-11T05:00:00"/>
        <d v="2012-03-06T06:00:00"/>
        <d v="2019-12-10T06:00:00"/>
        <d v="2014-01-22T06:00:00"/>
        <d v="2011-01-12T06:00:00"/>
        <d v="2018-09-08T05:00:00"/>
        <d v="2019-03-04T06:00:00"/>
        <d v="2014-07-28T05:00:00"/>
        <d v="2011-08-15T05:00:00"/>
        <d v="2018-04-03T05:00:00"/>
        <d v="2019-02-14T06:00:00"/>
        <d v="2014-06-21T05:00:00"/>
        <d v="2011-05-18T05:00:00"/>
        <d v="2018-07-31T05:00:00"/>
        <d v="2015-10-03T05:00:00"/>
        <d v="2010-02-09T06:00:00"/>
        <d v="2018-07-20T05:00:00"/>
        <d v="2019-05-24T05:00:00"/>
        <d v="2016-01-05T06:00:00"/>
        <d v="2018-01-10T06:00:00"/>
        <d v="2014-10-05T05:00:00"/>
        <d v="2017-03-23T05:00:00"/>
        <d v="2019-01-19T06:00:00"/>
        <d v="2011-02-26T06:00:00"/>
        <d v="2019-10-06T05:00:00"/>
        <d v="2010-10-18T05:00:00"/>
        <d v="2013-02-25T06:00:00"/>
        <d v="2010-06-05T05:00:00"/>
        <d v="2012-09-04T05:00:00"/>
        <d v="2011-07-04T05:00:00"/>
        <d v="2014-07-24T05:00:00"/>
        <d v="2019-03-17T05:00:00"/>
        <d v="2016-11-02T05:00:00"/>
        <d v="2010-07-08T05:00:00"/>
        <d v="2014-03-29T05:00:00"/>
        <d v="2015-06-25T05:00:00"/>
        <d v="2019-10-20T05:00:00"/>
        <d v="2013-08-01T05:00:00"/>
        <d v="2012-03-27T05:00:00"/>
        <d v="2010-09-15T05:00:00"/>
        <d v="2014-05-20T05:00:00"/>
        <d v="2018-03-11T06:00:00"/>
        <d v="2018-07-30T05:00:00"/>
        <d v="2015-01-10T06:00:00"/>
        <d v="2017-09-01T05:00:00"/>
        <d v="2015-09-21T05:00:00"/>
        <d v="2017-06-12T05:00:00"/>
        <d v="2012-07-17T05:00:00"/>
        <d v="2011-02-21T06:00:00"/>
        <d v="2015-06-05T05:00:00"/>
        <d v="2017-04-28T05:00:00"/>
        <d v="2018-07-02T05:00:00"/>
        <d v="2011-01-27T06:00:00"/>
        <d v="2015-04-08T05:00:00"/>
        <d v="2010-01-25T06:00:00"/>
        <d v="2017-07-27T05:00:00"/>
        <d v="2010-12-19T06:00:00"/>
        <d v="2010-11-02T05:00:00"/>
        <d v="2019-11-30T06:00:00"/>
        <d v="2015-07-01T05:00:00"/>
        <d v="2016-11-27T06:00:00"/>
        <d v="2016-03-27T05:00:00"/>
        <d v="2018-07-15T05:00:00"/>
        <d v="2015-01-23T06:00:00"/>
        <d v="2010-09-27T05:00:00"/>
        <d v="2018-04-16T05:00:00"/>
        <d v="2018-06-16T05:00:00"/>
        <d v="2017-08-29T05:00:00"/>
        <d v="2017-11-23T06:00:00"/>
        <d v="2019-01-17T06:00:00"/>
        <d v="2016-07-28T05:00:00"/>
        <d v="2012-07-28T05:00:00"/>
        <d v="2011-09-11T05:00:00"/>
        <d v="2015-05-04T05:00:00"/>
        <d v="2011-03-08T06:00:00"/>
        <d v="2015-04-16T05:00:00"/>
        <d v="2010-04-15T05:00:00"/>
        <d v="2016-02-25T06:00:00"/>
        <d v="2016-08-06T05:00:00"/>
        <d v="2010-06-23T05:00:00"/>
        <d v="2012-10-20T05:00:00"/>
        <d v="2019-04-07T05:00:00"/>
        <d v="2019-10-14T05:00:00"/>
        <d v="2011-03-10T06:00:00"/>
        <d v="2015-07-27T05:00:00"/>
        <d v="2014-11-25T06:00:00"/>
        <d v="2011-10-19T05:00:00"/>
        <d v="2015-02-21T06:00:00"/>
        <d v="2018-05-14T05:00:00"/>
        <d v="2010-10-24T05:00:00"/>
        <d v="2017-05-23T05:00:00"/>
        <d v="2013-04-02T05:00:00"/>
        <d v="2019-09-08T05:00:00"/>
        <d v="2018-04-23T05:00:00"/>
        <d v="2012-04-06T05:00:00"/>
        <d v="2014-01-12T06:00:00"/>
        <d v="2018-09-11T05:00:00"/>
        <d v="2012-09-22T05:00:00"/>
        <d v="2014-08-24T05:00:00"/>
        <d v="2017-09-12T05:00:00"/>
        <d v="2019-04-09T05:00:00"/>
        <d v="2017-11-17T06:00:00"/>
        <d v="2015-09-18T05:00:00"/>
        <d v="2011-09-22T05:00:00"/>
        <d v="2014-01-26T06:00:00"/>
        <d v="2014-06-16T05:00:00"/>
        <d v="2015-04-17T05:00:00"/>
        <d v="2014-11-27T06:00:00"/>
        <d v="2015-11-24T06:00:00"/>
        <d v="2019-05-13T05:00:00"/>
        <d v="2018-09-19T05:00:00"/>
        <d v="2016-08-14T05:00:00"/>
        <d v="2010-05-12T05:00:00"/>
        <d v="2010-08-27T05:00:00"/>
        <d v="2015-02-03T06:00:00"/>
        <d v="2011-10-26T05:00:00"/>
        <d v="2013-11-29T06:00:00"/>
        <d v="2018-01-12T06:00:00"/>
        <d v="2011-08-12T05:00:00"/>
        <d v="2011-06-19T05:00:00"/>
        <d v="2013-03-07T06:00:00"/>
        <d v="2014-06-07T05:00:00"/>
        <d v="2010-10-06T05:00:00"/>
        <d v="2012-09-28T05:00:00"/>
        <d v="2015-04-21T05:00:00"/>
        <d v="2018-02-25T06:00:00"/>
        <d v="2015-06-12T05:00:00"/>
        <d v="2010-06-28T05:00:00"/>
        <d v="2019-06-17T05:00:00"/>
        <d v="2014-09-07T05:00:00"/>
        <d v="2011-11-08T06:00:00"/>
        <d v="2016-06-13T05:00:00"/>
        <d v="2017-07-25T05:00:00"/>
        <d v="2013-01-01T06:00:00"/>
        <d v="2018-12-16T06:00:00"/>
        <d v="2014-06-09T05:00:00"/>
        <d v="2017-02-17T06:00:00"/>
        <d v="2012-10-19T05:00:00"/>
        <d v="2016-05-12T05:00:00"/>
        <d v="2010-03-25T05:00:00"/>
        <d v="2019-10-05T05:00:00"/>
        <d v="2013-12-30T06:00:00"/>
        <d v="2015-12-08T06:00:00"/>
        <d v="2019-03-27T05:00:00"/>
        <d v="2019-04-27T05:00:00"/>
        <d v="2015-09-23T05:00:00"/>
        <d v="2018-12-08T06:00:00"/>
        <d v="2017-10-20T05:00:00"/>
        <d v="2017-10-08T05:00:00"/>
        <d v="2017-08-01T05:00:00"/>
        <d v="2010-12-22T06:00:00"/>
        <d v="2013-06-10T05:00:00"/>
        <d v="2019-02-22T06:00:00"/>
        <d v="2012-06-17T05:00:00"/>
        <d v="2017-08-03T05:00:00"/>
        <d v="2014-03-20T05:00:00"/>
        <d v="2014-07-19T05:00:00"/>
        <d v="2013-05-18T05:00:00"/>
        <d v="2015-10-05T05:00:00"/>
        <d v="2016-08-31T05:00:00"/>
        <d v="2016-09-03T05:00:00"/>
        <d v="2010-11-15T06:00:00"/>
        <d v="2017-09-21T05:00:00"/>
        <d v="2013-03-17T05:00:00"/>
        <d v="2010-03-22T05:00:00"/>
        <d v="2017-10-04T05:00:00"/>
        <d v="2019-06-15T05:00:00"/>
        <d v="2010-09-09T05:00:00"/>
        <d v="2019-05-03T05:00:00"/>
        <d v="2018-05-13T05:00:00"/>
        <d v="2014-05-23T05:00:00"/>
        <d v="2013-02-23T06:00:00"/>
        <d v="2014-12-02T06:00:00"/>
        <d v="2016-03-04T06:00:00"/>
        <d v="2013-06-04T05:00:00"/>
        <d v="2019-03-12T05:00:00"/>
        <d v="2014-06-27T05:00:00"/>
        <d v="2018-04-08T05:00:00"/>
        <d v="2015-09-14T05:00:00"/>
        <d v="2018-07-29T05:00:00"/>
        <d v="2017-06-23T05:00:00"/>
        <d v="2010-08-06T05:00:00"/>
        <d v="2015-07-07T05:00:00"/>
        <d v="2014-07-25T05:00:00"/>
        <d v="2011-10-02T05:00:00"/>
        <d v="2017-01-17T06:00:00"/>
        <d v="2011-04-03T05:00:00"/>
        <d v="2018-10-17T05:00:00"/>
        <d v="2010-02-27T06:00:00"/>
        <d v="2018-08-28T05:00:00"/>
        <d v="2017-11-09T06:00:00"/>
        <d v="2016-05-06T05:00:00"/>
        <d v="2017-03-03T06:00:00"/>
        <d v="2013-08-27T05:00:00"/>
        <d v="2019-12-15T06:00:00"/>
        <d v="2010-11-06T05:00:00"/>
        <d v="2010-08-19T05:00:00"/>
        <d v="2019-02-13T06:00:00"/>
        <d v="2011-11-22T06:00:00"/>
        <d v="2019-04-28T05:00:00"/>
        <d v="2011-11-11T06:00:00"/>
        <d v="2012-08-16T05:00:00"/>
        <d v="2011-07-01T05:00:00"/>
        <d v="2012-06-21T05:00:00"/>
        <d v="2014-10-02T05:00:00"/>
        <d v="2016-03-16T05:00:00"/>
        <d v="2014-09-24T05:00:00"/>
        <d v="2014-05-03T05:00:00"/>
        <d v="2010-04-08T05:00:00"/>
        <d v="2015-05-15T05:00:00"/>
        <d v="2017-06-01T05:00:00"/>
        <d v="2019-12-06T06:00:00"/>
        <d v="2013-05-21T05:00:00"/>
        <d v="2016-07-25T05:00:00"/>
        <d v="2011-06-12T05:00:00"/>
        <d v="2017-08-22T05:00:00"/>
        <d v="2017-02-13T06:00:00"/>
        <d v="2019-06-25T05:00:00"/>
        <d v="2014-04-25T05:00:00"/>
        <d v="2017-12-14T06:00:00"/>
        <d v="2015-08-29T05:00:00"/>
        <d v="2014-04-13T05:00:00"/>
        <d v="2017-05-10T05:00:00"/>
        <d v="2018-03-04T06:00:00"/>
        <d v="2014-07-14T05:00:00"/>
        <d v="2014-04-07T05:00:00"/>
        <d v="2013-08-05T05:00:00"/>
        <d v="2016-12-22T06:00:00"/>
        <d v="2014-12-31T06:00:00"/>
        <d v="2015-01-02T06:00:00"/>
        <d v="2012-12-09T06:00:00"/>
        <d v="2013-10-25T05:00:00"/>
        <d v="2011-04-08T05:00:00"/>
        <d v="2017-02-21T06:00:00"/>
        <d v="2011-02-16T06:00:00"/>
        <d v="2016-01-24T06:00:00"/>
        <d v="2013-03-05T06:00:00"/>
        <d v="2016-12-08T06:00:00"/>
        <d v="2012-12-08T06:00:00"/>
        <d v="2010-08-25T05:00:00"/>
        <d v="2011-04-05T05:00:00"/>
        <d v="2010-01-09T06:00:00"/>
        <d v="2013-02-12T06:00:00"/>
        <d v="2016-01-03T06:00:00"/>
        <d v="2014-11-07T06:00:00"/>
        <d v="2012-10-24T05:00:00"/>
        <d v="2012-10-04T05:00:00"/>
        <d v="2019-01-31T06:00:00"/>
        <d v="2010-12-02T06:00:00"/>
        <d v="2015-12-07T06:00:00"/>
        <d v="2019-07-10T05:00:00"/>
        <d v="2017-09-17T05:00:00"/>
        <d v="2017-11-06T06:00:00"/>
        <d v="2019-04-06T05:00:00"/>
        <d v="2012-04-19T05:00:00"/>
        <d v="2010-07-19T05:00:00"/>
        <d v="2012-11-26T06:00:00"/>
        <d v="2018-09-03T05:00:00"/>
        <d v="2017-11-21T06:00:00"/>
        <d v="2012-03-11T06:00:00"/>
        <d v="2016-05-30T05:00:00"/>
        <d v="2012-05-01T05:00:00"/>
        <d v="2016-09-10T05:00:00"/>
        <d v="2016-11-23T06:00:00"/>
        <d v="2015-04-28T05:00:00"/>
        <d v="2012-03-14T05:00:00"/>
        <d v="2015-08-03T05:00:00"/>
        <d v="2013-05-10T05:00:00"/>
        <d v="2011-10-15T05:00:00"/>
        <d v="2012-03-16T05:00:00"/>
        <d v="2010-10-05T05:00:00"/>
        <d v="2018-10-26T05:00:00"/>
        <d v="2013-10-15T05:00:00"/>
        <d v="2019-01-28T06:00:00"/>
        <d v="2014-01-14T06:00:00"/>
        <d v="2016-02-26T06:00:00"/>
        <d v="2016-03-03T06:00:00"/>
        <d v="2017-08-30T05:00:00"/>
        <d v="2015-02-26T06:00:00"/>
        <d v="2018-09-02T05:00:00"/>
        <d v="2016-01-07T06:00:00"/>
        <d v="2016-08-07T05:00:00"/>
        <d v="2016-03-19T05:00:00"/>
        <d v="2017-07-14T05:00:00"/>
        <d v="2012-06-06T05:00:00"/>
        <d v="2011-04-18T05:00:00"/>
        <d v="2011-09-21T05:00:00"/>
        <d v="2010-04-09T05:00:00"/>
        <d v="2012-02-27T06:00:00"/>
        <d v="2014-05-24T05:00:00"/>
        <d v="2019-11-19T06:00:00"/>
        <d v="2017-05-14T05:00:00"/>
        <d v="2014-02-14T06:00:00"/>
        <d v="2010-08-12T05:00:00"/>
        <d v="2011-05-10T05:00:00"/>
        <d v="2011-04-01T05:00:00"/>
        <d v="2010-11-25T06:00:00"/>
        <d v="2014-03-27T05:00:00"/>
        <d v="2015-06-21T05:00:00"/>
        <d v="2015-12-26T06:00:00"/>
        <d v="2019-08-28T05:00:00"/>
        <d v="2018-11-30T06:00:00"/>
        <d v="2016-12-12T06:00:00"/>
        <d v="2017-12-08T06:00:00"/>
        <d v="2011-12-19T06:00:00"/>
        <d v="2013-03-28T05:00:00"/>
        <d v="2018-11-20T06:00:00"/>
        <d v="2019-11-15T06:00:00"/>
        <d v="2010-12-15T06:00:00"/>
        <d v="2019-11-11T06:00:00"/>
        <d v="2011-10-05T05:00:00"/>
        <d v="2017-08-02T05:00:00"/>
        <d v="2011-12-12T06:00:00"/>
        <d v="2015-08-28T05:00:00"/>
        <d v="2013-07-20T05:00:00"/>
        <d v="2013-11-19T06:00:00"/>
        <d v="2018-01-22T06:00:00"/>
        <d v="2015-07-09T05:00:00"/>
        <d v="2017-08-24T05:00:00"/>
        <d v="2015-02-11T06:00:00"/>
        <d v="2017-02-16T06:00:00"/>
        <d v="2015-05-20T05:00:00"/>
        <d v="2015-08-24T05:00:00"/>
        <d v="2015-11-07T06:00:00"/>
        <d v="2019-07-05T05:00:00"/>
        <d v="2013-09-03T05:00:00"/>
        <d v="2017-01-22T06:00:00"/>
        <d v="2012-01-14T06:00:00"/>
        <d v="2015-09-03T05:00:00"/>
        <d v="2018-08-10T05:00:00"/>
        <d v="2011-08-27T05:00:00"/>
        <d v="2011-01-01T06:00:00"/>
        <d v="2017-10-07T05:00:00"/>
        <d v="2011-12-27T06:00:00"/>
        <d v="2018-03-05T06:00:00"/>
        <d v="2016-12-29T06:00:00"/>
        <d v="2011-01-03T06:00:00"/>
        <d v="2014-10-18T05:00:00"/>
        <d v="2010-10-13T05:00:00"/>
        <d v="2013-02-03T06:00:00"/>
        <d v="2019-04-15T05:00:00"/>
        <d v="2015-02-08T06:00:00"/>
        <d v="2015-01-08T06:00:00"/>
        <d v="2017-08-17T05:00:00"/>
        <d v="2019-01-11T06:00:00"/>
        <d v="2015-10-16T05:00:00"/>
        <d v="2014-07-06T05:00:00"/>
        <d v="2018-05-21T05:00:00"/>
        <d v="2011-10-27T05:00:00"/>
        <d v="2013-06-23T05:00:00"/>
        <d v="2015-06-08T05:00:00"/>
        <d v="2017-10-16T05:00:00"/>
        <d v="2017-02-10T06:00:00"/>
        <d v="2019-03-29T05:00:00"/>
        <d v="2010-06-26T05:00:00"/>
        <d v="2012-06-12T05:00:00"/>
        <d v="2012-01-04T06:00:00"/>
        <d v="2010-10-28T05:00:00"/>
        <d v="2013-09-13T05:00:00"/>
        <d v="2011-01-06T06:00:00"/>
        <d v="2017-07-17T05:00:00"/>
        <d v="2013-07-29T05:00:00"/>
        <d v="2011-12-08T06:00:00"/>
        <d v="2018-10-05T05:00:00"/>
        <d v="2013-05-23T05:00:00"/>
        <d v="2018-05-08T05:00:00"/>
        <d v="2011-02-02T06:00:00"/>
        <d v="2013-08-16T05:00:00"/>
        <d v="2019-10-27T05:00:00"/>
        <d v="2012-01-06T06:00:00"/>
        <d v="2017-11-14T06:00:00"/>
        <d v="2018-06-04T05:00:00"/>
        <d v="2013-01-30T06:00:00"/>
        <d v="2019-10-13T05:00:00"/>
        <d v="2016-06-20T05:00:00"/>
        <d v="2017-04-18T05:00:00"/>
        <d v="2017-05-29T05:00:00"/>
        <d v="2014-01-03T06:00:00"/>
        <d v="2018-11-27T06:00:00"/>
        <d v="2010-04-20T05:00:00"/>
        <d v="2012-01-13T06:00:00"/>
        <d v="2011-01-17T06:00:00"/>
        <d v="2018-11-03T05:00:00"/>
        <d v="2012-05-06T05:00:00"/>
        <d v="2011-12-22T06:00:00"/>
        <d v="2017-06-25T05:00:00"/>
        <d v="2017-06-29T05:00:00"/>
        <d v="2010-04-17T05:00:00"/>
        <d v="2018-04-18T05:00:00"/>
        <d v="2015-07-28T05:00:00"/>
        <d v="2013-02-27T06:00:00"/>
        <d v="2014-09-13T05:00:00"/>
        <d v="2011-02-11T06:00:00"/>
        <d v="2014-02-10T06:00:00"/>
        <d v="2019-09-29T05:00:00"/>
        <d v="2018-06-22T05:00:00"/>
        <d v="2014-05-02T05:00:00"/>
        <d v="2013-11-25T06:00:00"/>
        <d v="2016-12-01T06:00:00"/>
        <d v="2014-12-15T06:00:00"/>
        <d v="2019-04-20T05:00:00"/>
        <d v="2015-09-13T05:00:00"/>
        <d v="2013-03-04T06:00:00"/>
        <d v="2016-11-06T05:00:00"/>
        <d v="2017-06-30T05:00:00"/>
        <d v="2012-04-26T05:00:00"/>
        <d v="2017-09-02T05:00:00"/>
        <d v="2010-09-30T05:00:00"/>
        <d v="2011-07-24T05:00:00"/>
        <d v="2010-12-03T06:00:00"/>
        <d v="2012-12-18T06:00:00"/>
        <d v="2017-12-19T06:00:00"/>
        <d v="2013-04-14T05:00:00"/>
        <d v="2019-03-06T06:00:00"/>
        <d v="2018-10-21T05:00:00"/>
        <d v="2017-07-19T05:00:00"/>
        <d v="2010-07-06T05:00:00"/>
        <d v="2013-10-21T05:00:00"/>
        <d v="2011-09-23T05:00:00"/>
        <d v="2018-02-10T06:00:00"/>
        <d v="2016-10-14T05:00:00"/>
        <d v="2010-03-28T05:00:00"/>
        <d v="2014-12-28T06:00:00"/>
        <d v="2014-04-28T05:00:00"/>
        <d v="2013-12-31T06:00:00"/>
        <d v="2018-02-11T06:00:00"/>
        <d v="2018-01-27T06:00:00"/>
        <d v="2013-05-15T05:00:00"/>
        <d v="2015-11-23T06:00:00"/>
        <d v="2019-04-14T05:00:00"/>
        <d v="2015-05-18T05:00:00"/>
        <d v="2012-05-02T05:00:00"/>
        <d v="2019-03-11T05:00:00"/>
        <d v="2018-06-26T05:00:00"/>
        <d v="2014-12-16T06:00:00"/>
        <d v="2013-06-25T05:00:00"/>
        <d v="2011-06-26T05:00:00"/>
        <d v="2015-03-09T05:00:00"/>
        <d v="2017-07-29T05:00:00"/>
        <d v="2010-03-11T06:00:00"/>
        <d v="2014-10-01T05:00:00"/>
        <d v="2012-02-24T06:00:00"/>
        <d v="2019-12-12T06:00:00"/>
        <d v="2014-08-04T05:00:00"/>
        <d v="2019-06-10T05:00:00"/>
        <d v="2018-03-09T06:00:00"/>
        <d v="2017-04-20T05:00:00"/>
        <d v="2016-02-03T06:00:00"/>
        <d v="2010-08-16T05:00:00"/>
        <d v="2019-11-17T06:00:00"/>
        <d v="2013-07-01T05:00:00"/>
        <d v="2010-06-07T05:00:00"/>
        <d v="2019-06-29T05:00:00"/>
        <d v="2012-03-22T05:00:00"/>
        <d v="2014-06-10T05:00:00"/>
        <d v="2017-05-21T05:00:00"/>
        <d v="2016-12-20T06:00:00"/>
        <d v="2015-01-01T06:00:00"/>
        <d v="2016-03-15T05:00:00"/>
        <d v="2013-05-01T05:00:00"/>
        <d v="2013-03-12T05:00:00"/>
        <d v="2012-07-27T05:00:00"/>
        <d v="2013-03-08T06:00:00"/>
        <d v="2013-04-09T05:00:00"/>
        <d v="2012-05-05T05:00:00"/>
        <d v="2018-05-31T05:00:00"/>
        <d v="2019-07-25T05:00:00"/>
        <d v="2014-07-05T05:00:00"/>
        <d v="2013-12-06T06:00:00"/>
        <d v="2011-12-23T06:00:00"/>
        <d v="2017-05-05T05:00:00"/>
        <d v="2018-02-23T06:00:00"/>
        <d v="2019-04-19T05:00:00"/>
        <d v="2016-08-23T05:00:00"/>
        <d v="2012-07-03T05:00:00"/>
        <d v="2010-03-04T06:00:00"/>
        <d v="2010-04-26T05:00:00"/>
        <d v="2010-11-23T06:00:00"/>
        <d v="2016-02-05T06:00:00"/>
        <d v="2013-11-23T06:00:00"/>
        <d v="2014-05-10T05:00:00"/>
        <d v="2010-08-31T05:00:00"/>
        <d v="2013-11-11T06:00:00"/>
        <d v="2018-01-25T06:00:00"/>
        <d v="2013-07-24T05:00:00"/>
        <d v="2018-08-17T05:00:00"/>
        <d v="2018-06-08T05:00:00"/>
        <d v="2010-08-24T05:00:00"/>
        <d v="2018-08-30T05:00:00"/>
        <d v="2013-09-22T05:00:00"/>
        <d v="2019-07-01T05:00:00"/>
        <d v="2018-05-05T05:00:00"/>
        <d v="2015-06-10T05:00:00"/>
        <d v="2016-01-22T06:00:00"/>
        <d v="2013-09-11T05:00:00"/>
        <d v="2016-01-08T06:00:00"/>
        <d v="2019-12-25T06:00:00"/>
        <d v="2018-09-17T05:00:00"/>
        <d v="2015-01-25T06:00:00"/>
        <d v="2016-04-01T05:00:00"/>
        <d v="2013-05-28T05:00:00"/>
        <d v="2012-02-29T06:00:00"/>
        <d v="2014-12-20T06:00:00"/>
        <d v="2016-11-26T06:00:00"/>
        <d v="2011-01-02T06:00:00"/>
        <d v="2016-12-19T06:00:00"/>
        <d v="2014-04-02T05:00:00"/>
        <d v="2011-09-06T05:00:00"/>
        <d v="2015-10-02T05:00:00"/>
        <d v="2016-02-24T06:00:00"/>
        <d v="2016-08-02T05:00:00"/>
        <d v="2011-11-18T06:00:00"/>
        <d v="2011-10-17T05:00:00"/>
        <d v="2018-11-13T06:00:00"/>
        <d v="2015-03-15T05:00:00"/>
        <d v="2011-11-15T06:00:00"/>
        <d v="2014-07-10T05:00:00"/>
        <d v="2010-07-15T05:00:00"/>
        <d v="2011-01-11T06:00:00"/>
        <d v="2015-06-19T05:00:00"/>
        <d v="2015-09-28T05:00:00"/>
        <d v="2019-12-07T06:00:00"/>
        <d v="2017-11-01T05:00:00"/>
        <d v="2011-03-11T06:00:00"/>
        <d v="2011-12-01T06:00:00"/>
        <d v="2011-08-07T05:00:00"/>
        <d v="2014-02-26T06:00:00"/>
        <d v="2011-04-29T05:00:00"/>
        <d v="2012-02-20T06:00:00"/>
        <d v="2012-04-25T05:00:00"/>
        <d v="2010-03-18T05:00:00"/>
        <d v="2010-11-17T06:00:00"/>
        <d v="2015-07-05T05:00:00"/>
        <d v="2014-12-21T06:00:00"/>
        <d v="2010-07-14T05:00:00"/>
        <d v="2014-05-30T05:00:00"/>
        <d v="2014-03-26T05:00:00"/>
        <d v="2016-06-27T05:00:00"/>
        <d v="2010-03-16T05:00:00"/>
        <d v="2016-03-05T06:00:00"/>
        <d v="2010-06-15T05:00:00"/>
        <d v="2015-02-12T06:00:00"/>
        <d v="2013-07-30T05:00:00"/>
        <d v="2019-04-18T05:00:00"/>
        <d v="2011-01-22T06:00:00"/>
        <d v="2016-03-07T06:00:00"/>
        <d v="2014-03-23T05:00:00"/>
        <d v="2019-01-16T06:00:00"/>
        <d v="2012-12-16T06:00:00"/>
        <d v="2013-07-25T05:00:00"/>
        <d v="2010-10-23T05:00:00"/>
        <d v="2017-08-26T05:00:00"/>
        <d v="2017-01-11T06:00:00"/>
        <d v="2016-04-29T05:00:00"/>
        <d v="2013-09-20T05:00:00"/>
        <d v="2014-06-04T05:00:00"/>
        <d v="2013-05-02T05:00:00"/>
        <d v="2011-05-06T05:00:00"/>
        <d v="2016-07-08T05:00:00"/>
        <d v="2016-09-13T05:00:00"/>
        <d v="2018-04-15T05:00:00"/>
        <d v="2015-07-16T05:00:00"/>
        <d v="2020-01-27T06:00:00"/>
        <d v="2010-09-28T05:00:00"/>
        <d v="2010-06-16T05:00:00"/>
        <d v="2010-10-04T05:00:00"/>
        <d v="2016-07-06T05:00:00"/>
        <d v="2019-05-01T05:00:00"/>
        <d v="2019-03-26T05:00:00"/>
        <d v="2014-11-02T05:00:00"/>
        <d v="2017-03-25T05:00:00"/>
        <d v="2013-02-09T06:00:00"/>
        <d v="2012-01-18T06:00:00"/>
        <d v="2016-11-14T06:00:00"/>
        <d v="2010-07-27T05:00:00"/>
        <d v="2018-07-28T05:00:00"/>
        <d v="2016-01-18T06:00:00"/>
        <d v="2017-02-20T06:00:00"/>
        <d v="2018-12-17T06:00:00"/>
        <d v="2017-03-01T06:00:00"/>
        <d v="2018-12-18T06:00:00"/>
        <d v="2018-09-26T05:00:00"/>
        <d v="2013-03-13T05:00:00"/>
        <d v="2018-04-09T05:00:00"/>
        <d v="2017-07-06T05:00:00"/>
        <d v="2010-10-20T05:00:00"/>
        <d v="2014-07-08T05:00:00"/>
        <d v="2014-02-22T06:00:00"/>
        <d v="2016-08-05T05:00:00"/>
        <d v="2016-04-08T05:00:00"/>
        <d v="2017-03-02T06:00:00"/>
        <d v="2017-12-28T06:00:00"/>
        <d v="2017-12-27T06:00:00"/>
        <d v="2015-08-30T05:00:00"/>
        <d v="2015-08-21T05:00:00"/>
        <d v="2012-03-28T05:00:00"/>
        <d v="2018-12-09T06:00:00"/>
        <d v="2010-10-07T05:00:00"/>
        <d v="2011-07-09T05:00:00"/>
        <d v="2013-08-30T05:00:00"/>
        <d v="2014-09-10T05:00:00"/>
        <d v="2012-08-01T05:00:00"/>
        <d v="2017-06-26T05:00:00"/>
        <d v="2010-07-31T05:00:00"/>
        <d v="2018-03-21T05:00:00"/>
        <d v="2016-04-15T05:00:00"/>
        <d v="2011-08-19T05:00:00"/>
        <d v="2019-09-11T05:00:00"/>
        <d v="2012-09-26T05:00:00"/>
        <d v="2016-07-10T05:00:00"/>
        <d v="2019-10-18T05:00:00"/>
        <d v="2019-12-14T06:00:00"/>
        <d v="2011-12-21T06:00:00"/>
        <d v="2013-12-11T06:00:00"/>
        <d v="2018-09-16T05:00:00"/>
        <d v="2010-06-29T05:00:00"/>
        <d v="2015-08-23T05:00:00"/>
        <d v="2018-03-27T05:00:00"/>
        <d v="2017-03-12T06:00:00"/>
        <d v="2019-01-10T06:00:00"/>
        <d v="2013-10-29T05:00:00"/>
        <d v="2011-11-27T06:00:00"/>
        <d v="2012-10-03T05:00:00"/>
        <d v="2019-07-09T05:00:00"/>
        <d v="2017-10-17T05:00:00"/>
        <d v="2017-11-27T06:00:00"/>
        <d v="2015-11-14T06:00:00"/>
        <d v="2015-04-20T05:00:00"/>
        <d v="2018-03-31T05:00:00"/>
        <d v="2011-11-24T06:00:00"/>
        <d v="2011-03-27T05:00:00"/>
        <d v="2013-07-22T05:00:00"/>
        <d v="2012-04-21T05:00:00"/>
        <d v="2016-07-04T05:00:00"/>
        <d v="2019-01-06T06:00:00"/>
        <d v="2017-05-22T05:00:00"/>
        <d v="2018-07-14T05:00:00"/>
        <d v="2016-08-22T05:00:00"/>
        <d v="2010-08-07T05:00:00"/>
        <d v="2013-07-10T05:00:00"/>
        <d v="2011-08-22T05:00:00"/>
        <d v="2013-06-17T05:00:00"/>
        <d v="2012-05-29T05:00:00"/>
        <d v="2018-02-21T06:00:00"/>
        <d v="2018-04-04T05:00:00"/>
        <d v="2016-03-02T06:00:00"/>
        <d v="2014-10-22T05:00:00"/>
        <d v="2014-11-15T06:00:00"/>
        <d v="2010-10-25T05:00:00"/>
        <d v="2016-05-25T05:00:00"/>
        <d v="2013-02-04T06:00:00"/>
        <d v="2015-05-23T05:00:00"/>
        <d v="2017-07-23T05:00:00"/>
        <d v="2017-03-22T05:00:00"/>
        <d v="2017-01-28T06:00:00"/>
        <d v="2016-03-30T05:00:00"/>
        <d v="2015-02-20T06:00:00"/>
        <d v="2016-11-11T06:00:00"/>
        <d v="2014-11-16T06:00:00"/>
        <d v="2012-06-29T05:00:00"/>
        <d v="2017-02-03T06:00:00"/>
        <d v="2010-05-23T05:00:00"/>
        <d v="2010-01-19T06:00:00"/>
        <d v="2015-10-21T05:00:00"/>
        <d v="2010-05-30T05:00:00"/>
        <d v="2011-10-09T05:00:00"/>
        <d v="2010-09-02T05:00:00"/>
        <d v="2010-03-01T06:00:00"/>
        <d v="2014-10-08T05:00:00"/>
        <d v="2010-07-01T05:00:00"/>
        <d v="2016-03-17T05:00:00"/>
        <d v="2010-08-05T05:00:00"/>
        <d v="2012-10-28T05:00:00"/>
        <d v="2015-01-20T06:00:00"/>
        <d v="2011-05-12T05:00:00"/>
        <d v="2014-10-24T05:00:00"/>
        <d v="2018-02-05T06:00:00"/>
        <d v="2019-08-01T05:00:00"/>
        <d v="2017-07-22T05:00:00"/>
        <d v="2012-11-28T06:00:00"/>
        <d v="2012-05-08T05:00:00"/>
        <d v="2011-05-13T05:00:00"/>
        <d v="2017-04-15T05:00:00"/>
        <d v="2015-10-06T05:00:00"/>
        <d v="2013-08-15T05:00:00"/>
        <d v="2014-04-14T05:00:00"/>
        <d v="2019-01-26T06:00:00"/>
        <d v="2019-02-09T06:00:00"/>
        <d v="2017-04-13T05:00:00"/>
        <d v="2016-05-23T05:00:00"/>
        <d v="2014-11-06T06:00:00"/>
        <d v="2019-07-04T05:00:00"/>
        <d v="2011-08-13T05:00:00"/>
        <d v="2015-08-14T05:00:00"/>
        <d v="2016-07-22T05:00:00"/>
        <d v="2010-10-31T05:00:00"/>
        <d v="2011-03-01T06:00:00"/>
        <d v="2013-12-17T06:00:00"/>
        <d v="2016-03-06T06:00:00"/>
        <d v="2011-05-21T05:00:00"/>
        <d v="2014-05-27T05:00:00"/>
        <d v="2010-02-14T06:00:00"/>
        <d v="2016-12-11T06:00:00"/>
        <d v="2013-06-26T05:00:00"/>
        <d v="2017-12-22T06:00:00"/>
        <d v="2016-11-01T05:00:00"/>
        <d v="2014-08-08T05:00:00"/>
        <d v="2018-12-30T06:00:00"/>
        <d v="2012-05-31T05:00:00"/>
        <d v="2016-01-30T06:00:00"/>
        <d v="2019-12-31T06:00:00"/>
        <d v="2019-01-27T06:00:00"/>
        <d v="2018-01-02T06:00:00"/>
        <d v="2012-03-05T06:00:00"/>
        <d v="2019-10-15T05:00:00"/>
        <d v="2016-05-17T05:00:00"/>
        <d v="2012-08-14T05:00:00"/>
        <d v="2017-11-28T06:00:00"/>
        <d v="2016-01-09T06:00:00"/>
        <d v="2012-08-27T05:00:00"/>
        <d v="2016-05-27T05:00:00"/>
        <d v="2017-11-29T06:00:00"/>
        <d v="2019-05-04T05:00:00"/>
        <d v="2019-01-21T06:00:00"/>
        <d v="2012-11-24T06:00:00"/>
        <d v="2017-02-28T06:00:00"/>
        <d v="2014-02-28T06:00:00"/>
        <d v="2010-06-19T05:00:00"/>
        <d v="2010-12-13T06:00:00"/>
        <d v="2011-05-03T05:00:00"/>
        <d v="2015-06-09T05:00:00"/>
        <d v="2018-01-03T06:00:00"/>
        <d v="2012-03-26T05:00:00"/>
        <d v="2015-10-22T05:00:00"/>
        <d v="2011-02-14T06:00:00"/>
        <d v="2015-02-28T06:00:00"/>
        <d v="2010-02-05T06:00:00"/>
        <d v="2018-09-27T05:00:00"/>
        <d v="2014-03-17T05:00:00"/>
        <d v="2014-07-16T05:00:00"/>
        <d v="2016-02-19T06:00:00"/>
        <d v="2018-06-15T05:00:00"/>
        <d v="2018-08-26T05:00:00"/>
        <d v="2012-01-22T06:00:00"/>
        <d v="2018-05-15T05:00:00"/>
        <d v="2018-07-21T05:00:00"/>
        <d v="2018-01-07T06:00:00"/>
        <d v="2010-06-12T05:00:00"/>
        <d v="2012-02-09T06:00:00"/>
        <d v="2011-11-19T06:00:00"/>
        <d v="2011-07-16T05:00:00"/>
        <d v="2011-06-20T05:00:00"/>
        <d v="2019-11-18T06:00:00"/>
        <d v="2011-06-18T05:00:00"/>
        <d v="2012-04-24T05:00:00"/>
        <d v="2012-02-05T06:00:00"/>
        <d v="2018-04-21T05:00:00"/>
        <d v="2013-03-01T06:00:00"/>
        <d v="2019-02-19T06:00:00"/>
        <d v="2010-03-21T05:00:00"/>
        <d v="2011-08-01T05:00:00"/>
        <d v="2015-06-17T05:00:00"/>
        <d v="2016-08-19T05:00:00"/>
        <d v="2014-09-15T05:00:00"/>
        <d v="2011-05-08T05:00:00"/>
        <d v="2018-10-09T05:00:00"/>
        <d v="2013-10-12T05:00:00"/>
        <d v="2010-06-21T05:00:00"/>
        <d v="2014-01-08T06:00:00"/>
        <d v="2010-04-23T05:00:00"/>
        <d v="2011-01-13T06:00:00"/>
        <d v="2019-06-08T05:00:00"/>
        <d v="2016-07-26T05:00:00"/>
        <d v="2020-01-15T06:00:00"/>
        <d v="2017-02-22T06:00:00"/>
        <d v="2019-07-21T05:00:00"/>
        <d v="2015-01-21T06:00:00"/>
        <d v="2010-05-25T05:00:00"/>
        <d v="2014-05-04T05:00:00"/>
        <d v="2010-06-06T05:00:00"/>
        <d v="2010-08-26T05:00:00"/>
        <d v="2015-07-17T05:00:00"/>
        <d v="2017-04-11T05:00:00"/>
        <d v="2014-03-12T05:00:00"/>
        <d v="2019-06-24T05:00:00"/>
        <d v="2011-12-03T06:00:00"/>
        <d v="2010-05-21T05:00:00"/>
        <d v="2015-06-15T05:00:00"/>
        <d v="2013-07-11T05:00:00"/>
        <d v="2018-02-03T06:00:00"/>
        <d v="2011-07-14T05:00:00"/>
        <d v="2019-12-16T06:00:00"/>
        <d v="2013-10-07T05:00:00"/>
        <d v="2014-09-19T05:00:00"/>
        <d v="2018-07-17T05:00:00"/>
        <d v="2017-05-13T05:00:00"/>
        <d v="2011-04-27T05:00:00"/>
        <d v="2015-01-22T06:00:00"/>
        <d v="2019-09-09T05:00:00"/>
        <d v="2012-09-05T05:00:00"/>
        <d v="2019-05-12T05:00:00"/>
        <d v="2013-08-04T05:00:00"/>
        <d v="2014-12-18T06:00:00"/>
        <d v="2011-06-28T05:00:00"/>
        <d v="2017-10-14T05:00:00"/>
        <d v="2019-02-07T06:00:00"/>
        <d v="2012-02-12T06:00:00"/>
        <d v="2019-10-31T05:00:00"/>
        <d v="2017-09-22T05:00:00"/>
        <d v="2012-07-12T05:00:00"/>
        <d v="2013-12-29T06:00:00"/>
        <d v="2017-05-03T05:00:00"/>
        <d v="2015-02-25T06:00:00"/>
        <d v="2014-06-28T05:00:00"/>
        <d v="2014-03-11T05:00:00"/>
        <d v="2013-04-08T05:00:00"/>
        <d v="2016-02-22T06:00:00"/>
        <d v="2015-07-24T05:00:00"/>
        <d v="2019-07-22T05:00:00"/>
        <d v="2015-11-26T06:00:00"/>
        <d v="2018-06-12T05:00:00"/>
        <d v="2011-05-07T05:00:00"/>
        <d v="2012-12-01T06:00:00"/>
        <d v="2011-01-09T06:00:00"/>
        <d v="2011-01-25T06:00:00"/>
        <d v="2012-04-05T05:00:00"/>
        <d v="2011-06-16T05:00:00"/>
        <d v="2014-09-26T05:00:00"/>
        <d v="2014-12-12T06:00:00"/>
        <d v="2015-04-18T05:00:00"/>
        <d v="2019-04-16T05:00:00"/>
        <d v="2016-12-26T06:00:00"/>
        <d v="2016-08-09T05:00:00"/>
        <d v="2015-12-20T06:00:00"/>
        <d v="2012-11-25T06:00:00"/>
        <d v="2015-12-22T06:00:00"/>
        <d v="2012-02-16T06:00:00"/>
        <d v="2016-02-08T06:00:00"/>
        <d v="2011-02-17T06:00:00"/>
        <d v="2013-11-14T06:00:00"/>
        <d v="2011-03-05T06:00:00"/>
        <d v="2015-05-11T05:00:00"/>
        <d v="2017-06-15T05:00:00"/>
        <d v="2019-12-22T06:00:00"/>
        <d v="2011-05-09T05:00:00"/>
        <d v="2013-10-08T05:00:00"/>
        <d v="2014-06-02T05:00:00"/>
        <d v="2010-12-10T06:00:00"/>
        <d v="2015-11-29T06:00:00"/>
        <d v="2011-01-28T06:00:00"/>
        <d v="2018-02-07T06:00:00"/>
        <d v="2016-11-12T06:00:00"/>
        <d v="2015-10-30T05:00:00"/>
        <d v="2017-12-25T06:00:00"/>
        <d v="2011-07-19T05:00:00"/>
        <d v="2019-08-04T05:00:00"/>
        <d v="2017-04-27T05:00:00"/>
        <d v="2014-09-25T05:00:00"/>
        <d v="2018-05-07T05:00:00"/>
        <d v="2015-12-24T06:00:00"/>
        <d v="2014-10-17T05:00:00"/>
        <d v="2018-11-04T05:00:00"/>
        <d v="2013-01-02T06:00:00"/>
        <d v="2014-01-20T06:00:00"/>
        <d v="2010-02-11T06:00:00"/>
        <d v="2016-06-29T05:00:00"/>
      </sharedItems>
      <fieldGroup par="23" base="13">
        <rangePr groupBy="months" startDate="2010-01-09T06:00:00" endDate="2020-01-27T06:00:00"/>
        <groupItems count="14">
          <s v="&lt;1/9/1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27/20"/>
        </groupItems>
      </fieldGroup>
    </cacheField>
    <cacheField name="Date Ended Conversion" numFmtId="14">
      <sharedItems containsSemiMixedTypes="0" containsNonDate="0" containsDate="1" containsString="0" minDate="2010-01-09T06:00:00" maxDate="2020-02-10T06:00:00"/>
    </cacheField>
    <cacheField name="weekday_created" numFmtId="0">
      <sharedItems/>
    </cacheField>
    <cacheField name="duration" numFmtId="0">
      <sharedItems containsSemiMixedTypes="0" containsString="0" containsNumber="1" containsInteger="1" minValue="0" maxValue="59" count="60">
        <n v="17"/>
        <n v="2"/>
        <n v="40"/>
        <n v="4"/>
        <n v="11"/>
        <n v="1"/>
        <n v="49"/>
        <n v="48"/>
        <n v="6"/>
        <n v="8"/>
        <n v="12"/>
        <n v="27"/>
        <n v="22"/>
        <n v="21"/>
        <n v="0"/>
        <n v="34"/>
        <n v="15"/>
        <n v="53"/>
        <n v="20"/>
        <n v="23"/>
        <n v="5"/>
        <n v="28"/>
        <n v="37"/>
        <n v="42"/>
        <n v="25"/>
        <n v="33"/>
        <n v="14"/>
        <n v="19"/>
        <n v="26"/>
        <n v="9"/>
        <n v="16"/>
        <n v="30"/>
        <n v="45"/>
        <n v="39"/>
        <n v="7"/>
        <n v="13"/>
        <n v="3"/>
        <n v="47"/>
        <n v="36"/>
        <n v="10"/>
        <n v="54"/>
        <n v="29"/>
        <n v="18"/>
        <n v="35"/>
        <n v="41"/>
        <n v="52"/>
        <n v="51"/>
        <n v="24"/>
        <n v="32"/>
        <n v="46"/>
        <n v="58"/>
        <n v="44"/>
        <n v="31"/>
        <n v="38"/>
        <n v="56"/>
        <n v="55"/>
        <n v="57"/>
        <n v="50"/>
        <n v="43"/>
        <n v="59"/>
      </sharedItems>
      <fieldGroup base="16">
        <rangePr startNum="0" endNum="59" groupInterval="10"/>
        <groupItems count="8">
          <s v="&lt;0"/>
          <s v="0-9"/>
          <s v="10-19"/>
          <s v="20-29"/>
          <s v="30-39"/>
          <s v="40-49"/>
          <s v="50-59"/>
          <s v="&gt;60"/>
        </groupItems>
      </fieldGroup>
    </cacheField>
    <cacheField name="staff_pick" numFmtId="0">
      <sharedItems/>
    </cacheField>
    <cacheField name="spotlight" numFmtId="0">
      <sharedItems/>
    </cacheField>
    <cacheField name="category &amp; sub-category" numFmtId="0">
      <sharedItems/>
    </cacheField>
    <cacheField name="Primary Category" numFmtId="0">
      <sharedItems count="9">
        <s v="food"/>
        <s v="music"/>
        <s v="technology"/>
        <s v="theater"/>
        <s v="film &amp; video"/>
        <s v="publishing"/>
        <s v="games"/>
        <s v="photography"/>
        <s v="journalism"/>
      </sharedItems>
    </cacheField>
    <cacheField name="Subcategory" numFmtId="0">
      <sharedItems count="24">
        <s v="food trucks"/>
        <s v="rock"/>
        <s v="web"/>
        <s v="plays"/>
        <s v="documentary"/>
        <s v="electric music"/>
        <s v="drama"/>
        <s v="indie rock"/>
        <s v="wearables"/>
        <s v="nonfiction"/>
        <s v="animation"/>
        <s v="video games"/>
        <s v="shorts"/>
        <s v="fiction"/>
        <s v="photography books"/>
        <s v="radio &amp; podcasts"/>
        <s v="metal"/>
        <s v="jazz"/>
        <s v="translations"/>
        <s v="television"/>
        <s v="mobile games"/>
        <s v="world music"/>
        <s v="science fiction"/>
        <s v="audio"/>
      </sharedItems>
    </cacheField>
    <cacheField name="Quarters" numFmtId="0" databaseField="0">
      <fieldGroup base="13">
        <rangePr groupBy="quarters" startDate="2010-01-09T06:00:00" endDate="2020-01-27T06:00:00"/>
        <groupItems count="6">
          <s v="&lt;1/9/10"/>
          <s v="Qtr1"/>
          <s v="Qtr2"/>
          <s v="Qtr3"/>
          <s v="Qtr4"/>
          <s v="&gt;1/27/20"/>
        </groupItems>
      </fieldGroup>
    </cacheField>
    <cacheField name="Years" numFmtId="0" databaseField="0">
      <fieldGroup base="13">
        <rangePr groupBy="years" startDate="2010-01-09T06:00:00" endDate="2020-01-27T06:00:00"/>
        <groupItems count="13">
          <s v="&lt;1/9/10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&gt;1/27/20"/>
        </groupItems>
      </fieldGroup>
    </cacheField>
    <cacheField name="% Funded" numFmtId="0" formula="pledged/goal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cholas George" refreshedDate="46148.823105439813" createdVersion="8" refreshedVersion="8" minRefreshableVersion="3" recordCount="1000" xr:uid="{E7D375B6-47CE-2747-88F8-C139F97AD277}">
  <cacheSource type="worksheet">
    <worksheetSource name="CrowdfundingTable"/>
  </cacheSource>
  <cacheFields count="24">
    <cacheField name="id" numFmtId="0">
      <sharedItems containsSemiMixedTypes="0" containsString="0" containsNumber="1" containsInteger="1" minValue="0" maxValue="999"/>
    </cacheField>
    <cacheField name="name" numFmtId="0">
      <sharedItems/>
    </cacheField>
    <cacheField name="blurb" numFmtId="0">
      <sharedItems/>
    </cacheField>
    <cacheField name="goal" numFmtId="167">
      <sharedItems containsSemiMixedTypes="0" containsString="0" containsNumber="1" containsInteger="1" minValue="100" maxValue="199200"/>
    </cacheField>
    <cacheField name="pledged" numFmtId="167">
      <sharedItems containsSemiMixedTypes="0" containsString="0" containsNumber="1" containsInteger="1" minValue="0" maxValue="199110"/>
    </cacheField>
    <cacheField name="percent_funded" numFmtId="9">
      <sharedItems containsSemiMixedTypes="0" containsString="0" containsNumber="1" minValue="0" maxValue="23.388333333333332"/>
    </cacheField>
    <cacheField name="median_funding_ratio" numFmtId="2">
      <sharedItems containsSemiMixedTypes="0" containsString="0" containsNumber="1" minValue="0.43241247264770238" maxValue="2.1230434782608696"/>
    </cacheField>
    <cacheField name="outcome" numFmtId="0">
      <sharedItems count="4">
        <s v="failed"/>
        <s v="successful"/>
        <s v="live"/>
        <s v="canceled"/>
      </sharedItems>
    </cacheField>
    <cacheField name="backers_count" numFmtId="0">
      <sharedItems containsSemiMixedTypes="0" containsString="0" containsNumber="1" containsInteger="1" minValue="0" maxValue="7295"/>
    </cacheField>
    <cacheField name="average_donation" numFmtId="167">
      <sharedItems containsSemiMixedTypes="0" containsString="0" containsNumber="1" minValue="0" maxValue="113.17073170731707"/>
    </cacheField>
    <cacheField name="country" numFmtId="0">
      <sharedItems count="7">
        <s v="CA"/>
        <s v="US"/>
        <s v="AU"/>
        <s v="DK"/>
        <s v="GB"/>
        <s v="CH"/>
        <s v="IT"/>
      </sharedItems>
    </cacheField>
    <cacheField name="currency" numFmtId="0">
      <sharedItems/>
    </cacheField>
    <cacheField name="launched_at" numFmtId="0">
      <sharedItems containsSemiMixedTypes="0" containsString="0" containsNumber="1" containsInteger="1" minValue="1263016800" maxValue="1580104800"/>
    </cacheField>
    <cacheField name="deadline" numFmtId="0">
      <sharedItems containsSemiMixedTypes="0" containsString="0" containsNumber="1" containsInteger="1" minValue="1263016800" maxValue="1581314400"/>
    </cacheField>
    <cacheField name="date_created" numFmtId="14">
      <sharedItems containsSemiMixedTypes="0" containsNonDate="0" containsDate="1" containsString="0" minDate="2010-01-09T06:00:00" maxDate="2020-01-27T06:00:00" count="879">
        <d v="2015-11-28T06:00:00"/>
        <d v="2014-08-19T05:00:00"/>
        <d v="2013-11-17T06:00:00"/>
        <d v="2019-08-11T05:00:00"/>
        <d v="2019-01-20T06:00:00"/>
        <d v="2012-08-28T05:00:00"/>
        <d v="2017-09-13T05:00:00"/>
        <d v="2015-08-13T05:00:00"/>
        <d v="2010-08-09T05:00:00"/>
        <d v="2013-09-19T05:00:00"/>
        <d v="2010-08-14T05:00:00"/>
        <d v="2010-09-21T05:00:00"/>
        <d v="2019-10-22T05:00:00"/>
        <d v="2016-06-11T05:00:00"/>
        <d v="2012-03-06T06:00:00"/>
        <d v="2019-12-10T06:00:00"/>
        <d v="2014-01-22T06:00:00"/>
        <d v="2011-01-12T06:00:00"/>
        <d v="2018-09-08T05:00:00"/>
        <d v="2019-03-04T06:00:00"/>
        <d v="2014-07-28T05:00:00"/>
        <d v="2011-08-15T05:00:00"/>
        <d v="2018-04-03T05:00:00"/>
        <d v="2019-02-14T06:00:00"/>
        <d v="2014-06-21T05:00:00"/>
        <d v="2011-05-18T05:00:00"/>
        <d v="2018-07-31T05:00:00"/>
        <d v="2015-10-03T05:00:00"/>
        <d v="2010-02-09T06:00:00"/>
        <d v="2018-07-20T05:00:00"/>
        <d v="2019-05-24T05:00:00"/>
        <d v="2016-01-05T06:00:00"/>
        <d v="2018-01-10T06:00:00"/>
        <d v="2014-10-05T05:00:00"/>
        <d v="2017-03-23T05:00:00"/>
        <d v="2019-01-19T06:00:00"/>
        <d v="2011-02-26T06:00:00"/>
        <d v="2019-10-06T05:00:00"/>
        <d v="2010-10-18T05:00:00"/>
        <d v="2013-02-25T06:00:00"/>
        <d v="2010-06-05T05:00:00"/>
        <d v="2012-09-04T05:00:00"/>
        <d v="2011-07-04T05:00:00"/>
        <d v="2014-07-24T05:00:00"/>
        <d v="2019-03-17T05:00:00"/>
        <d v="2016-11-02T05:00:00"/>
        <d v="2010-07-08T05:00:00"/>
        <d v="2014-03-29T05:00:00"/>
        <d v="2015-06-25T05:00:00"/>
        <d v="2019-10-20T05:00:00"/>
        <d v="2013-08-01T05:00:00"/>
        <d v="2012-03-27T05:00:00"/>
        <d v="2010-09-15T05:00:00"/>
        <d v="2014-05-20T05:00:00"/>
        <d v="2018-03-11T06:00:00"/>
        <d v="2018-07-30T05:00:00"/>
        <d v="2015-01-10T06:00:00"/>
        <d v="2017-09-01T05:00:00"/>
        <d v="2015-09-21T05:00:00"/>
        <d v="2017-06-12T05:00:00"/>
        <d v="2012-07-17T05:00:00"/>
        <d v="2011-02-21T06:00:00"/>
        <d v="2015-06-05T05:00:00"/>
        <d v="2017-04-28T05:00:00"/>
        <d v="2018-07-02T05:00:00"/>
        <d v="2011-01-27T06:00:00"/>
        <d v="2015-04-08T05:00:00"/>
        <d v="2010-01-25T06:00:00"/>
        <d v="2017-07-27T05:00:00"/>
        <d v="2010-12-19T06:00:00"/>
        <d v="2010-11-02T05:00:00"/>
        <d v="2019-11-30T06:00:00"/>
        <d v="2015-07-01T05:00:00"/>
        <d v="2016-11-27T06:00:00"/>
        <d v="2016-03-27T05:00:00"/>
        <d v="2018-07-15T05:00:00"/>
        <d v="2015-01-23T06:00:00"/>
        <d v="2010-09-27T05:00:00"/>
        <d v="2018-04-16T05:00:00"/>
        <d v="2018-06-16T05:00:00"/>
        <d v="2017-08-29T05:00:00"/>
        <d v="2017-11-23T06:00:00"/>
        <d v="2019-01-17T06:00:00"/>
        <d v="2016-07-28T05:00:00"/>
        <d v="2012-07-28T05:00:00"/>
        <d v="2011-09-11T05:00:00"/>
        <d v="2015-05-04T05:00:00"/>
        <d v="2011-03-08T06:00:00"/>
        <d v="2015-04-16T05:00:00"/>
        <d v="2010-04-15T05:00:00"/>
        <d v="2016-02-25T06:00:00"/>
        <d v="2016-08-06T05:00:00"/>
        <d v="2010-06-23T05:00:00"/>
        <d v="2012-10-20T05:00:00"/>
        <d v="2019-04-07T05:00:00"/>
        <d v="2019-10-14T05:00:00"/>
        <d v="2011-03-10T06:00:00"/>
        <d v="2015-07-27T05:00:00"/>
        <d v="2014-11-25T06:00:00"/>
        <d v="2011-10-19T05:00:00"/>
        <d v="2015-02-21T06:00:00"/>
        <d v="2018-05-14T05:00:00"/>
        <d v="2010-10-24T05:00:00"/>
        <d v="2017-05-23T05:00:00"/>
        <d v="2013-04-02T05:00:00"/>
        <d v="2019-09-08T05:00:00"/>
        <d v="2018-04-23T05:00:00"/>
        <d v="2012-04-06T05:00:00"/>
        <d v="2014-01-12T06:00:00"/>
        <d v="2018-09-11T05:00:00"/>
        <d v="2012-09-22T05:00:00"/>
        <d v="2014-08-24T05:00:00"/>
        <d v="2017-09-12T05:00:00"/>
        <d v="2019-04-09T05:00:00"/>
        <d v="2017-11-17T06:00:00"/>
        <d v="2015-09-18T05:00:00"/>
        <d v="2011-09-22T05:00:00"/>
        <d v="2014-01-26T06:00:00"/>
        <d v="2014-06-16T05:00:00"/>
        <d v="2015-04-17T05:00:00"/>
        <d v="2014-11-27T06:00:00"/>
        <d v="2015-11-24T06:00:00"/>
        <d v="2019-05-13T05:00:00"/>
        <d v="2018-09-19T05:00:00"/>
        <d v="2016-08-14T05:00:00"/>
        <d v="2010-05-12T05:00:00"/>
        <d v="2010-08-27T05:00:00"/>
        <d v="2015-02-03T06:00:00"/>
        <d v="2011-10-26T05:00:00"/>
        <d v="2013-11-29T06:00:00"/>
        <d v="2018-01-12T06:00:00"/>
        <d v="2011-08-12T05:00:00"/>
        <d v="2011-06-19T05:00:00"/>
        <d v="2013-03-07T06:00:00"/>
        <d v="2014-06-07T05:00:00"/>
        <d v="2010-10-06T05:00:00"/>
        <d v="2012-09-28T05:00:00"/>
        <d v="2015-04-21T05:00:00"/>
        <d v="2018-02-25T06:00:00"/>
        <d v="2015-06-12T05:00:00"/>
        <d v="2010-06-28T05:00:00"/>
        <d v="2019-06-17T05:00:00"/>
        <d v="2014-09-07T05:00:00"/>
        <d v="2011-11-08T06:00:00"/>
        <d v="2016-06-13T05:00:00"/>
        <d v="2017-07-25T05:00:00"/>
        <d v="2013-01-01T06:00:00"/>
        <d v="2018-12-16T06:00:00"/>
        <d v="2014-06-09T05:00:00"/>
        <d v="2017-02-17T06:00:00"/>
        <d v="2012-10-19T05:00:00"/>
        <d v="2016-05-12T05:00:00"/>
        <d v="2010-03-25T05:00:00"/>
        <d v="2019-10-05T05:00:00"/>
        <d v="2013-12-30T06:00:00"/>
        <d v="2015-12-08T06:00:00"/>
        <d v="2019-03-27T05:00:00"/>
        <d v="2019-04-27T05:00:00"/>
        <d v="2015-09-23T05:00:00"/>
        <d v="2018-12-08T06:00:00"/>
        <d v="2017-10-20T05:00:00"/>
        <d v="2017-10-08T05:00:00"/>
        <d v="2017-08-01T05:00:00"/>
        <d v="2010-12-22T06:00:00"/>
        <d v="2013-06-10T05:00:00"/>
        <d v="2019-02-22T06:00:00"/>
        <d v="2012-06-17T05:00:00"/>
        <d v="2017-08-03T05:00:00"/>
        <d v="2014-03-20T05:00:00"/>
        <d v="2014-07-19T05:00:00"/>
        <d v="2013-05-18T05:00:00"/>
        <d v="2015-10-05T05:00:00"/>
        <d v="2016-08-31T05:00:00"/>
        <d v="2016-09-03T05:00:00"/>
        <d v="2010-11-15T06:00:00"/>
        <d v="2017-09-21T05:00:00"/>
        <d v="2013-03-17T05:00:00"/>
        <d v="2010-03-22T05:00:00"/>
        <d v="2017-10-04T05:00:00"/>
        <d v="2019-06-15T05:00:00"/>
        <d v="2010-09-09T05:00:00"/>
        <d v="2019-05-03T05:00:00"/>
        <d v="2018-05-13T05:00:00"/>
        <d v="2014-05-23T05:00:00"/>
        <d v="2013-02-23T06:00:00"/>
        <d v="2014-12-02T06:00:00"/>
        <d v="2016-03-04T06:00:00"/>
        <d v="2013-06-04T05:00:00"/>
        <d v="2019-03-12T05:00:00"/>
        <d v="2014-06-27T05:00:00"/>
        <d v="2018-04-08T05:00:00"/>
        <d v="2015-09-14T05:00:00"/>
        <d v="2018-07-29T05:00:00"/>
        <d v="2017-06-23T05:00:00"/>
        <d v="2010-08-06T05:00:00"/>
        <d v="2015-07-07T05:00:00"/>
        <d v="2014-07-25T05:00:00"/>
        <d v="2011-10-02T05:00:00"/>
        <d v="2017-01-17T06:00:00"/>
        <d v="2011-04-03T05:00:00"/>
        <d v="2018-10-17T05:00:00"/>
        <d v="2010-02-27T06:00:00"/>
        <d v="2018-08-28T05:00:00"/>
        <d v="2017-11-09T06:00:00"/>
        <d v="2016-05-06T05:00:00"/>
        <d v="2017-03-03T06:00:00"/>
        <d v="2013-08-27T05:00:00"/>
        <d v="2019-12-15T06:00:00"/>
        <d v="2010-11-06T05:00:00"/>
        <d v="2010-08-19T05:00:00"/>
        <d v="2019-02-13T06:00:00"/>
        <d v="2011-11-22T06:00:00"/>
        <d v="2019-04-28T05:00:00"/>
        <d v="2011-11-11T06:00:00"/>
        <d v="2012-08-16T05:00:00"/>
        <d v="2011-07-01T05:00:00"/>
        <d v="2012-06-21T05:00:00"/>
        <d v="2014-10-02T05:00:00"/>
        <d v="2016-03-16T05:00:00"/>
        <d v="2014-09-24T05:00:00"/>
        <d v="2014-05-03T05:00:00"/>
        <d v="2010-04-08T05:00:00"/>
        <d v="2015-05-15T05:00:00"/>
        <d v="2017-06-01T05:00:00"/>
        <d v="2019-12-06T06:00:00"/>
        <d v="2013-05-21T05:00:00"/>
        <d v="2016-07-25T05:00:00"/>
        <d v="2011-06-12T05:00:00"/>
        <d v="2017-08-22T05:00:00"/>
        <d v="2017-02-13T06:00:00"/>
        <d v="2019-06-25T05:00:00"/>
        <d v="2014-04-25T05:00:00"/>
        <d v="2017-12-14T06:00:00"/>
        <d v="2015-08-29T05:00:00"/>
        <d v="2014-04-13T05:00:00"/>
        <d v="2017-05-10T05:00:00"/>
        <d v="2018-03-04T06:00:00"/>
        <d v="2014-07-14T05:00:00"/>
        <d v="2014-04-07T05:00:00"/>
        <d v="2013-08-05T05:00:00"/>
        <d v="2016-12-22T06:00:00"/>
        <d v="2014-12-31T06:00:00"/>
        <d v="2015-01-02T06:00:00"/>
        <d v="2012-12-09T06:00:00"/>
        <d v="2013-10-25T05:00:00"/>
        <d v="2011-04-08T05:00:00"/>
        <d v="2017-02-21T06:00:00"/>
        <d v="2011-02-16T06:00:00"/>
        <d v="2016-01-24T06:00:00"/>
        <d v="2013-03-05T06:00:00"/>
        <d v="2016-12-08T06:00:00"/>
        <d v="2012-12-08T06:00:00"/>
        <d v="2010-08-25T05:00:00"/>
        <d v="2011-04-05T05:00:00"/>
        <d v="2010-01-09T06:00:00"/>
        <d v="2013-02-12T06:00:00"/>
        <d v="2016-01-03T06:00:00"/>
        <d v="2014-11-07T06:00:00"/>
        <d v="2012-10-24T05:00:00"/>
        <d v="2012-10-04T05:00:00"/>
        <d v="2019-01-31T06:00:00"/>
        <d v="2010-12-02T06:00:00"/>
        <d v="2015-12-07T06:00:00"/>
        <d v="2019-07-10T05:00:00"/>
        <d v="2017-09-17T05:00:00"/>
        <d v="2017-11-06T06:00:00"/>
        <d v="2019-04-06T05:00:00"/>
        <d v="2012-04-19T05:00:00"/>
        <d v="2010-07-19T05:00:00"/>
        <d v="2012-11-26T06:00:00"/>
        <d v="2018-09-03T05:00:00"/>
        <d v="2017-11-21T06:00:00"/>
        <d v="2012-03-11T06:00:00"/>
        <d v="2016-05-30T05:00:00"/>
        <d v="2012-05-01T05:00:00"/>
        <d v="2016-09-10T05:00:00"/>
        <d v="2016-11-23T06:00:00"/>
        <d v="2015-04-28T05:00:00"/>
        <d v="2012-03-14T05:00:00"/>
        <d v="2015-08-03T05:00:00"/>
        <d v="2013-05-10T05:00:00"/>
        <d v="2011-10-15T05:00:00"/>
        <d v="2012-03-16T05:00:00"/>
        <d v="2010-10-05T05:00:00"/>
        <d v="2018-10-26T05:00:00"/>
        <d v="2013-10-15T05:00:00"/>
        <d v="2019-01-28T06:00:00"/>
        <d v="2014-01-14T06:00:00"/>
        <d v="2016-02-26T06:00:00"/>
        <d v="2016-03-03T06:00:00"/>
        <d v="2017-08-30T05:00:00"/>
        <d v="2015-02-26T06:00:00"/>
        <d v="2018-09-02T05:00:00"/>
        <d v="2016-01-07T06:00:00"/>
        <d v="2016-08-07T05:00:00"/>
        <d v="2016-03-19T05:00:00"/>
        <d v="2017-07-14T05:00:00"/>
        <d v="2012-06-06T05:00:00"/>
        <d v="2011-04-18T05:00:00"/>
        <d v="2011-09-21T05:00:00"/>
        <d v="2010-04-09T05:00:00"/>
        <d v="2012-02-27T06:00:00"/>
        <d v="2014-05-24T05:00:00"/>
        <d v="2019-11-19T06:00:00"/>
        <d v="2017-05-14T05:00:00"/>
        <d v="2014-02-14T06:00:00"/>
        <d v="2010-08-12T05:00:00"/>
        <d v="2011-05-10T05:00:00"/>
        <d v="2011-04-01T05:00:00"/>
        <d v="2010-11-25T06:00:00"/>
        <d v="2014-03-27T05:00:00"/>
        <d v="2015-06-21T05:00:00"/>
        <d v="2015-12-26T06:00:00"/>
        <d v="2019-08-28T05:00:00"/>
        <d v="2018-11-30T06:00:00"/>
        <d v="2016-12-12T06:00:00"/>
        <d v="2017-12-08T06:00:00"/>
        <d v="2011-12-19T06:00:00"/>
        <d v="2013-03-28T05:00:00"/>
        <d v="2018-11-20T06:00:00"/>
        <d v="2019-11-15T06:00:00"/>
        <d v="2010-12-15T06:00:00"/>
        <d v="2019-11-11T06:00:00"/>
        <d v="2011-10-05T05:00:00"/>
        <d v="2017-08-02T05:00:00"/>
        <d v="2011-12-12T06:00:00"/>
        <d v="2015-08-28T05:00:00"/>
        <d v="2013-07-20T05:00:00"/>
        <d v="2013-11-19T06:00:00"/>
        <d v="2018-01-22T06:00:00"/>
        <d v="2015-07-09T05:00:00"/>
        <d v="2017-08-24T05:00:00"/>
        <d v="2015-02-11T06:00:00"/>
        <d v="2017-02-16T06:00:00"/>
        <d v="2015-05-20T05:00:00"/>
        <d v="2015-08-24T05:00:00"/>
        <d v="2015-11-07T06:00:00"/>
        <d v="2019-07-05T05:00:00"/>
        <d v="2013-09-03T05:00:00"/>
        <d v="2017-01-22T06:00:00"/>
        <d v="2012-01-14T06:00:00"/>
        <d v="2015-09-03T05:00:00"/>
        <d v="2018-08-10T05:00:00"/>
        <d v="2011-08-27T05:00:00"/>
        <d v="2011-01-01T06:00:00"/>
        <d v="2017-10-07T05:00:00"/>
        <d v="2011-12-27T06:00:00"/>
        <d v="2018-03-05T06:00:00"/>
        <d v="2016-12-29T06:00:00"/>
        <d v="2011-01-03T06:00:00"/>
        <d v="2014-10-18T05:00:00"/>
        <d v="2010-10-13T05:00:00"/>
        <d v="2013-02-03T06:00:00"/>
        <d v="2019-04-15T05:00:00"/>
        <d v="2015-02-08T06:00:00"/>
        <d v="2015-01-08T06:00:00"/>
        <d v="2017-08-17T05:00:00"/>
        <d v="2019-01-11T06:00:00"/>
        <d v="2015-10-16T05:00:00"/>
        <d v="2014-07-06T05:00:00"/>
        <d v="2018-05-21T05:00:00"/>
        <d v="2011-10-27T05:00:00"/>
        <d v="2013-06-23T05:00:00"/>
        <d v="2015-06-08T05:00:00"/>
        <d v="2017-10-16T05:00:00"/>
        <d v="2017-02-10T06:00:00"/>
        <d v="2019-03-29T05:00:00"/>
        <d v="2010-06-26T05:00:00"/>
        <d v="2012-06-12T05:00:00"/>
        <d v="2012-01-04T06:00:00"/>
        <d v="2010-10-28T05:00:00"/>
        <d v="2013-09-13T05:00:00"/>
        <d v="2011-01-06T06:00:00"/>
        <d v="2017-07-17T05:00:00"/>
        <d v="2013-07-29T05:00:00"/>
        <d v="2011-12-08T06:00:00"/>
        <d v="2018-10-05T05:00:00"/>
        <d v="2013-05-23T05:00:00"/>
        <d v="2018-05-08T05:00:00"/>
        <d v="2011-02-02T06:00:00"/>
        <d v="2013-08-16T05:00:00"/>
        <d v="2019-10-27T05:00:00"/>
        <d v="2012-01-06T06:00:00"/>
        <d v="2017-11-14T06:00:00"/>
        <d v="2018-06-04T05:00:00"/>
        <d v="2013-01-30T06:00:00"/>
        <d v="2019-10-13T05:00:00"/>
        <d v="2016-06-20T05:00:00"/>
        <d v="2017-04-18T05:00:00"/>
        <d v="2017-05-29T05:00:00"/>
        <d v="2014-01-03T06:00:00"/>
        <d v="2018-11-27T06:00:00"/>
        <d v="2010-04-20T05:00:00"/>
        <d v="2012-01-13T06:00:00"/>
        <d v="2011-01-17T06:00:00"/>
        <d v="2018-11-03T05:00:00"/>
        <d v="2012-05-06T05:00:00"/>
        <d v="2011-12-22T06:00:00"/>
        <d v="2017-06-25T05:00:00"/>
        <d v="2017-06-29T05:00:00"/>
        <d v="2010-04-17T05:00:00"/>
        <d v="2018-04-18T05:00:00"/>
        <d v="2015-07-28T05:00:00"/>
        <d v="2013-02-27T06:00:00"/>
        <d v="2014-09-13T05:00:00"/>
        <d v="2011-02-11T06:00:00"/>
        <d v="2014-02-10T06:00:00"/>
        <d v="2019-09-29T05:00:00"/>
        <d v="2018-06-22T05:00:00"/>
        <d v="2014-05-02T05:00:00"/>
        <d v="2013-11-25T06:00:00"/>
        <d v="2016-12-01T06:00:00"/>
        <d v="2014-12-15T06:00:00"/>
        <d v="2019-04-20T05:00:00"/>
        <d v="2015-09-13T05:00:00"/>
        <d v="2013-03-04T06:00:00"/>
        <d v="2016-11-06T05:00:00"/>
        <d v="2017-06-30T05:00:00"/>
        <d v="2012-04-26T05:00:00"/>
        <d v="2017-09-02T05:00:00"/>
        <d v="2010-09-30T05:00:00"/>
        <d v="2011-07-24T05:00:00"/>
        <d v="2010-12-03T06:00:00"/>
        <d v="2012-12-18T06:00:00"/>
        <d v="2017-12-19T06:00:00"/>
        <d v="2013-04-14T05:00:00"/>
        <d v="2019-03-06T06:00:00"/>
        <d v="2018-10-21T05:00:00"/>
        <d v="2017-07-19T05:00:00"/>
        <d v="2010-07-06T05:00:00"/>
        <d v="2013-10-21T05:00:00"/>
        <d v="2011-09-23T05:00:00"/>
        <d v="2018-02-10T06:00:00"/>
        <d v="2016-10-14T05:00:00"/>
        <d v="2010-03-28T05:00:00"/>
        <d v="2014-12-28T06:00:00"/>
        <d v="2014-04-28T05:00:00"/>
        <d v="2013-12-31T06:00:00"/>
        <d v="2018-02-11T06:00:00"/>
        <d v="2018-01-27T06:00:00"/>
        <d v="2013-05-15T05:00:00"/>
        <d v="2015-11-23T06:00:00"/>
        <d v="2019-04-14T05:00:00"/>
        <d v="2015-05-18T05:00:00"/>
        <d v="2012-05-02T05:00:00"/>
        <d v="2019-03-11T05:00:00"/>
        <d v="2018-06-26T05:00:00"/>
        <d v="2014-12-16T06:00:00"/>
        <d v="2013-06-25T05:00:00"/>
        <d v="2011-06-26T05:00:00"/>
        <d v="2015-03-09T05:00:00"/>
        <d v="2017-07-29T05:00:00"/>
        <d v="2010-03-11T06:00:00"/>
        <d v="2014-10-01T05:00:00"/>
        <d v="2012-02-24T06:00:00"/>
        <d v="2019-12-12T06:00:00"/>
        <d v="2014-08-04T05:00:00"/>
        <d v="2019-06-10T05:00:00"/>
        <d v="2018-03-09T06:00:00"/>
        <d v="2017-04-20T05:00:00"/>
        <d v="2016-02-03T06:00:00"/>
        <d v="2010-08-16T05:00:00"/>
        <d v="2019-11-17T06:00:00"/>
        <d v="2013-07-01T05:00:00"/>
        <d v="2010-06-07T05:00:00"/>
        <d v="2019-06-29T05:00:00"/>
        <d v="2012-03-22T05:00:00"/>
        <d v="2014-06-10T05:00:00"/>
        <d v="2017-05-21T05:00:00"/>
        <d v="2016-12-20T06:00:00"/>
        <d v="2015-01-01T06:00:00"/>
        <d v="2016-03-15T05:00:00"/>
        <d v="2013-05-01T05:00:00"/>
        <d v="2013-03-12T05:00:00"/>
        <d v="2012-07-27T05:00:00"/>
        <d v="2013-03-08T06:00:00"/>
        <d v="2013-04-09T05:00:00"/>
        <d v="2012-05-05T05:00:00"/>
        <d v="2018-05-31T05:00:00"/>
        <d v="2019-07-25T05:00:00"/>
        <d v="2014-07-05T05:00:00"/>
        <d v="2013-12-06T06:00:00"/>
        <d v="2011-12-23T06:00:00"/>
        <d v="2017-05-05T05:00:00"/>
        <d v="2018-02-23T06:00:00"/>
        <d v="2019-04-19T05:00:00"/>
        <d v="2016-08-23T05:00:00"/>
        <d v="2012-07-03T05:00:00"/>
        <d v="2010-03-04T06:00:00"/>
        <d v="2010-04-26T05:00:00"/>
        <d v="2010-11-23T06:00:00"/>
        <d v="2016-02-05T06:00:00"/>
        <d v="2013-11-23T06:00:00"/>
        <d v="2014-05-10T05:00:00"/>
        <d v="2010-08-31T05:00:00"/>
        <d v="2013-11-11T06:00:00"/>
        <d v="2018-01-25T06:00:00"/>
        <d v="2013-07-24T05:00:00"/>
        <d v="2018-08-17T05:00:00"/>
        <d v="2018-06-08T05:00:00"/>
        <d v="2010-08-24T05:00:00"/>
        <d v="2018-08-30T05:00:00"/>
        <d v="2013-09-22T05:00:00"/>
        <d v="2019-07-01T05:00:00"/>
        <d v="2018-05-05T05:00:00"/>
        <d v="2015-06-10T05:00:00"/>
        <d v="2016-01-22T06:00:00"/>
        <d v="2013-09-11T05:00:00"/>
        <d v="2016-01-08T06:00:00"/>
        <d v="2019-12-25T06:00:00"/>
        <d v="2018-09-17T05:00:00"/>
        <d v="2015-01-25T06:00:00"/>
        <d v="2016-04-01T05:00:00"/>
        <d v="2013-05-28T05:00:00"/>
        <d v="2012-02-29T06:00:00"/>
        <d v="2014-12-20T06:00:00"/>
        <d v="2016-11-26T06:00:00"/>
        <d v="2011-01-02T06:00:00"/>
        <d v="2016-12-19T06:00:00"/>
        <d v="2014-04-02T05:00:00"/>
        <d v="2011-09-06T05:00:00"/>
        <d v="2015-10-02T05:00:00"/>
        <d v="2016-02-24T06:00:00"/>
        <d v="2016-08-02T05:00:00"/>
        <d v="2011-11-18T06:00:00"/>
        <d v="2011-10-17T05:00:00"/>
        <d v="2018-11-13T06:00:00"/>
        <d v="2015-03-15T05:00:00"/>
        <d v="2011-11-15T06:00:00"/>
        <d v="2014-07-10T05:00:00"/>
        <d v="2010-07-15T05:00:00"/>
        <d v="2011-01-11T06:00:00"/>
        <d v="2015-06-19T05:00:00"/>
        <d v="2015-09-28T05:00:00"/>
        <d v="2019-12-07T06:00:00"/>
        <d v="2017-11-01T05:00:00"/>
        <d v="2011-03-11T06:00:00"/>
        <d v="2011-12-01T06:00:00"/>
        <d v="2011-08-07T05:00:00"/>
        <d v="2014-02-26T06:00:00"/>
        <d v="2011-04-29T05:00:00"/>
        <d v="2012-02-20T06:00:00"/>
        <d v="2012-04-25T05:00:00"/>
        <d v="2010-03-18T05:00:00"/>
        <d v="2010-11-17T06:00:00"/>
        <d v="2015-07-05T05:00:00"/>
        <d v="2014-12-21T06:00:00"/>
        <d v="2010-07-14T05:00:00"/>
        <d v="2014-05-30T05:00:00"/>
        <d v="2014-03-26T05:00:00"/>
        <d v="2016-06-27T05:00:00"/>
        <d v="2010-03-16T05:00:00"/>
        <d v="2016-03-05T06:00:00"/>
        <d v="2010-06-15T05:00:00"/>
        <d v="2015-02-12T06:00:00"/>
        <d v="2013-07-30T05:00:00"/>
        <d v="2019-04-18T05:00:00"/>
        <d v="2011-01-22T06:00:00"/>
        <d v="2016-03-07T06:00:00"/>
        <d v="2014-03-23T05:00:00"/>
        <d v="2019-01-16T06:00:00"/>
        <d v="2012-12-16T06:00:00"/>
        <d v="2013-07-25T05:00:00"/>
        <d v="2010-10-23T05:00:00"/>
        <d v="2017-08-26T05:00:00"/>
        <d v="2017-01-11T06:00:00"/>
        <d v="2016-04-29T05:00:00"/>
        <d v="2013-09-20T05:00:00"/>
        <d v="2014-06-04T05:00:00"/>
        <d v="2013-05-02T05:00:00"/>
        <d v="2011-05-06T05:00:00"/>
        <d v="2016-07-08T05:00:00"/>
        <d v="2016-09-13T05:00:00"/>
        <d v="2018-04-15T05:00:00"/>
        <d v="2015-07-16T05:00:00"/>
        <d v="2020-01-27T06:00:00"/>
        <d v="2010-09-28T05:00:00"/>
        <d v="2010-06-16T05:00:00"/>
        <d v="2010-10-04T05:00:00"/>
        <d v="2016-07-06T05:00:00"/>
        <d v="2019-05-01T05:00:00"/>
        <d v="2019-03-26T05:00:00"/>
        <d v="2014-11-02T05:00:00"/>
        <d v="2017-03-25T05:00:00"/>
        <d v="2013-02-09T06:00:00"/>
        <d v="2012-01-18T06:00:00"/>
        <d v="2016-11-14T06:00:00"/>
        <d v="2010-07-27T05:00:00"/>
        <d v="2018-07-28T05:00:00"/>
        <d v="2016-01-18T06:00:00"/>
        <d v="2017-02-20T06:00:00"/>
        <d v="2018-12-17T06:00:00"/>
        <d v="2017-03-01T06:00:00"/>
        <d v="2018-12-18T06:00:00"/>
        <d v="2018-09-26T05:00:00"/>
        <d v="2013-03-13T05:00:00"/>
        <d v="2018-04-09T05:00:00"/>
        <d v="2017-07-06T05:00:00"/>
        <d v="2010-10-20T05:00:00"/>
        <d v="2014-07-08T05:00:00"/>
        <d v="2014-02-22T06:00:00"/>
        <d v="2016-08-05T05:00:00"/>
        <d v="2016-04-08T05:00:00"/>
        <d v="2017-03-02T06:00:00"/>
        <d v="2017-12-28T06:00:00"/>
        <d v="2017-12-27T06:00:00"/>
        <d v="2015-08-30T05:00:00"/>
        <d v="2015-08-21T05:00:00"/>
        <d v="2012-03-28T05:00:00"/>
        <d v="2018-12-09T06:00:00"/>
        <d v="2010-10-07T05:00:00"/>
        <d v="2011-07-09T05:00:00"/>
        <d v="2013-08-30T05:00:00"/>
        <d v="2014-09-10T05:00:00"/>
        <d v="2012-08-01T05:00:00"/>
        <d v="2017-06-26T05:00:00"/>
        <d v="2010-07-31T05:00:00"/>
        <d v="2018-03-21T05:00:00"/>
        <d v="2016-04-15T05:00:00"/>
        <d v="2011-08-19T05:00:00"/>
        <d v="2019-09-11T05:00:00"/>
        <d v="2012-09-26T05:00:00"/>
        <d v="2016-07-10T05:00:00"/>
        <d v="2019-10-18T05:00:00"/>
        <d v="2019-12-14T06:00:00"/>
        <d v="2011-12-21T06:00:00"/>
        <d v="2013-12-11T06:00:00"/>
        <d v="2018-09-16T05:00:00"/>
        <d v="2010-06-29T05:00:00"/>
        <d v="2015-08-23T05:00:00"/>
        <d v="2018-03-27T05:00:00"/>
        <d v="2017-03-12T06:00:00"/>
        <d v="2019-01-10T06:00:00"/>
        <d v="2013-10-29T05:00:00"/>
        <d v="2011-11-27T06:00:00"/>
        <d v="2012-10-03T05:00:00"/>
        <d v="2019-07-09T05:00:00"/>
        <d v="2017-10-17T05:00:00"/>
        <d v="2017-11-27T06:00:00"/>
        <d v="2015-11-14T06:00:00"/>
        <d v="2015-04-20T05:00:00"/>
        <d v="2018-03-31T05:00:00"/>
        <d v="2011-11-24T06:00:00"/>
        <d v="2011-03-27T05:00:00"/>
        <d v="2013-07-22T05:00:00"/>
        <d v="2012-04-21T05:00:00"/>
        <d v="2016-07-04T05:00:00"/>
        <d v="2019-01-06T06:00:00"/>
        <d v="2017-05-22T05:00:00"/>
        <d v="2018-07-14T05:00:00"/>
        <d v="2016-08-22T05:00:00"/>
        <d v="2010-08-07T05:00:00"/>
        <d v="2013-07-10T05:00:00"/>
        <d v="2011-08-22T05:00:00"/>
        <d v="2013-06-17T05:00:00"/>
        <d v="2012-05-29T05:00:00"/>
        <d v="2018-02-21T06:00:00"/>
        <d v="2018-04-04T05:00:00"/>
        <d v="2016-03-02T06:00:00"/>
        <d v="2014-10-22T05:00:00"/>
        <d v="2014-11-15T06:00:00"/>
        <d v="2010-10-25T05:00:00"/>
        <d v="2016-05-25T05:00:00"/>
        <d v="2013-02-04T06:00:00"/>
        <d v="2015-05-23T05:00:00"/>
        <d v="2017-07-23T05:00:00"/>
        <d v="2017-03-22T05:00:00"/>
        <d v="2017-01-28T06:00:00"/>
        <d v="2016-03-30T05:00:00"/>
        <d v="2015-02-20T06:00:00"/>
        <d v="2016-11-11T06:00:00"/>
        <d v="2014-11-16T06:00:00"/>
        <d v="2012-06-29T05:00:00"/>
        <d v="2017-02-03T06:00:00"/>
        <d v="2010-05-23T05:00:00"/>
        <d v="2010-01-19T06:00:00"/>
        <d v="2015-10-21T05:00:00"/>
        <d v="2010-05-30T05:00:00"/>
        <d v="2011-10-09T05:00:00"/>
        <d v="2010-09-02T05:00:00"/>
        <d v="2010-03-01T06:00:00"/>
        <d v="2014-10-08T05:00:00"/>
        <d v="2010-07-01T05:00:00"/>
        <d v="2016-03-17T05:00:00"/>
        <d v="2010-08-05T05:00:00"/>
        <d v="2012-10-28T05:00:00"/>
        <d v="2015-01-20T06:00:00"/>
        <d v="2011-05-12T05:00:00"/>
        <d v="2014-10-24T05:00:00"/>
        <d v="2018-02-05T06:00:00"/>
        <d v="2019-08-01T05:00:00"/>
        <d v="2017-07-22T05:00:00"/>
        <d v="2012-11-28T06:00:00"/>
        <d v="2012-05-08T05:00:00"/>
        <d v="2011-05-13T05:00:00"/>
        <d v="2017-04-15T05:00:00"/>
        <d v="2015-10-06T05:00:00"/>
        <d v="2013-08-15T05:00:00"/>
        <d v="2014-04-14T05:00:00"/>
        <d v="2019-01-26T06:00:00"/>
        <d v="2019-02-09T06:00:00"/>
        <d v="2017-04-13T05:00:00"/>
        <d v="2016-05-23T05:00:00"/>
        <d v="2014-11-06T06:00:00"/>
        <d v="2019-07-04T05:00:00"/>
        <d v="2011-08-13T05:00:00"/>
        <d v="2015-08-14T05:00:00"/>
        <d v="2016-07-22T05:00:00"/>
        <d v="2010-10-31T05:00:00"/>
        <d v="2011-03-01T06:00:00"/>
        <d v="2013-12-17T06:00:00"/>
        <d v="2016-03-06T06:00:00"/>
        <d v="2011-05-21T05:00:00"/>
        <d v="2014-05-27T05:00:00"/>
        <d v="2010-02-14T06:00:00"/>
        <d v="2016-12-11T06:00:00"/>
        <d v="2013-06-26T05:00:00"/>
        <d v="2017-12-22T06:00:00"/>
        <d v="2016-11-01T05:00:00"/>
        <d v="2014-08-08T05:00:00"/>
        <d v="2018-12-30T06:00:00"/>
        <d v="2012-05-31T05:00:00"/>
        <d v="2016-01-30T06:00:00"/>
        <d v="2019-12-31T06:00:00"/>
        <d v="2019-01-27T06:00:00"/>
        <d v="2018-01-02T06:00:00"/>
        <d v="2012-03-05T06:00:00"/>
        <d v="2019-10-15T05:00:00"/>
        <d v="2016-05-17T05:00:00"/>
        <d v="2012-08-14T05:00:00"/>
        <d v="2017-11-28T06:00:00"/>
        <d v="2016-01-09T06:00:00"/>
        <d v="2012-08-27T05:00:00"/>
        <d v="2016-05-27T05:00:00"/>
        <d v="2017-11-29T06:00:00"/>
        <d v="2019-05-04T05:00:00"/>
        <d v="2019-01-21T06:00:00"/>
        <d v="2012-11-24T06:00:00"/>
        <d v="2017-02-28T06:00:00"/>
        <d v="2014-02-28T06:00:00"/>
        <d v="2010-06-19T05:00:00"/>
        <d v="2010-12-13T06:00:00"/>
        <d v="2011-05-03T05:00:00"/>
        <d v="2015-06-09T05:00:00"/>
        <d v="2018-01-03T06:00:00"/>
        <d v="2012-03-26T05:00:00"/>
        <d v="2015-10-22T05:00:00"/>
        <d v="2011-02-14T06:00:00"/>
        <d v="2015-02-28T06:00:00"/>
        <d v="2010-02-05T06:00:00"/>
        <d v="2018-09-27T05:00:00"/>
        <d v="2014-03-17T05:00:00"/>
        <d v="2014-07-16T05:00:00"/>
        <d v="2016-02-19T06:00:00"/>
        <d v="2018-06-15T05:00:00"/>
        <d v="2018-08-26T05:00:00"/>
        <d v="2012-01-22T06:00:00"/>
        <d v="2018-05-15T05:00:00"/>
        <d v="2018-07-21T05:00:00"/>
        <d v="2018-01-07T06:00:00"/>
        <d v="2010-06-12T05:00:00"/>
        <d v="2012-02-09T06:00:00"/>
        <d v="2011-11-19T06:00:00"/>
        <d v="2011-07-16T05:00:00"/>
        <d v="2011-06-20T05:00:00"/>
        <d v="2019-11-18T06:00:00"/>
        <d v="2011-06-18T05:00:00"/>
        <d v="2012-04-24T05:00:00"/>
        <d v="2012-02-05T06:00:00"/>
        <d v="2018-04-21T05:00:00"/>
        <d v="2013-03-01T06:00:00"/>
        <d v="2019-02-19T06:00:00"/>
        <d v="2010-03-21T05:00:00"/>
        <d v="2011-08-01T05:00:00"/>
        <d v="2015-06-17T05:00:00"/>
        <d v="2016-08-19T05:00:00"/>
        <d v="2014-09-15T05:00:00"/>
        <d v="2011-05-08T05:00:00"/>
        <d v="2018-10-09T05:00:00"/>
        <d v="2013-10-12T05:00:00"/>
        <d v="2010-06-21T05:00:00"/>
        <d v="2014-01-08T06:00:00"/>
        <d v="2010-04-23T05:00:00"/>
        <d v="2011-01-13T06:00:00"/>
        <d v="2019-06-08T05:00:00"/>
        <d v="2016-07-26T05:00:00"/>
        <d v="2020-01-15T06:00:00"/>
        <d v="2017-02-22T06:00:00"/>
        <d v="2019-07-21T05:00:00"/>
        <d v="2015-01-21T06:00:00"/>
        <d v="2010-05-25T05:00:00"/>
        <d v="2014-05-04T05:00:00"/>
        <d v="2010-06-06T05:00:00"/>
        <d v="2010-08-26T05:00:00"/>
        <d v="2015-07-17T05:00:00"/>
        <d v="2017-04-11T05:00:00"/>
        <d v="2014-03-12T05:00:00"/>
        <d v="2019-06-24T05:00:00"/>
        <d v="2011-12-03T06:00:00"/>
        <d v="2010-05-21T05:00:00"/>
        <d v="2015-06-15T05:00:00"/>
        <d v="2013-07-11T05:00:00"/>
        <d v="2018-02-03T06:00:00"/>
        <d v="2011-07-14T05:00:00"/>
        <d v="2019-12-16T06:00:00"/>
        <d v="2013-10-07T05:00:00"/>
        <d v="2014-09-19T05:00:00"/>
        <d v="2018-07-17T05:00:00"/>
        <d v="2017-05-13T05:00:00"/>
        <d v="2011-04-27T05:00:00"/>
        <d v="2015-01-22T06:00:00"/>
        <d v="2019-09-09T05:00:00"/>
        <d v="2012-09-05T05:00:00"/>
        <d v="2019-05-12T05:00:00"/>
        <d v="2013-08-04T05:00:00"/>
        <d v="2014-12-18T06:00:00"/>
        <d v="2011-06-28T05:00:00"/>
        <d v="2017-10-14T05:00:00"/>
        <d v="2019-02-07T06:00:00"/>
        <d v="2012-02-12T06:00:00"/>
        <d v="2019-10-31T05:00:00"/>
        <d v="2017-09-22T05:00:00"/>
        <d v="2012-07-12T05:00:00"/>
        <d v="2013-12-29T06:00:00"/>
        <d v="2017-05-03T05:00:00"/>
        <d v="2015-02-25T06:00:00"/>
        <d v="2014-06-28T05:00:00"/>
        <d v="2014-03-11T05:00:00"/>
        <d v="2013-04-08T05:00:00"/>
        <d v="2016-02-22T06:00:00"/>
        <d v="2015-07-24T05:00:00"/>
        <d v="2019-07-22T05:00:00"/>
        <d v="2015-11-26T06:00:00"/>
        <d v="2018-06-12T05:00:00"/>
        <d v="2011-05-07T05:00:00"/>
        <d v="2012-12-01T06:00:00"/>
        <d v="2011-01-09T06:00:00"/>
        <d v="2011-01-25T06:00:00"/>
        <d v="2012-04-05T05:00:00"/>
        <d v="2011-06-16T05:00:00"/>
        <d v="2014-09-26T05:00:00"/>
        <d v="2014-12-12T06:00:00"/>
        <d v="2015-04-18T05:00:00"/>
        <d v="2019-04-16T05:00:00"/>
        <d v="2016-12-26T06:00:00"/>
        <d v="2016-08-09T05:00:00"/>
        <d v="2015-12-20T06:00:00"/>
        <d v="2012-11-25T06:00:00"/>
        <d v="2015-12-22T06:00:00"/>
        <d v="2012-02-16T06:00:00"/>
        <d v="2016-02-08T06:00:00"/>
        <d v="2011-02-17T06:00:00"/>
        <d v="2013-11-14T06:00:00"/>
        <d v="2011-03-05T06:00:00"/>
        <d v="2015-05-11T05:00:00"/>
        <d v="2017-06-15T05:00:00"/>
        <d v="2019-12-22T06:00:00"/>
        <d v="2011-05-09T05:00:00"/>
        <d v="2013-10-08T05:00:00"/>
        <d v="2014-06-02T05:00:00"/>
        <d v="2010-12-10T06:00:00"/>
        <d v="2015-11-29T06:00:00"/>
        <d v="2011-01-28T06:00:00"/>
        <d v="2018-02-07T06:00:00"/>
        <d v="2016-11-12T06:00:00"/>
        <d v="2015-10-30T05:00:00"/>
        <d v="2017-12-25T06:00:00"/>
        <d v="2011-07-19T05:00:00"/>
        <d v="2019-08-04T05:00:00"/>
        <d v="2017-04-27T05:00:00"/>
        <d v="2014-09-25T05:00:00"/>
        <d v="2018-05-07T05:00:00"/>
        <d v="2015-12-24T06:00:00"/>
        <d v="2014-10-17T05:00:00"/>
        <d v="2018-11-04T05:00:00"/>
        <d v="2013-01-02T06:00:00"/>
        <d v="2014-01-20T06:00:00"/>
        <d v="2010-02-11T06:00:00"/>
        <d v="2016-06-29T05:00:00"/>
      </sharedItems>
      <fieldGroup par="23"/>
    </cacheField>
    <cacheField name="date_ended" numFmtId="14">
      <sharedItems containsSemiMixedTypes="0" containsNonDate="0" containsDate="1" containsString="0" minDate="2010-01-09T06:00:00" maxDate="2020-02-10T06:00:00"/>
    </cacheField>
    <cacheField name="weekday_created" numFmtId="0">
      <sharedItems/>
    </cacheField>
    <cacheField name="duration" numFmtId="0">
      <sharedItems containsSemiMixedTypes="0" containsString="0" containsNumber="1" containsInteger="1" minValue="0" maxValue="59"/>
    </cacheField>
    <cacheField name="staff_pick" numFmtId="0">
      <sharedItems/>
    </cacheField>
    <cacheField name="spotlight" numFmtId="0">
      <sharedItems/>
    </cacheField>
    <cacheField name="category_and_subcategory" numFmtId="0">
      <sharedItems/>
    </cacheField>
    <cacheField name="primary_category" numFmtId="0">
      <sharedItems count="9">
        <s v="food"/>
        <s v="music"/>
        <s v="technology"/>
        <s v="theater"/>
        <s v="film &amp; video"/>
        <s v="publishing"/>
        <s v="games"/>
        <s v="photography"/>
        <s v="journalism"/>
      </sharedItems>
    </cacheField>
    <cacheField name="subcategory" numFmtId="0">
      <sharedItems count="24">
        <s v="food trucks"/>
        <s v="rock"/>
        <s v="web"/>
        <s v="plays"/>
        <s v="documentary"/>
        <s v="electric music"/>
        <s v="drama"/>
        <s v="indie rock"/>
        <s v="wearables"/>
        <s v="nonfiction"/>
        <s v="animation"/>
        <s v="video games"/>
        <s v="shorts"/>
        <s v="fiction"/>
        <s v="photography books"/>
        <s v="radio &amp; podcasts"/>
        <s v="metal"/>
        <s v="jazz"/>
        <s v="translations"/>
        <s v="television"/>
        <s v="mobile games"/>
        <s v="world music"/>
        <s v="science fiction"/>
        <s v="audio"/>
      </sharedItems>
    </cacheField>
    <cacheField name="Years (date_created)" numFmtId="0" databaseField="0">
      <fieldGroup base="14">
        <rangePr groupBy="years" startDate="2010-01-09T06:00:00" endDate="2020-01-27T06:00:00"/>
        <groupItems count="13">
          <s v="&lt;1/9/10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&gt;1/27/2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0"/>
    <s v="Baldwin, Riley and Jackson"/>
    <s v="Pre-emptive tertiary standardization"/>
    <n v="100"/>
    <n v="0"/>
    <n v="0"/>
    <x v="0"/>
    <n v="0"/>
    <n v="0"/>
    <x v="0"/>
    <s v="CAD"/>
    <n v="1448690400"/>
    <n v="1450159200"/>
    <x v="0"/>
    <d v="2015-12-15T06:00:00"/>
    <x v="0"/>
  </r>
  <r>
    <n v="1"/>
    <s v="Odom Inc"/>
    <s v="Managed bottom-line architecture"/>
    <n v="1400"/>
    <n v="14560"/>
    <n v="10.4"/>
    <x v="1"/>
    <n v="158"/>
    <n v="92.151898734177209"/>
    <x v="1"/>
    <s v="USD"/>
    <n v="1408424400"/>
    <n v="1408597200"/>
    <x v="1"/>
    <d v="2014-08-21T05:00:00"/>
    <x v="1"/>
  </r>
  <r>
    <n v="2"/>
    <s v="Melton, Robinson and Fritz"/>
    <s v="Function-based leadingedge pricing structure"/>
    <n v="108400"/>
    <n v="142523"/>
    <n v="1.31"/>
    <x v="1"/>
    <n v="1425"/>
    <n v="100.01614035087719"/>
    <x v="2"/>
    <s v="AUD"/>
    <n v="1384668000"/>
    <n v="1384840800"/>
    <x v="2"/>
    <d v="2013-11-19T06:00:00"/>
    <x v="2"/>
  </r>
  <r>
    <n v="3"/>
    <s v="Mcdonald, Gonzalez and Ross"/>
    <s v="Vision-oriented fresh-thinking conglomeration"/>
    <n v="4200"/>
    <n v="2477"/>
    <n v="0.58976190476190471"/>
    <x v="0"/>
    <n v="24"/>
    <n v="103.20833333333333"/>
    <x v="1"/>
    <s v="USD"/>
    <n v="1565499600"/>
    <n v="1568955600"/>
    <x v="3"/>
    <d v="2019-09-20T05:00:00"/>
    <x v="2"/>
  </r>
  <r>
    <n v="4"/>
    <s v="Larson-Little"/>
    <s v="Proactive foreground core"/>
    <n v="7600"/>
    <n v="5265"/>
    <n v="0.69276315789473686"/>
    <x v="0"/>
    <n v="53"/>
    <n v="99.339622641509436"/>
    <x v="1"/>
    <s v="USD"/>
    <n v="1547964000"/>
    <n v="1548309600"/>
    <x v="4"/>
    <d v="2019-01-24T06:00:00"/>
    <x v="2"/>
  </r>
  <r>
    <n v="5"/>
    <s v="Harris Group"/>
    <s v="Open-source optimizing database"/>
    <n v="7600"/>
    <n v="13195"/>
    <n v="1.7361842105263159"/>
    <x v="1"/>
    <n v="174"/>
    <n v="75.833333333333329"/>
    <x v="3"/>
    <s v="DKK"/>
    <n v="1346130000"/>
    <n v="1347080400"/>
    <x v="5"/>
    <d v="2012-09-08T05:00:00"/>
    <x v="1"/>
  </r>
  <r>
    <n v="6"/>
    <s v="Ortiz, Coleman and Mitchell"/>
    <s v="Operative upward-trending algorithm"/>
    <n v="5200"/>
    <n v="1090"/>
    <n v="0.20961538461538462"/>
    <x v="0"/>
    <n v="18"/>
    <n v="60.555555555555557"/>
    <x v="4"/>
    <s v="GBP"/>
    <n v="1505278800"/>
    <n v="1505365200"/>
    <x v="6"/>
    <d v="2017-09-14T05:00:00"/>
    <x v="3"/>
  </r>
  <r>
    <n v="7"/>
    <s v="Carter-Guzman"/>
    <s v="Centralized cohesive challenge"/>
    <n v="4500"/>
    <n v="14741"/>
    <n v="3.2757777777777779"/>
    <x v="1"/>
    <n v="227"/>
    <n v="64.93832599118943"/>
    <x v="3"/>
    <s v="DKK"/>
    <n v="1439442000"/>
    <n v="1439614800"/>
    <x v="7"/>
    <d v="2015-08-15T05:00:00"/>
    <x v="4"/>
  </r>
  <r>
    <n v="8"/>
    <s v="Nunez-Richards"/>
    <s v="Exclusive attitude-oriented intranet"/>
    <n v="110100"/>
    <n v="21946"/>
    <n v="0.19932788374205268"/>
    <x v="2"/>
    <n v="708"/>
    <n v="30.997175141242938"/>
    <x v="3"/>
    <s v="DKK"/>
    <n v="1281330000"/>
    <n v="1281502800"/>
    <x v="8"/>
    <d v="2010-08-11T05:00:00"/>
    <x v="5"/>
  </r>
  <r>
    <n v="9"/>
    <s v="Rangel, Holt and Jones"/>
    <s v="Open-source fresh-thinking model"/>
    <n v="6200"/>
    <n v="3208"/>
    <n v="0.51741935483870971"/>
    <x v="0"/>
    <n v="44"/>
    <n v="72.909090909090907"/>
    <x v="1"/>
    <s v="USD"/>
    <n v="1379566800"/>
    <n v="1383804000"/>
    <x v="9"/>
    <d v="2013-11-07T06:00:00"/>
    <x v="4"/>
  </r>
  <r>
    <n v="10"/>
    <s v="Green Ltd"/>
    <s v="Monitored empowering installation"/>
    <n v="5200"/>
    <n v="13838"/>
    <n v="2.6611538461538462"/>
    <x v="1"/>
    <n v="220"/>
    <n v="62.9"/>
    <x v="1"/>
    <s v="USD"/>
    <n v="1281762000"/>
    <n v="1285909200"/>
    <x v="10"/>
    <d v="2010-10-01T05:00:00"/>
    <x v="0"/>
  </r>
  <r>
    <n v="11"/>
    <s v="Perez, Johnson and Gardner"/>
    <s v="Grass-roots zero administration system engine"/>
    <n v="6300"/>
    <n v="3030"/>
    <n v="0.48095238095238096"/>
    <x v="0"/>
    <n v="27"/>
    <n v="112.22222222222223"/>
    <x v="1"/>
    <s v="USD"/>
    <n v="1285045200"/>
    <n v="1285563600"/>
    <x v="11"/>
    <d v="2010-09-27T05:00:00"/>
    <x v="1"/>
  </r>
  <r>
    <n v="12"/>
    <s v="Kim Ltd"/>
    <s v="Assimilated hybrid intranet"/>
    <n v="6300"/>
    <n v="5629"/>
    <n v="0.89349206349206345"/>
    <x v="0"/>
    <n v="55"/>
    <n v="102.34545454545454"/>
    <x v="1"/>
    <s v="USD"/>
    <n v="1571720400"/>
    <n v="1572411600"/>
    <x v="12"/>
    <d v="2019-10-30T05:00:00"/>
    <x v="1"/>
  </r>
  <r>
    <n v="13"/>
    <s v="Walker, Taylor and Coleman"/>
    <s v="Multi-tiered directional open architecture"/>
    <n v="4200"/>
    <n v="10295"/>
    <n v="2.4511904761904764"/>
    <x v="1"/>
    <n v="98"/>
    <n v="105.05102040816327"/>
    <x v="1"/>
    <s v="USD"/>
    <n v="1465621200"/>
    <n v="1466658000"/>
    <x v="13"/>
    <d v="2016-06-23T05:00:00"/>
    <x v="0"/>
  </r>
  <r>
    <n v="14"/>
    <s v="Rodriguez, Rose and Stewart"/>
    <s v="Cloned directional synergy"/>
    <n v="28200"/>
    <n v="18829"/>
    <n v="0.66769503546099296"/>
    <x v="0"/>
    <n v="200"/>
    <n v="94.144999999999996"/>
    <x v="1"/>
    <s v="USD"/>
    <n v="1331013600"/>
    <n v="1333342800"/>
    <x v="14"/>
    <d v="2012-04-02T05:00:00"/>
    <x v="1"/>
  </r>
  <r>
    <n v="15"/>
    <s v="Wright, Hunt and Rowe"/>
    <s v="Extended eco-centric pricing structure"/>
    <n v="81200"/>
    <n v="38414"/>
    <n v="0.47307881773399013"/>
    <x v="0"/>
    <n v="452"/>
    <n v="84.986725663716811"/>
    <x v="1"/>
    <s v="USD"/>
    <n v="1575957600"/>
    <n v="1576303200"/>
    <x v="15"/>
    <d v="2019-12-14T06:00:00"/>
    <x v="1"/>
  </r>
  <r>
    <n v="16"/>
    <s v="Hines Inc"/>
    <s v="Cross-platform systemic adapter"/>
    <n v="1700"/>
    <n v="11041"/>
    <n v="6.4947058823529416"/>
    <x v="1"/>
    <n v="100"/>
    <n v="110.41"/>
    <x v="1"/>
    <s v="USD"/>
    <n v="1390370400"/>
    <n v="1392271200"/>
    <x v="16"/>
    <d v="2014-02-13T06:00:00"/>
    <x v="3"/>
  </r>
  <r>
    <n v="17"/>
    <s v="Cochran-Nguyen"/>
    <s v="Seamless 4thgeneration methodology"/>
    <n v="84600"/>
    <n v="134845"/>
    <n v="1.5939125295508274"/>
    <x v="1"/>
    <n v="1249"/>
    <n v="107.96236989591674"/>
    <x v="1"/>
    <s v="USD"/>
    <n v="1294812000"/>
    <n v="1294898400"/>
    <x v="17"/>
    <d v="2011-01-13T06:00:00"/>
    <x v="3"/>
  </r>
  <r>
    <n v="18"/>
    <s v="Johnson-Gould"/>
    <s v="Exclusive needs-based adapter"/>
    <n v="9100"/>
    <n v="6089"/>
    <n v="0.66912087912087914"/>
    <x v="3"/>
    <n v="135"/>
    <n v="45.103703703703701"/>
    <x v="1"/>
    <s v="USD"/>
    <n v="1536382800"/>
    <n v="1537074000"/>
    <x v="18"/>
    <d v="2018-09-16T05:00:00"/>
    <x v="0"/>
  </r>
  <r>
    <n v="19"/>
    <s v="Perez-Hess"/>
    <s v="Down-sized cohesive archive"/>
    <n v="62500"/>
    <n v="30331"/>
    <n v="0.48529600000000001"/>
    <x v="0"/>
    <n v="674"/>
    <n v="45.001483679525222"/>
    <x v="1"/>
    <s v="USD"/>
    <n v="1551679200"/>
    <n v="1553490000"/>
    <x v="19"/>
    <d v="2019-03-25T05:00:00"/>
    <x v="5"/>
  </r>
  <r>
    <n v="20"/>
    <s v="Reeves, Thompson and Richardson"/>
    <s v="Proactive composite alliance"/>
    <n v="131800"/>
    <n v="147936"/>
    <n v="1.1224279210925645"/>
    <x v="1"/>
    <n v="1396"/>
    <n v="105.97134670487107"/>
    <x v="1"/>
    <s v="USD"/>
    <n v="1406523600"/>
    <n v="1406523600"/>
    <x v="20"/>
    <d v="2014-07-28T05:00:00"/>
    <x v="5"/>
  </r>
  <r>
    <n v="21"/>
    <s v="Simmons-Reynolds"/>
    <s v="Re-engineered intangible definition"/>
    <n v="94000"/>
    <n v="38533"/>
    <n v="0.40992553191489361"/>
    <x v="0"/>
    <n v="558"/>
    <n v="69.055555555555557"/>
    <x v="1"/>
    <s v="USD"/>
    <n v="1313384400"/>
    <n v="1316322000"/>
    <x v="21"/>
    <d v="2011-09-18T05:00:00"/>
    <x v="5"/>
  </r>
  <r>
    <n v="22"/>
    <s v="Collier Inc"/>
    <s v="Enhanced dynamic definition"/>
    <n v="59100"/>
    <n v="75690"/>
    <n v="1.2807106598984772"/>
    <x v="1"/>
    <n v="890"/>
    <n v="85.044943820224717"/>
    <x v="1"/>
    <s v="USD"/>
    <n v="1522731600"/>
    <n v="1524027600"/>
    <x v="22"/>
    <d v="2018-04-18T05:00:00"/>
    <x v="1"/>
  </r>
  <r>
    <n v="23"/>
    <s v="Gray-Jenkins"/>
    <s v="Devolved next generation adapter"/>
    <n v="4500"/>
    <n v="14942"/>
    <n v="3.3204444444444445"/>
    <x v="1"/>
    <n v="142"/>
    <n v="105.22535211267606"/>
    <x v="4"/>
    <s v="GBP"/>
    <n v="1550124000"/>
    <n v="1554699600"/>
    <x v="23"/>
    <d v="2019-04-08T05:00:00"/>
    <x v="4"/>
  </r>
  <r>
    <n v="24"/>
    <s v="Scott, Wilson and Martin"/>
    <s v="Cross-platform intermediate frame"/>
    <n v="92400"/>
    <n v="104257"/>
    <n v="1.1283225108225108"/>
    <x v="1"/>
    <n v="2673"/>
    <n v="39.003741114852225"/>
    <x v="1"/>
    <s v="USD"/>
    <n v="1403326800"/>
    <n v="1403499600"/>
    <x v="24"/>
    <d v="2014-06-23T05:00:00"/>
    <x v="0"/>
  </r>
  <r>
    <n v="25"/>
    <s v="Caldwell, Velazquez and Wilson"/>
    <s v="Monitored impactful analyzer"/>
    <n v="5500"/>
    <n v="11904"/>
    <n v="2.1643636363636363"/>
    <x v="1"/>
    <n v="163"/>
    <n v="73.030674846625772"/>
    <x v="1"/>
    <s v="USD"/>
    <n v="1305694800"/>
    <n v="1307422800"/>
    <x v="25"/>
    <d v="2011-06-07T05:00:00"/>
    <x v="3"/>
  </r>
  <r>
    <n v="26"/>
    <s v="Spencer-Bates"/>
    <s v="Optional responsive customer loyalty"/>
    <n v="107500"/>
    <n v="51814"/>
    <n v="0.4819906976744186"/>
    <x v="3"/>
    <n v="1480"/>
    <n v="35.009459459459457"/>
    <x v="1"/>
    <s v="USD"/>
    <n v="1533013200"/>
    <n v="1535346000"/>
    <x v="26"/>
    <d v="2018-08-27T05:00:00"/>
    <x v="1"/>
  </r>
  <r>
    <n v="27"/>
    <s v="Best, Carr and Williams"/>
    <s v="Diverse transitional migration"/>
    <n v="2000"/>
    <n v="1599"/>
    <n v="0.79949999999999999"/>
    <x v="0"/>
    <n v="15"/>
    <n v="106.6"/>
    <x v="1"/>
    <s v="USD"/>
    <n v="1443848400"/>
    <n v="1444539600"/>
    <x v="27"/>
    <d v="2015-10-11T05:00:00"/>
    <x v="0"/>
  </r>
  <r>
    <n v="28"/>
    <s v="Campbell, Brown and Powell"/>
    <s v="Synchronized global task-force"/>
    <n v="130800"/>
    <n v="137635"/>
    <n v="1.0522553516819573"/>
    <x v="1"/>
    <n v="2220"/>
    <n v="61.997747747747745"/>
    <x v="1"/>
    <s v="USD"/>
    <n v="1265695200"/>
    <n v="1267682400"/>
    <x v="28"/>
    <d v="2010-03-04T06:00:00"/>
    <x v="1"/>
  </r>
  <r>
    <n v="29"/>
    <s v="Johnson, Parker and Haynes"/>
    <s v="Focused 6thgeneration forecast"/>
    <n v="45900"/>
    <n v="150965"/>
    <n v="3.2889978213507627"/>
    <x v="1"/>
    <n v="1606"/>
    <n v="94.000622665006233"/>
    <x v="5"/>
    <s v="CHF"/>
    <n v="1532062800"/>
    <n v="1535518800"/>
    <x v="29"/>
    <d v="2018-08-29T05:00:00"/>
    <x v="6"/>
  </r>
  <r>
    <n v="30"/>
    <s v="Clark-Cooke"/>
    <s v="Down-sized analyzing challenge"/>
    <n v="9000"/>
    <n v="14455"/>
    <n v="1.606111111111111"/>
    <x v="1"/>
    <n v="129"/>
    <n v="112.05426356589147"/>
    <x v="1"/>
    <s v="USD"/>
    <n v="1558674000"/>
    <n v="1559106000"/>
    <x v="30"/>
    <d v="2019-05-29T05:00:00"/>
    <x v="6"/>
  </r>
  <r>
    <n v="31"/>
    <s v="Schroeder Ltd"/>
    <s v="Progressive needs-based focus group"/>
    <n v="3500"/>
    <n v="10850"/>
    <n v="3.1"/>
    <x v="1"/>
    <n v="226"/>
    <n v="48.008849557522126"/>
    <x v="4"/>
    <s v="GBP"/>
    <n v="1451973600"/>
    <n v="1454392800"/>
    <x v="31"/>
    <d v="2016-02-02T06:00:00"/>
    <x v="1"/>
  </r>
  <r>
    <n v="32"/>
    <s v="Jackson PLC"/>
    <s v="Ergonomic 6thgeneration success"/>
    <n v="101000"/>
    <n v="87676"/>
    <n v="0.86807920792079207"/>
    <x v="0"/>
    <n v="2307"/>
    <n v="38.004334633723452"/>
    <x v="6"/>
    <s v="EUR"/>
    <n v="1515564000"/>
    <n v="1517896800"/>
    <x v="32"/>
    <d v="2018-02-06T06:00:00"/>
    <x v="3"/>
  </r>
  <r>
    <n v="33"/>
    <s v="Blair, Collins and Carter"/>
    <s v="Exclusive interactive approach"/>
    <n v="50200"/>
    <n v="189666"/>
    <n v="3.7782071713147412"/>
    <x v="1"/>
    <n v="5419"/>
    <n v="35.000184535892231"/>
    <x v="1"/>
    <s v="USD"/>
    <n v="1412485200"/>
    <n v="1415685600"/>
    <x v="33"/>
    <d v="2014-11-11T06:00:00"/>
    <x v="2"/>
  </r>
  <r>
    <n v="34"/>
    <s v="Maldonado and Sons"/>
    <s v="Reverse-engineered asynchronous archive"/>
    <n v="9300"/>
    <n v="14025"/>
    <n v="1.5080645161290323"/>
    <x v="1"/>
    <n v="165"/>
    <n v="85"/>
    <x v="1"/>
    <s v="USD"/>
    <n v="1490245200"/>
    <n v="1490677200"/>
    <x v="34"/>
    <d v="2017-03-28T05:00:00"/>
    <x v="4"/>
  </r>
  <r>
    <n v="35"/>
    <s v="Mitchell and Sons"/>
    <s v="Synergized intangible challenge"/>
    <n v="125500"/>
    <n v="188628"/>
    <n v="1.5030119521912351"/>
    <x v="1"/>
    <n v="1965"/>
    <n v="95.993893129770996"/>
    <x v="3"/>
    <s v="DKK"/>
    <n v="1547877600"/>
    <n v="1551506400"/>
    <x v="35"/>
    <d v="2019-03-02T06:00:00"/>
    <x v="0"/>
  </r>
  <r>
    <n v="36"/>
    <s v="Jackson-Lewis"/>
    <s v="Monitored multi-state encryption"/>
    <n v="700"/>
    <n v="1101"/>
    <n v="1.572857142857143"/>
    <x v="1"/>
    <n v="16"/>
    <n v="68.8125"/>
    <x v="1"/>
    <s v="USD"/>
    <n v="1298700000"/>
    <n v="1300856400"/>
    <x v="36"/>
    <d v="2011-03-23T05:00:00"/>
    <x v="0"/>
  </r>
  <r>
    <n v="37"/>
    <s v="Black, Armstrong and Anderson"/>
    <s v="Profound attitude-oriented functionalities"/>
    <n v="8100"/>
    <n v="11339"/>
    <n v="1.3998765432098765"/>
    <x v="1"/>
    <n v="107"/>
    <n v="105.97196261682242"/>
    <x v="1"/>
    <s v="USD"/>
    <n v="1570338000"/>
    <n v="1573192800"/>
    <x v="37"/>
    <d v="2019-11-08T06:00:00"/>
    <x v="2"/>
  </r>
  <r>
    <n v="38"/>
    <s v="Maldonado-Gonzalez"/>
    <s v="Digitized client-driven database"/>
    <n v="3100"/>
    <n v="10085"/>
    <n v="3.2532258064516131"/>
    <x v="1"/>
    <n v="134"/>
    <n v="75.261194029850742"/>
    <x v="1"/>
    <s v="USD"/>
    <n v="1287378000"/>
    <n v="1287810000"/>
    <x v="38"/>
    <d v="2010-10-23T05:00:00"/>
    <x v="5"/>
  </r>
  <r>
    <n v="39"/>
    <s v="Kim-Rice"/>
    <s v="Organized bi-directional function"/>
    <n v="9900"/>
    <n v="5027"/>
    <n v="0.50777777777777777"/>
    <x v="0"/>
    <n v="88"/>
    <n v="57.125"/>
    <x v="3"/>
    <s v="DKK"/>
    <n v="1361772000"/>
    <n v="1362978000"/>
    <x v="39"/>
    <d v="2013-03-11T05:00:00"/>
    <x v="5"/>
  </r>
  <r>
    <n v="40"/>
    <s v="Garcia, Garcia and Lopez"/>
    <s v="Reduced stable middleware"/>
    <n v="8800"/>
    <n v="14878"/>
    <n v="1.6906818181818182"/>
    <x v="1"/>
    <n v="198"/>
    <n v="75.141414141414145"/>
    <x v="1"/>
    <s v="USD"/>
    <n v="1275714000"/>
    <n v="1277355600"/>
    <x v="40"/>
    <d v="2010-06-24T05:00:00"/>
    <x v="0"/>
  </r>
  <r>
    <n v="41"/>
    <s v="Watts Group"/>
    <s v="Universal 5thgeneration neural-net"/>
    <n v="5600"/>
    <n v="11924"/>
    <n v="2.1292857142857144"/>
    <x v="1"/>
    <n v="111"/>
    <n v="107.42342342342343"/>
    <x v="6"/>
    <s v="EUR"/>
    <n v="1346734800"/>
    <n v="1348981200"/>
    <x v="41"/>
    <d v="2012-09-30T05:00:00"/>
    <x v="1"/>
  </r>
  <r>
    <n v="42"/>
    <s v="Werner-Bryant"/>
    <s v="Virtual uniform frame"/>
    <n v="1800"/>
    <n v="7991"/>
    <n v="4.4394444444444447"/>
    <x v="1"/>
    <n v="222"/>
    <n v="35.995495495495497"/>
    <x v="1"/>
    <s v="USD"/>
    <n v="1309755600"/>
    <n v="1310533200"/>
    <x v="42"/>
    <d v="2011-07-13T05:00:00"/>
    <x v="5"/>
  </r>
  <r>
    <n v="43"/>
    <s v="Schmitt-Mendoza"/>
    <s v="Profound explicit paradigm"/>
    <n v="90200"/>
    <n v="167717"/>
    <n v="1.859390243902439"/>
    <x v="1"/>
    <n v="6212"/>
    <n v="26.998873148744366"/>
    <x v="1"/>
    <s v="USD"/>
    <n v="1406178000"/>
    <n v="1407560400"/>
    <x v="43"/>
    <d v="2014-08-09T05:00:00"/>
    <x v="4"/>
  </r>
  <r>
    <n v="44"/>
    <s v="Reid-Mccullough"/>
    <s v="Visionary real-time groupware"/>
    <n v="1600"/>
    <n v="10541"/>
    <n v="6.5881249999999998"/>
    <x v="1"/>
    <n v="98"/>
    <n v="107.56122448979592"/>
    <x v="3"/>
    <s v="DKK"/>
    <n v="1552798800"/>
    <n v="1552885200"/>
    <x v="44"/>
    <d v="2019-03-18T05:00:00"/>
    <x v="2"/>
  </r>
  <r>
    <n v="45"/>
    <s v="Woods-Clark"/>
    <s v="Networked tertiary Graphical User Interface"/>
    <n v="9500"/>
    <n v="4530"/>
    <n v="0.4768421052631579"/>
    <x v="0"/>
    <n v="48"/>
    <n v="94.375"/>
    <x v="1"/>
    <s v="USD"/>
    <n v="1478062800"/>
    <n v="1479362400"/>
    <x v="45"/>
    <d v="2016-11-17T06:00:00"/>
    <x v="3"/>
  </r>
  <r>
    <n v="46"/>
    <s v="Vaughn, Hunt and Caldwell"/>
    <s v="Virtual grid-enabled task-force"/>
    <n v="3700"/>
    <n v="4247"/>
    <n v="1.1478378378378378"/>
    <x v="1"/>
    <n v="92"/>
    <n v="46.163043478260867"/>
    <x v="1"/>
    <s v="USD"/>
    <n v="1278565200"/>
    <n v="1280552400"/>
    <x v="46"/>
    <d v="2010-07-31T05:00:00"/>
    <x v="4"/>
  </r>
  <r>
    <n v="47"/>
    <s v="Bennett and Sons"/>
    <s v="Function-based multi-state software"/>
    <n v="1500"/>
    <n v="7129"/>
    <n v="4.7526666666666664"/>
    <x v="1"/>
    <n v="149"/>
    <n v="47.845637583892618"/>
    <x v="1"/>
    <s v="USD"/>
    <n v="1396069200"/>
    <n v="1398661200"/>
    <x v="47"/>
    <d v="2014-04-28T05:00:00"/>
    <x v="0"/>
  </r>
  <r>
    <n v="48"/>
    <s v="Lamb Inc"/>
    <s v="Optimized leadingedge concept"/>
    <n v="33300"/>
    <n v="128862"/>
    <n v="3.86972972972973"/>
    <x v="1"/>
    <n v="2431"/>
    <n v="53.007815713698065"/>
    <x v="1"/>
    <s v="USD"/>
    <n v="1435208400"/>
    <n v="1436245200"/>
    <x v="48"/>
    <d v="2015-07-07T05:00:00"/>
    <x v="4"/>
  </r>
  <r>
    <n v="49"/>
    <s v="Casey-Kelly"/>
    <s v="Sharable holistic interface"/>
    <n v="7200"/>
    <n v="13653"/>
    <n v="1.89625"/>
    <x v="1"/>
    <n v="303"/>
    <n v="45.059405940594061"/>
    <x v="1"/>
    <s v="USD"/>
    <n v="1571547600"/>
    <n v="1575439200"/>
    <x v="49"/>
    <d v="2019-12-04T06:00:00"/>
    <x v="2"/>
  </r>
  <r>
    <n v="50"/>
    <s v="Jones, Taylor and Moore"/>
    <s v="Down-sized system-worthy secured line"/>
    <n v="100"/>
    <n v="2"/>
    <n v="0.02"/>
    <x v="0"/>
    <n v="1"/>
    <n v="2"/>
    <x v="6"/>
    <s v="EUR"/>
    <n v="1375333200"/>
    <n v="1377752400"/>
    <x v="50"/>
    <d v="2013-08-29T05:00:00"/>
    <x v="4"/>
  </r>
  <r>
    <n v="51"/>
    <s v="Bradshaw, Gill and Donovan"/>
    <s v="Inverse secondary infrastructure"/>
    <n v="158100"/>
    <n v="145243"/>
    <n v="0.91867805186590767"/>
    <x v="0"/>
    <n v="1467"/>
    <n v="99.006816632583508"/>
    <x v="4"/>
    <s v="GBP"/>
    <n v="1332824400"/>
    <n v="1334206800"/>
    <x v="51"/>
    <d v="2012-04-12T05:00:00"/>
    <x v="1"/>
  </r>
  <r>
    <n v="52"/>
    <s v="Hernandez, Rodriguez and Clark"/>
    <s v="Organic foreground leverage"/>
    <n v="7200"/>
    <n v="2459"/>
    <n v="0.34152777777777776"/>
    <x v="0"/>
    <n v="75"/>
    <n v="32.786666666666669"/>
    <x v="1"/>
    <s v="USD"/>
    <n v="1284526800"/>
    <n v="1284872400"/>
    <x v="52"/>
    <d v="2010-09-19T05:00:00"/>
    <x v="3"/>
  </r>
  <r>
    <n v="53"/>
    <s v="Smith-Jones"/>
    <s v="Reverse-engineered static concept"/>
    <n v="8800"/>
    <n v="12356"/>
    <n v="1.4040909090909091"/>
    <x v="1"/>
    <n v="209"/>
    <n v="59.119617224880386"/>
    <x v="1"/>
    <s v="USD"/>
    <n v="1400562000"/>
    <n v="1403931600"/>
    <x v="53"/>
    <d v="2014-06-28T05:00:00"/>
    <x v="1"/>
  </r>
  <r>
    <n v="54"/>
    <s v="Roy PLC"/>
    <s v="Multi-channeled neutral customer loyalty"/>
    <n v="6000"/>
    <n v="5392"/>
    <n v="0.89866666666666661"/>
    <x v="0"/>
    <n v="120"/>
    <n v="44.93333333333333"/>
    <x v="1"/>
    <s v="USD"/>
    <n v="1520748000"/>
    <n v="1521262800"/>
    <x v="54"/>
    <d v="2018-03-17T05:00:00"/>
    <x v="2"/>
  </r>
  <r>
    <n v="55"/>
    <s v="Wright, Brooks and Villarreal"/>
    <s v="Reverse-engineered bifurcated strategy"/>
    <n v="6600"/>
    <n v="11746"/>
    <n v="1.7796969696969698"/>
    <x v="1"/>
    <n v="131"/>
    <n v="89.664122137404576"/>
    <x v="1"/>
    <s v="USD"/>
    <n v="1532926800"/>
    <n v="1533358800"/>
    <x v="55"/>
    <d v="2018-08-04T05:00:00"/>
    <x v="5"/>
  </r>
  <r>
    <n v="56"/>
    <s v="Flores, Miller and Johnson"/>
    <s v="Horizontal context-sensitive knowledge user"/>
    <n v="8000"/>
    <n v="11493"/>
    <n v="1.436625"/>
    <x v="1"/>
    <n v="164"/>
    <n v="70.079268292682926"/>
    <x v="1"/>
    <s v="USD"/>
    <n v="1420869600"/>
    <n v="1421474400"/>
    <x v="56"/>
    <d v="2015-01-17T06:00:00"/>
    <x v="0"/>
  </r>
  <r>
    <n v="57"/>
    <s v="Bridges, Freeman and Kim"/>
    <s v="Cross-group multi-state task-force"/>
    <n v="2900"/>
    <n v="6243"/>
    <n v="2.1527586206896552"/>
    <x v="1"/>
    <n v="201"/>
    <n v="31.059701492537314"/>
    <x v="1"/>
    <s v="USD"/>
    <n v="1504242000"/>
    <n v="1505278800"/>
    <x v="57"/>
    <d v="2017-09-13T05:00:00"/>
    <x v="6"/>
  </r>
  <r>
    <n v="58"/>
    <s v="Anderson-Perez"/>
    <s v="Expanded 3rdgeneration strategy"/>
    <n v="2700"/>
    <n v="6132"/>
    <n v="2.2711111111111113"/>
    <x v="1"/>
    <n v="211"/>
    <n v="29.061611374407583"/>
    <x v="1"/>
    <s v="USD"/>
    <n v="1442811600"/>
    <n v="1443934800"/>
    <x v="58"/>
    <d v="2015-10-04T05:00:00"/>
    <x v="5"/>
  </r>
  <r>
    <n v="59"/>
    <s v="Wright, Fox and Marks"/>
    <s v="Assimilated real-time support"/>
    <n v="1400"/>
    <n v="3851"/>
    <n v="2.7507142857142859"/>
    <x v="1"/>
    <n v="128"/>
    <n v="30.0859375"/>
    <x v="1"/>
    <s v="USD"/>
    <n v="1497243600"/>
    <n v="1498539600"/>
    <x v="59"/>
    <d v="2017-06-27T05:00:00"/>
    <x v="5"/>
  </r>
  <r>
    <n v="60"/>
    <s v="Crawford-Peters"/>
    <s v="User-centric regional database"/>
    <n v="94200"/>
    <n v="135997"/>
    <n v="1.4437048832271762"/>
    <x v="1"/>
    <n v="1600"/>
    <n v="84.998125000000002"/>
    <x v="0"/>
    <s v="CAD"/>
    <n v="1342501200"/>
    <n v="1342760400"/>
    <x v="60"/>
    <d v="2012-07-20T05:00:00"/>
    <x v="1"/>
  </r>
  <r>
    <n v="61"/>
    <s v="Romero-Hoffman"/>
    <s v="Open-source zero administration complexity"/>
    <n v="199200"/>
    <n v="184750"/>
    <n v="0.92745983935742971"/>
    <x v="0"/>
    <n v="2253"/>
    <n v="82.001775410563695"/>
    <x v="0"/>
    <s v="CAD"/>
    <n v="1298268000"/>
    <n v="1301720400"/>
    <x v="61"/>
    <d v="2011-04-02T05:00:00"/>
    <x v="5"/>
  </r>
  <r>
    <n v="62"/>
    <s v="Sparks-West"/>
    <s v="Organized incremental standardization"/>
    <n v="2000"/>
    <n v="14452"/>
    <n v="7.226"/>
    <x v="1"/>
    <n v="249"/>
    <n v="58.040160642570278"/>
    <x v="1"/>
    <s v="USD"/>
    <n v="1433480400"/>
    <n v="1433566800"/>
    <x v="62"/>
    <d v="2015-06-06T05:00:00"/>
    <x v="6"/>
  </r>
  <r>
    <n v="63"/>
    <s v="Baker, Morgan and Brown"/>
    <s v="Assimilated didactic open system"/>
    <n v="4700"/>
    <n v="557"/>
    <n v="0.11851063829787234"/>
    <x v="0"/>
    <n v="5"/>
    <n v="111.4"/>
    <x v="1"/>
    <s v="USD"/>
    <n v="1493355600"/>
    <n v="1493874000"/>
    <x v="63"/>
    <d v="2017-05-04T05:00:00"/>
    <x v="6"/>
  </r>
  <r>
    <n v="64"/>
    <s v="Mosley-Gilbert"/>
    <s v="Vision-oriented logistical intranet"/>
    <n v="2800"/>
    <n v="2734"/>
    <n v="0.97642857142857142"/>
    <x v="0"/>
    <n v="38"/>
    <n v="71.94736842105263"/>
    <x v="1"/>
    <s v="USD"/>
    <n v="1530507600"/>
    <n v="1531803600"/>
    <x v="64"/>
    <d v="2018-07-17T05:00:00"/>
    <x v="5"/>
  </r>
  <r>
    <n v="65"/>
    <s v="Berry-Boyer"/>
    <s v="Mandatory incremental projection"/>
    <n v="6100"/>
    <n v="14405"/>
    <n v="2.3614754098360655"/>
    <x v="1"/>
    <n v="236"/>
    <n v="61.038135593220339"/>
    <x v="1"/>
    <s v="USD"/>
    <n v="1296108000"/>
    <n v="1296712800"/>
    <x v="65"/>
    <d v="2011-02-03T06:00:00"/>
    <x v="4"/>
  </r>
  <r>
    <n v="66"/>
    <s v="Sanders-Allen"/>
    <s v="Grass-roots needs-based encryption"/>
    <n v="2900"/>
    <n v="1307"/>
    <n v="0.45068965517241377"/>
    <x v="0"/>
    <n v="12"/>
    <n v="108.91666666666667"/>
    <x v="1"/>
    <s v="USD"/>
    <n v="1428469200"/>
    <n v="1428901200"/>
    <x v="66"/>
    <d v="2015-04-13T05:00:00"/>
    <x v="3"/>
  </r>
  <r>
    <n v="67"/>
    <s v="Lopez Inc"/>
    <s v="Team-oriented 6thgeneration middleware"/>
    <n v="72600"/>
    <n v="117892"/>
    <n v="1.6238567493112948"/>
    <x v="1"/>
    <n v="4065"/>
    <n v="29.001722017220171"/>
    <x v="4"/>
    <s v="GBP"/>
    <n v="1264399200"/>
    <n v="1264831200"/>
    <x v="67"/>
    <d v="2010-01-30T06:00:00"/>
    <x v="5"/>
  </r>
  <r>
    <n v="68"/>
    <s v="Moreno-Turner"/>
    <s v="Inverse multi-tasking installation"/>
    <n v="5700"/>
    <n v="14508"/>
    <n v="2.5452631578947367"/>
    <x v="1"/>
    <n v="246"/>
    <n v="58.975609756097562"/>
    <x v="6"/>
    <s v="EUR"/>
    <n v="1501131600"/>
    <n v="1505192400"/>
    <x v="68"/>
    <d v="2017-09-12T05:00:00"/>
    <x v="4"/>
  </r>
  <r>
    <n v="69"/>
    <s v="Jones-Watson"/>
    <s v="Switchable disintermediate moderator"/>
    <n v="7900"/>
    <n v="1901"/>
    <n v="0.24063291139240506"/>
    <x v="3"/>
    <n v="17"/>
    <n v="111.82352941176471"/>
    <x v="1"/>
    <s v="USD"/>
    <n v="1292738400"/>
    <n v="1295676000"/>
    <x v="69"/>
    <d v="2011-01-22T06:00:00"/>
    <x v="2"/>
  </r>
  <r>
    <n v="70"/>
    <s v="Barker Inc"/>
    <s v="Re-engineered 24/7 task-force"/>
    <n v="128000"/>
    <n v="158389"/>
    <n v="1.2374140625000001"/>
    <x v="1"/>
    <n v="2475"/>
    <n v="63.995555555555555"/>
    <x v="6"/>
    <s v="EUR"/>
    <n v="1288674000"/>
    <n v="1292911200"/>
    <x v="70"/>
    <d v="2010-12-21T06:00:00"/>
    <x v="1"/>
  </r>
  <r>
    <n v="71"/>
    <s v="Tate, Bass and House"/>
    <s v="Organic object-oriented budgetary management"/>
    <n v="6000"/>
    <n v="6484"/>
    <n v="1.0806666666666667"/>
    <x v="1"/>
    <n v="76"/>
    <n v="85.315789473684205"/>
    <x v="1"/>
    <s v="USD"/>
    <n v="1575093600"/>
    <n v="1575439200"/>
    <x v="71"/>
    <d v="2019-12-04T06:00:00"/>
    <x v="0"/>
  </r>
  <r>
    <n v="72"/>
    <s v="Hampton, Lewis and Ray"/>
    <s v="Seamless coherent parallelism"/>
    <n v="600"/>
    <n v="4022"/>
    <n v="6.7033333333333331"/>
    <x v="1"/>
    <n v="54"/>
    <n v="74.481481481481481"/>
    <x v="1"/>
    <s v="USD"/>
    <n v="1435726800"/>
    <n v="1438837200"/>
    <x v="72"/>
    <d v="2015-08-06T05:00:00"/>
    <x v="3"/>
  </r>
  <r>
    <n v="73"/>
    <s v="Collins-Goodman"/>
    <s v="Cross-platform even-keeled initiative"/>
    <n v="1400"/>
    <n v="9253"/>
    <n v="6.609285714285714"/>
    <x v="1"/>
    <n v="88"/>
    <n v="105.14772727272727"/>
    <x v="1"/>
    <s v="USD"/>
    <n v="1480226400"/>
    <n v="1480485600"/>
    <x v="73"/>
    <d v="2016-11-30T06:00:00"/>
    <x v="2"/>
  </r>
  <r>
    <n v="74"/>
    <s v="Davis-Michael"/>
    <s v="Progressive tertiary framework"/>
    <n v="3900"/>
    <n v="4776"/>
    <n v="1.2246153846153847"/>
    <x v="1"/>
    <n v="85"/>
    <n v="56.188235294117646"/>
    <x v="4"/>
    <s v="GBP"/>
    <n v="1459054800"/>
    <n v="1459141200"/>
    <x v="74"/>
    <d v="2016-03-28T05:00:00"/>
    <x v="2"/>
  </r>
  <r>
    <n v="75"/>
    <s v="White, Torres and Bishop"/>
    <s v="Multi-layered dynamic protocol"/>
    <n v="9700"/>
    <n v="14606"/>
    <n v="1.5057731958762886"/>
    <x v="1"/>
    <n v="170"/>
    <n v="85.917647058823533"/>
    <x v="1"/>
    <s v="USD"/>
    <n v="1531630800"/>
    <n v="1532322000"/>
    <x v="75"/>
    <d v="2018-07-23T05:00:00"/>
    <x v="2"/>
  </r>
  <r>
    <n v="76"/>
    <s v="Martin, Conway and Larsen"/>
    <s v="Horizontal next generation function"/>
    <n v="122900"/>
    <n v="95993"/>
    <n v="0.78106590724165992"/>
    <x v="0"/>
    <n v="1684"/>
    <n v="57.00296912114014"/>
    <x v="1"/>
    <s v="USD"/>
    <n v="1421992800"/>
    <n v="1426222800"/>
    <x v="76"/>
    <d v="2015-03-13T05:00:00"/>
    <x v="6"/>
  </r>
  <r>
    <n v="77"/>
    <s v="Acevedo-Huffman"/>
    <s v="Pre-emptive impactful model"/>
    <n v="9500"/>
    <n v="4460"/>
    <n v="0.46947368421052632"/>
    <x v="0"/>
    <n v="56"/>
    <n v="79.642857142857139"/>
    <x v="1"/>
    <s v="USD"/>
    <n v="1285563600"/>
    <n v="1286773200"/>
    <x v="77"/>
    <d v="2010-10-11T05:00:00"/>
    <x v="5"/>
  </r>
  <r>
    <n v="78"/>
    <s v="Montgomery, Larson and Spencer"/>
    <s v="User-centric bifurcated knowledge user"/>
    <n v="4500"/>
    <n v="13536"/>
    <n v="3.008"/>
    <x v="1"/>
    <n v="330"/>
    <n v="41.018181818181816"/>
    <x v="1"/>
    <s v="USD"/>
    <n v="1523854800"/>
    <n v="1523941200"/>
    <x v="78"/>
    <d v="2018-04-17T05:00:00"/>
    <x v="5"/>
  </r>
  <r>
    <n v="79"/>
    <s v="Soto LLC"/>
    <s v="Triple-buffered reciprocal project"/>
    <n v="57800"/>
    <n v="40228"/>
    <n v="0.6959861591695502"/>
    <x v="0"/>
    <n v="838"/>
    <n v="48.004773269689736"/>
    <x v="1"/>
    <s v="USD"/>
    <n v="1529125200"/>
    <n v="1529557200"/>
    <x v="79"/>
    <d v="2018-06-21T05:00:00"/>
    <x v="0"/>
  </r>
  <r>
    <n v="80"/>
    <s v="Sutton, Barrett and Tucker"/>
    <s v="Cross-platform needs-based approach"/>
    <n v="1100"/>
    <n v="7012"/>
    <n v="6.374545454545455"/>
    <x v="1"/>
    <n v="127"/>
    <n v="55.212598425196852"/>
    <x v="1"/>
    <s v="USD"/>
    <n v="1503982800"/>
    <n v="1506574800"/>
    <x v="80"/>
    <d v="2017-09-28T05:00:00"/>
    <x v="1"/>
  </r>
  <r>
    <n v="81"/>
    <s v="Gomez, Bailey and Flores"/>
    <s v="User-friendly static contingency"/>
    <n v="16800"/>
    <n v="37857"/>
    <n v="2.253392857142857"/>
    <x v="1"/>
    <n v="411"/>
    <n v="92.109489051094897"/>
    <x v="1"/>
    <s v="USD"/>
    <n v="1511416800"/>
    <n v="1513576800"/>
    <x v="81"/>
    <d v="2017-12-18T06:00:00"/>
    <x v="4"/>
  </r>
  <r>
    <n v="82"/>
    <s v="Porter-George"/>
    <s v="Reactive content-based framework"/>
    <n v="1000"/>
    <n v="14973"/>
    <n v="14.973000000000001"/>
    <x v="1"/>
    <n v="180"/>
    <n v="83.183333333333337"/>
    <x v="4"/>
    <s v="GBP"/>
    <n v="1547704800"/>
    <n v="1548309600"/>
    <x v="82"/>
    <d v="2019-01-24T06:00:00"/>
    <x v="4"/>
  </r>
  <r>
    <n v="83"/>
    <s v="Fitzgerald PLC"/>
    <s v="Realigned user-facing concept"/>
    <n v="106400"/>
    <n v="39996"/>
    <n v="0.37590225563909774"/>
    <x v="0"/>
    <n v="1000"/>
    <n v="39.996000000000002"/>
    <x v="1"/>
    <s v="USD"/>
    <n v="1469682000"/>
    <n v="1471582800"/>
    <x v="83"/>
    <d v="2016-08-19T05:00:00"/>
    <x v="4"/>
  </r>
  <r>
    <n v="84"/>
    <s v="Cisneros-Burton"/>
    <s v="Public-key zero tolerance orchestration"/>
    <n v="31400"/>
    <n v="41564"/>
    <n v="1.3236942675159236"/>
    <x v="1"/>
    <n v="374"/>
    <n v="111.1336898395722"/>
    <x v="1"/>
    <s v="USD"/>
    <n v="1343451600"/>
    <n v="1344315600"/>
    <x v="84"/>
    <d v="2012-08-07T05:00:00"/>
    <x v="0"/>
  </r>
  <r>
    <n v="85"/>
    <s v="Hill, Lawson and Wilkinson"/>
    <s v="Multi-tiered eco-centric architecture"/>
    <n v="4900"/>
    <n v="6430"/>
    <n v="1.3122448979591836"/>
    <x v="1"/>
    <n v="71"/>
    <n v="90.563380281690144"/>
    <x v="2"/>
    <s v="AUD"/>
    <n v="1315717200"/>
    <n v="1316408400"/>
    <x v="85"/>
    <d v="2011-09-19T05:00:00"/>
    <x v="2"/>
  </r>
  <r>
    <n v="86"/>
    <s v="Davis-Smith"/>
    <s v="Organic motivating firmware"/>
    <n v="7400"/>
    <n v="12405"/>
    <n v="1.6763513513513513"/>
    <x v="1"/>
    <n v="203"/>
    <n v="61.108374384236456"/>
    <x v="1"/>
    <s v="USD"/>
    <n v="1430715600"/>
    <n v="1431838800"/>
    <x v="86"/>
    <d v="2015-05-17T05:00:00"/>
    <x v="5"/>
  </r>
  <r>
    <n v="87"/>
    <s v="Farrell and Sons"/>
    <s v="Synergized 4thgeneration conglomeration"/>
    <n v="198500"/>
    <n v="123040"/>
    <n v="0.6198488664987406"/>
    <x v="0"/>
    <n v="1482"/>
    <n v="83.022941970310384"/>
    <x v="2"/>
    <s v="AUD"/>
    <n v="1299564000"/>
    <n v="1300510800"/>
    <x v="87"/>
    <d v="2011-03-19T05:00:00"/>
    <x v="1"/>
  </r>
  <r>
    <n v="88"/>
    <s v="Clark Group"/>
    <s v="Grass-roots fault-tolerant policy"/>
    <n v="4800"/>
    <n v="12516"/>
    <n v="2.6074999999999999"/>
    <x v="1"/>
    <n v="113"/>
    <n v="110.76106194690266"/>
    <x v="1"/>
    <s v="USD"/>
    <n v="1429160400"/>
    <n v="1431061200"/>
    <x v="88"/>
    <d v="2015-05-08T05:00:00"/>
    <x v="4"/>
  </r>
  <r>
    <n v="89"/>
    <s v="White, Singleton and Zimmerman"/>
    <s v="Monitored scalable knowledgebase"/>
    <n v="3400"/>
    <n v="8588"/>
    <n v="2.5258823529411765"/>
    <x v="1"/>
    <n v="96"/>
    <n v="89.458333333333329"/>
    <x v="1"/>
    <s v="USD"/>
    <n v="1271307600"/>
    <n v="1271480400"/>
    <x v="89"/>
    <d v="2010-04-17T05:00:00"/>
    <x v="4"/>
  </r>
  <r>
    <n v="90"/>
    <s v="Kramer Group"/>
    <s v="Synergistic explicit parallelism"/>
    <n v="7800"/>
    <n v="6132"/>
    <n v="0.7861538461538462"/>
    <x v="0"/>
    <n v="106"/>
    <n v="57.849056603773583"/>
    <x v="1"/>
    <s v="USD"/>
    <n v="1456380000"/>
    <n v="1456380000"/>
    <x v="90"/>
    <d v="2016-02-25T06:00:00"/>
    <x v="4"/>
  </r>
  <r>
    <n v="91"/>
    <s v="Frazier, Patrick and Smith"/>
    <s v="Enhanced systemic analyzer"/>
    <n v="154300"/>
    <n v="74688"/>
    <n v="0.48404406999351912"/>
    <x v="0"/>
    <n v="679"/>
    <n v="109.99705449189985"/>
    <x v="6"/>
    <s v="EUR"/>
    <n v="1470459600"/>
    <n v="1472878800"/>
    <x v="91"/>
    <d v="2016-09-03T05:00:00"/>
    <x v="0"/>
  </r>
  <r>
    <n v="92"/>
    <s v="Santos, Bell and Lloyd"/>
    <s v="Object-based analyzing knowledge user"/>
    <n v="20000"/>
    <n v="51775"/>
    <n v="2.5887500000000001"/>
    <x v="1"/>
    <n v="498"/>
    <n v="103.96586345381526"/>
    <x v="5"/>
    <s v="CHF"/>
    <n v="1277269200"/>
    <n v="1277355600"/>
    <x v="92"/>
    <d v="2010-06-24T05:00:00"/>
    <x v="3"/>
  </r>
  <r>
    <n v="93"/>
    <s v="Hall and Sons"/>
    <s v="Pre-emptive radical architecture"/>
    <n v="108800"/>
    <n v="65877"/>
    <n v="0.60548713235294116"/>
    <x v="3"/>
    <n v="610"/>
    <n v="107.99508196721311"/>
    <x v="1"/>
    <s v="USD"/>
    <n v="1350709200"/>
    <n v="1351054800"/>
    <x v="93"/>
    <d v="2012-10-24T05:00:00"/>
    <x v="0"/>
  </r>
  <r>
    <n v="94"/>
    <s v="Hanson Inc"/>
    <s v="Grass-roots web-enabled contingency"/>
    <n v="2900"/>
    <n v="8807"/>
    <n v="3.036896551724138"/>
    <x v="1"/>
    <n v="180"/>
    <n v="48.927777777777777"/>
    <x v="4"/>
    <s v="GBP"/>
    <n v="1554613200"/>
    <n v="1555563600"/>
    <x v="94"/>
    <d v="2019-04-18T05:00:00"/>
    <x v="2"/>
  </r>
  <r>
    <n v="95"/>
    <s v="Sanchez LLC"/>
    <s v="Stand-alone system-worthy standardization"/>
    <n v="900"/>
    <n v="1017"/>
    <n v="1.1299999999999999"/>
    <x v="1"/>
    <n v="27"/>
    <n v="37.666666666666664"/>
    <x v="1"/>
    <s v="USD"/>
    <n v="1571029200"/>
    <n v="1571634000"/>
    <x v="95"/>
    <d v="2019-10-21T05:00:00"/>
    <x v="5"/>
  </r>
  <r>
    <n v="96"/>
    <s v="Howard Ltd"/>
    <s v="Down-sized systematic policy"/>
    <n v="69700"/>
    <n v="151513"/>
    <n v="2.1737876614060259"/>
    <x v="1"/>
    <n v="2331"/>
    <n v="64.999141999141997"/>
    <x v="1"/>
    <s v="USD"/>
    <n v="1299736800"/>
    <n v="1300856400"/>
    <x v="96"/>
    <d v="2011-03-23T05:00:00"/>
    <x v="4"/>
  </r>
  <r>
    <n v="97"/>
    <s v="Stewart LLC"/>
    <s v="Cloned bi-directional architecture"/>
    <n v="1300"/>
    <n v="12047"/>
    <n v="9.2669230769230762"/>
    <x v="1"/>
    <n v="113"/>
    <n v="106.61061946902655"/>
    <x v="1"/>
    <s v="USD"/>
    <n v="1435208400"/>
    <n v="1439874000"/>
    <x v="48"/>
    <d v="2015-08-18T05:00:00"/>
    <x v="4"/>
  </r>
  <r>
    <n v="98"/>
    <s v="Arias, Allen and Miller"/>
    <s v="Seamless transitional portal"/>
    <n v="97800"/>
    <n v="32951"/>
    <n v="0.33692229038854804"/>
    <x v="0"/>
    <n v="1220"/>
    <n v="27.009016393442622"/>
    <x v="2"/>
    <s v="AUD"/>
    <n v="1437973200"/>
    <n v="1438318800"/>
    <x v="97"/>
    <d v="2015-07-31T05:00:00"/>
    <x v="5"/>
  </r>
  <r>
    <n v="99"/>
    <s v="Baker-Morris"/>
    <s v="Fully-configurable motivating approach"/>
    <n v="7600"/>
    <n v="14951"/>
    <n v="1.9672368421052631"/>
    <x v="1"/>
    <n v="164"/>
    <n v="91.16463414634147"/>
    <x v="1"/>
    <s v="USD"/>
    <n v="1416895200"/>
    <n v="1419400800"/>
    <x v="98"/>
    <d v="2014-12-24T06:00:00"/>
    <x v="1"/>
  </r>
  <r>
    <n v="100"/>
    <s v="Tucker, Fox and Green"/>
    <s v="Upgradable fault-tolerant approach"/>
    <n v="100"/>
    <n v="1"/>
    <n v="0.01"/>
    <x v="0"/>
    <n v="1"/>
    <n v="1"/>
    <x v="1"/>
    <s v="USD"/>
    <n v="1319000400"/>
    <n v="1320555600"/>
    <x v="99"/>
    <d v="2011-11-06T05:00:00"/>
    <x v="3"/>
  </r>
  <r>
    <n v="101"/>
    <s v="Douglas LLC"/>
    <s v="Reduced heuristic moratorium"/>
    <n v="900"/>
    <n v="9193"/>
    <n v="10.214444444444444"/>
    <x v="1"/>
    <n v="164"/>
    <n v="56.054878048780488"/>
    <x v="1"/>
    <s v="USD"/>
    <n v="1424498400"/>
    <n v="1425103200"/>
    <x v="100"/>
    <d v="2015-02-28T06:00:00"/>
    <x v="0"/>
  </r>
  <r>
    <n v="102"/>
    <s v="Garcia Inc"/>
    <s v="Front-line web-enabled model"/>
    <n v="3700"/>
    <n v="10422"/>
    <n v="2.8167567567567566"/>
    <x v="1"/>
    <n v="336"/>
    <n v="31.017857142857142"/>
    <x v="1"/>
    <s v="USD"/>
    <n v="1526274000"/>
    <n v="1526878800"/>
    <x v="101"/>
    <d v="2018-05-21T05:00:00"/>
    <x v="5"/>
  </r>
  <r>
    <n v="103"/>
    <s v="Frye, Hunt and Powell"/>
    <s v="Polarized incremental emulation"/>
    <n v="10000"/>
    <n v="2461"/>
    <n v="0.24610000000000001"/>
    <x v="0"/>
    <n v="37"/>
    <n v="66.513513513513516"/>
    <x v="6"/>
    <s v="EUR"/>
    <n v="1287896400"/>
    <n v="1288674000"/>
    <x v="102"/>
    <d v="2010-11-02T05:00:00"/>
    <x v="2"/>
  </r>
  <r>
    <n v="104"/>
    <s v="Smith, Wells and Nguyen"/>
    <s v="Self-enabling grid-enabled initiative"/>
    <n v="119200"/>
    <n v="170623"/>
    <n v="1.4314010067114094"/>
    <x v="1"/>
    <n v="1917"/>
    <n v="89.005216484089729"/>
    <x v="1"/>
    <s v="USD"/>
    <n v="1495515600"/>
    <n v="1495602000"/>
    <x v="103"/>
    <d v="2017-05-24T05:00:00"/>
    <x v="1"/>
  </r>
  <r>
    <n v="105"/>
    <s v="Charles-Johnson"/>
    <s v="Total fresh-thinking system engine"/>
    <n v="6800"/>
    <n v="9829"/>
    <n v="1.4454411764705883"/>
    <x v="1"/>
    <n v="95"/>
    <n v="103.46315789473684"/>
    <x v="1"/>
    <s v="USD"/>
    <n v="1364878800"/>
    <n v="1366434000"/>
    <x v="104"/>
    <d v="2013-04-20T05:00:00"/>
    <x v="1"/>
  </r>
  <r>
    <n v="106"/>
    <s v="Brandt, Carter and Wood"/>
    <s v="Ameliorated clear-thinking circuit"/>
    <n v="3900"/>
    <n v="14006"/>
    <n v="3.5912820512820511"/>
    <x v="1"/>
    <n v="147"/>
    <n v="95.278911564625844"/>
    <x v="1"/>
    <s v="USD"/>
    <n v="1567918800"/>
    <n v="1568350800"/>
    <x v="105"/>
    <d v="2019-09-13T05:00:00"/>
    <x v="2"/>
  </r>
  <r>
    <n v="107"/>
    <s v="Tucker, Schmidt and Reid"/>
    <s v="Multi-layered encompassing installation"/>
    <n v="3500"/>
    <n v="6527"/>
    <n v="1.8648571428571428"/>
    <x v="1"/>
    <n v="86"/>
    <n v="75.895348837209298"/>
    <x v="1"/>
    <s v="USD"/>
    <n v="1524459600"/>
    <n v="1525928400"/>
    <x v="106"/>
    <d v="2018-05-10T05:00:00"/>
    <x v="5"/>
  </r>
  <r>
    <n v="108"/>
    <s v="Decker Inc"/>
    <s v="Universal encompassing implementation"/>
    <n v="1500"/>
    <n v="8929"/>
    <n v="5.9526666666666666"/>
    <x v="1"/>
    <n v="83"/>
    <n v="107.57831325301204"/>
    <x v="1"/>
    <s v="USD"/>
    <n v="1333688400"/>
    <n v="1336885200"/>
    <x v="107"/>
    <d v="2012-05-13T05:00:00"/>
    <x v="6"/>
  </r>
  <r>
    <n v="109"/>
    <s v="Romero and Sons"/>
    <s v="Object-based client-server application"/>
    <n v="5200"/>
    <n v="3079"/>
    <n v="0.5921153846153846"/>
    <x v="0"/>
    <n v="60"/>
    <n v="51.31666666666667"/>
    <x v="1"/>
    <s v="USD"/>
    <n v="1389506400"/>
    <n v="1389679200"/>
    <x v="108"/>
    <d v="2014-01-14T06:00:00"/>
    <x v="2"/>
  </r>
  <r>
    <n v="110"/>
    <s v="Castillo-Carey"/>
    <s v="Cross-platform solution-oriented process improvement"/>
    <n v="142400"/>
    <n v="21307"/>
    <n v="0.14962780898876404"/>
    <x v="0"/>
    <n v="296"/>
    <n v="71.983108108108112"/>
    <x v="1"/>
    <s v="USD"/>
    <n v="1536642000"/>
    <n v="1538283600"/>
    <x v="109"/>
    <d v="2018-09-30T05:00:00"/>
    <x v="1"/>
  </r>
  <r>
    <n v="111"/>
    <s v="Hart-Briggs"/>
    <s v="Re-engineered user-facing approach"/>
    <n v="61400"/>
    <n v="73653"/>
    <n v="1.1995602605863191"/>
    <x v="1"/>
    <n v="676"/>
    <n v="108.95414201183432"/>
    <x v="1"/>
    <s v="USD"/>
    <n v="1348290000"/>
    <n v="1348808400"/>
    <x v="110"/>
    <d v="2012-09-28T05:00:00"/>
    <x v="0"/>
  </r>
  <r>
    <n v="112"/>
    <s v="Jones-Meyer"/>
    <s v="Re-engineered client-driven hub"/>
    <n v="4700"/>
    <n v="12635"/>
    <n v="2.6882978723404256"/>
    <x v="1"/>
    <n v="361"/>
    <n v="35"/>
    <x v="2"/>
    <s v="AUD"/>
    <n v="1408856400"/>
    <n v="1410152400"/>
    <x v="111"/>
    <d v="2014-09-08T05:00:00"/>
    <x v="2"/>
  </r>
  <r>
    <n v="113"/>
    <s v="Wright, Hartman and Yu"/>
    <s v="User-friendly tertiary array"/>
    <n v="3300"/>
    <n v="12437"/>
    <n v="3.7687878787878786"/>
    <x v="1"/>
    <n v="131"/>
    <n v="94.938931297709928"/>
    <x v="1"/>
    <s v="USD"/>
    <n v="1505192400"/>
    <n v="1505797200"/>
    <x v="112"/>
    <d v="2017-09-19T05:00:00"/>
    <x v="1"/>
  </r>
  <r>
    <n v="114"/>
    <s v="Harper-Davis"/>
    <s v="Robust heuristic encoding"/>
    <n v="1900"/>
    <n v="13816"/>
    <n v="7.2715789473684209"/>
    <x v="1"/>
    <n v="126"/>
    <n v="109.65079365079364"/>
    <x v="1"/>
    <s v="USD"/>
    <n v="1554786000"/>
    <n v="1554872400"/>
    <x v="113"/>
    <d v="2019-04-10T05:00:00"/>
    <x v="1"/>
  </r>
  <r>
    <n v="115"/>
    <s v="Barrett PLC"/>
    <s v="Team-oriented clear-thinking capacity"/>
    <n v="166700"/>
    <n v="145382"/>
    <n v="0.87211757648470301"/>
    <x v="0"/>
    <n v="3304"/>
    <n v="44.001815980629537"/>
    <x v="6"/>
    <s v="EUR"/>
    <n v="1510898400"/>
    <n v="1513922400"/>
    <x v="114"/>
    <d v="2017-12-22T06:00:00"/>
    <x v="6"/>
  </r>
  <r>
    <n v="116"/>
    <s v="David-Clark"/>
    <s v="De-engineered motivating standardization"/>
    <n v="7200"/>
    <n v="6336"/>
    <n v="0.88"/>
    <x v="0"/>
    <n v="73"/>
    <n v="86.794520547945211"/>
    <x v="1"/>
    <s v="USD"/>
    <n v="1442552400"/>
    <n v="1442638800"/>
    <x v="115"/>
    <d v="2015-09-19T05:00:00"/>
    <x v="6"/>
  </r>
  <r>
    <n v="117"/>
    <s v="Chaney-Dennis"/>
    <s v="Business-focused 24hour groupware"/>
    <n v="4900"/>
    <n v="8523"/>
    <n v="1.7393877551020409"/>
    <x v="1"/>
    <n v="275"/>
    <n v="30.992727272727272"/>
    <x v="1"/>
    <s v="USD"/>
    <n v="1316667600"/>
    <n v="1317186000"/>
    <x v="116"/>
    <d v="2011-09-28T05:00:00"/>
    <x v="4"/>
  </r>
  <r>
    <n v="118"/>
    <s v="Robinson, Lopez and Christensen"/>
    <s v="Organic next generation protocol"/>
    <n v="5400"/>
    <n v="6351"/>
    <n v="1.1761111111111111"/>
    <x v="1"/>
    <n v="67"/>
    <n v="94.791044776119406"/>
    <x v="1"/>
    <s v="USD"/>
    <n v="1390716000"/>
    <n v="1391234400"/>
    <x v="117"/>
    <d v="2014-02-01T06:00:00"/>
    <x v="2"/>
  </r>
  <r>
    <n v="119"/>
    <s v="Clark and Sons"/>
    <s v="Reverse-engineered full-range Internet solution"/>
    <n v="5000"/>
    <n v="10748"/>
    <n v="2.1496"/>
    <x v="1"/>
    <n v="154"/>
    <n v="69.79220779220779"/>
    <x v="1"/>
    <s v="USD"/>
    <n v="1402894800"/>
    <n v="1404363600"/>
    <x v="118"/>
    <d v="2014-07-03T05:00:00"/>
    <x v="5"/>
  </r>
  <r>
    <n v="120"/>
    <s v="Vega Group"/>
    <s v="Synchronized regional synergy"/>
    <n v="75100"/>
    <n v="112272"/>
    <n v="1.4949667110519307"/>
    <x v="1"/>
    <n v="1782"/>
    <n v="63.003367003367003"/>
    <x v="1"/>
    <s v="USD"/>
    <n v="1429246800"/>
    <n v="1429592400"/>
    <x v="119"/>
    <d v="2015-04-21T05:00:00"/>
    <x v="6"/>
  </r>
  <r>
    <n v="121"/>
    <s v="Brown-Brown"/>
    <s v="Multi-lateral homogeneous success"/>
    <n v="45300"/>
    <n v="99361"/>
    <n v="2.1933995584988963"/>
    <x v="1"/>
    <n v="903"/>
    <n v="110.0343300110742"/>
    <x v="1"/>
    <s v="USD"/>
    <n v="1412485200"/>
    <n v="1413608400"/>
    <x v="33"/>
    <d v="2014-10-18T05:00:00"/>
    <x v="2"/>
  </r>
  <r>
    <n v="122"/>
    <s v="Taylor PLC"/>
    <s v="Seamless zero-defect solution"/>
    <n v="136800"/>
    <n v="88055"/>
    <n v="0.64367690058479532"/>
    <x v="0"/>
    <n v="3387"/>
    <n v="25.997933274284026"/>
    <x v="1"/>
    <s v="USD"/>
    <n v="1417068000"/>
    <n v="1419400800"/>
    <x v="120"/>
    <d v="2014-12-24T06:00:00"/>
    <x v="4"/>
  </r>
  <r>
    <n v="123"/>
    <s v="Edwards-Lewis"/>
    <s v="Enhanced scalable concept"/>
    <n v="177700"/>
    <n v="33092"/>
    <n v="0.18622397298818233"/>
    <x v="0"/>
    <n v="662"/>
    <n v="49.987915407854985"/>
    <x v="0"/>
    <s v="CAD"/>
    <n v="1448344800"/>
    <n v="1448604000"/>
    <x v="121"/>
    <d v="2015-11-27T06:00:00"/>
    <x v="1"/>
  </r>
  <r>
    <n v="124"/>
    <s v="Stanton, Neal and Rodriguez"/>
    <s v="Polarized uniform software"/>
    <n v="2600"/>
    <n v="9562"/>
    <n v="3.6776923076923076"/>
    <x v="1"/>
    <n v="94"/>
    <n v="101.72340425531915"/>
    <x v="6"/>
    <s v="EUR"/>
    <n v="1557723600"/>
    <n v="1562302800"/>
    <x v="122"/>
    <d v="2019-07-05T05:00:00"/>
    <x v="5"/>
  </r>
  <r>
    <n v="125"/>
    <s v="Pratt LLC"/>
    <s v="Stand-alone web-enabled moderator"/>
    <n v="5300"/>
    <n v="8475"/>
    <n v="1.5990566037735849"/>
    <x v="1"/>
    <n v="180"/>
    <n v="47.083333333333336"/>
    <x v="1"/>
    <s v="USD"/>
    <n v="1537333200"/>
    <n v="1537678800"/>
    <x v="123"/>
    <d v="2018-09-23T05:00:00"/>
    <x v="3"/>
  </r>
  <r>
    <n v="126"/>
    <s v="Gross PLC"/>
    <s v="Proactive methodical benchmark"/>
    <n v="180200"/>
    <n v="69617"/>
    <n v="0.38633185349611543"/>
    <x v="0"/>
    <n v="774"/>
    <n v="89.944444444444443"/>
    <x v="1"/>
    <s v="USD"/>
    <n v="1471150800"/>
    <n v="1473570000"/>
    <x v="124"/>
    <d v="2016-09-11T05:00:00"/>
    <x v="2"/>
  </r>
  <r>
    <n v="127"/>
    <s v="Martinez, Gomez and Dalton"/>
    <s v="Team-oriented 6thgeneration matrix"/>
    <n v="103200"/>
    <n v="53067"/>
    <n v="0.51421511627906979"/>
    <x v="0"/>
    <n v="672"/>
    <n v="78.96875"/>
    <x v="0"/>
    <s v="CAD"/>
    <n v="1273640400"/>
    <n v="1273899600"/>
    <x v="125"/>
    <d v="2010-05-15T05:00:00"/>
    <x v="3"/>
  </r>
  <r>
    <n v="128"/>
    <s v="Allen-Curtis"/>
    <s v="Phased human-resource core"/>
    <n v="70600"/>
    <n v="42596"/>
    <n v="0.60334277620396604"/>
    <x v="3"/>
    <n v="532"/>
    <n v="80.067669172932327"/>
    <x v="1"/>
    <s v="USD"/>
    <n v="1282885200"/>
    <n v="1284008400"/>
    <x v="126"/>
    <d v="2010-09-09T05:00:00"/>
    <x v="6"/>
  </r>
  <r>
    <n v="129"/>
    <s v="Morgan-Martinez"/>
    <s v="Mandatory tertiary implementation"/>
    <n v="148500"/>
    <n v="4756"/>
    <n v="3.2026936026936029E-2"/>
    <x v="3"/>
    <n v="55"/>
    <n v="86.472727272727269"/>
    <x v="2"/>
    <s v="AUD"/>
    <n v="1422943200"/>
    <n v="1425103200"/>
    <x v="127"/>
    <d v="2015-02-28T06:00:00"/>
    <x v="1"/>
  </r>
  <r>
    <n v="130"/>
    <s v="Luna, Anderson and Fox"/>
    <s v="Secured directional encryption"/>
    <n v="9600"/>
    <n v="14925"/>
    <n v="1.5546875"/>
    <x v="1"/>
    <n v="533"/>
    <n v="28.001876172607879"/>
    <x v="3"/>
    <s v="DKK"/>
    <n v="1319605200"/>
    <n v="1320991200"/>
    <x v="128"/>
    <d v="2011-11-11T06:00:00"/>
    <x v="3"/>
  </r>
  <r>
    <n v="131"/>
    <s v="Fleming, Zhang and Henderson"/>
    <s v="Distributed 5thgeneration implementation"/>
    <n v="164700"/>
    <n v="166116"/>
    <n v="1.0085974499089254"/>
    <x v="1"/>
    <n v="2443"/>
    <n v="67.996725337699544"/>
    <x v="4"/>
    <s v="GBP"/>
    <n v="1385704800"/>
    <n v="1386828000"/>
    <x v="129"/>
    <d v="2013-12-12T06:00:00"/>
    <x v="6"/>
  </r>
  <r>
    <n v="132"/>
    <s v="Flowers and Sons"/>
    <s v="Virtual static core"/>
    <n v="3300"/>
    <n v="3834"/>
    <n v="1.1618181818181819"/>
    <x v="1"/>
    <n v="89"/>
    <n v="43.078651685393261"/>
    <x v="1"/>
    <s v="USD"/>
    <n v="1515736800"/>
    <n v="1517119200"/>
    <x v="130"/>
    <d v="2018-01-28T06:00:00"/>
    <x v="6"/>
  </r>
  <r>
    <n v="133"/>
    <s v="Gates PLC"/>
    <s v="Secured content-based product"/>
    <n v="4500"/>
    <n v="13985"/>
    <n v="3.1077777777777778"/>
    <x v="1"/>
    <n v="159"/>
    <n v="87.95597484276729"/>
    <x v="1"/>
    <s v="USD"/>
    <n v="1313125200"/>
    <n v="1315026000"/>
    <x v="131"/>
    <d v="2011-09-03T05:00:00"/>
    <x v="6"/>
  </r>
  <r>
    <n v="134"/>
    <s v="Caldwell LLC"/>
    <s v="Secured executive concept"/>
    <n v="99500"/>
    <n v="89288"/>
    <n v="0.89736683417085428"/>
    <x v="0"/>
    <n v="940"/>
    <n v="94.987234042553197"/>
    <x v="5"/>
    <s v="CHF"/>
    <n v="1308459600"/>
    <n v="1312693200"/>
    <x v="132"/>
    <d v="2011-08-07T05:00:00"/>
    <x v="2"/>
  </r>
  <r>
    <n v="135"/>
    <s v="Le, Burton and Evans"/>
    <s v="Balanced zero-defect software"/>
    <n v="7700"/>
    <n v="5488"/>
    <n v="0.71272727272727276"/>
    <x v="0"/>
    <n v="117"/>
    <n v="46.905982905982903"/>
    <x v="1"/>
    <s v="USD"/>
    <n v="1362636000"/>
    <n v="1363064400"/>
    <x v="133"/>
    <d v="2013-03-12T05:00:00"/>
    <x v="4"/>
  </r>
  <r>
    <n v="136"/>
    <s v="Briggs PLC"/>
    <s v="Distributed context-sensitive flexibility"/>
    <n v="82800"/>
    <n v="2721"/>
    <n v="3.2862318840579711E-2"/>
    <x v="3"/>
    <n v="58"/>
    <n v="46.913793103448278"/>
    <x v="1"/>
    <s v="USD"/>
    <n v="1402117200"/>
    <n v="1403154000"/>
    <x v="134"/>
    <d v="2014-06-19T05:00:00"/>
    <x v="0"/>
  </r>
  <r>
    <n v="137"/>
    <s v="Hudson-Nguyen"/>
    <s v="Down-sized disintermediate support"/>
    <n v="1800"/>
    <n v="4712"/>
    <n v="2.617777777777778"/>
    <x v="1"/>
    <n v="50"/>
    <n v="94.24"/>
    <x v="1"/>
    <s v="USD"/>
    <n v="1286341200"/>
    <n v="1286859600"/>
    <x v="135"/>
    <d v="2010-10-12T05:00:00"/>
    <x v="3"/>
  </r>
  <r>
    <n v="138"/>
    <s v="Hogan Ltd"/>
    <s v="Stand-alone mission-critical moratorium"/>
    <n v="9600"/>
    <n v="9216"/>
    <n v="0.96"/>
    <x v="0"/>
    <n v="115"/>
    <n v="80.139130434782615"/>
    <x v="1"/>
    <s v="USD"/>
    <n v="1348808400"/>
    <n v="1349326800"/>
    <x v="136"/>
    <d v="2012-10-04T05:00:00"/>
    <x v="6"/>
  </r>
  <r>
    <n v="139"/>
    <s v="Hamilton, Wright and Chavez"/>
    <s v="Down-sized empowering protocol"/>
    <n v="92100"/>
    <n v="19246"/>
    <n v="0.20896851248642778"/>
    <x v="0"/>
    <n v="326"/>
    <n v="59.036809815950917"/>
    <x v="1"/>
    <s v="USD"/>
    <n v="1429592400"/>
    <n v="1430974800"/>
    <x v="137"/>
    <d v="2015-05-07T05:00:00"/>
    <x v="1"/>
  </r>
  <r>
    <n v="140"/>
    <s v="Bautista-Cross"/>
    <s v="Fully-configurable coherent Internet solution"/>
    <n v="5500"/>
    <n v="12274"/>
    <n v="2.2316363636363636"/>
    <x v="1"/>
    <n v="186"/>
    <n v="65.989247311827953"/>
    <x v="1"/>
    <s v="USD"/>
    <n v="1519538400"/>
    <n v="1519970400"/>
    <x v="138"/>
    <d v="2018-03-02T06:00:00"/>
    <x v="2"/>
  </r>
  <r>
    <n v="141"/>
    <s v="Jackson LLC"/>
    <s v="Distributed motivating algorithm"/>
    <n v="64300"/>
    <n v="65323"/>
    <n v="1.0159097978227061"/>
    <x v="1"/>
    <n v="1071"/>
    <n v="60.992530345471522"/>
    <x v="1"/>
    <s v="USD"/>
    <n v="1434085200"/>
    <n v="1434603600"/>
    <x v="139"/>
    <d v="2015-06-18T05:00:00"/>
    <x v="6"/>
  </r>
  <r>
    <n v="142"/>
    <s v="Figueroa Ltd"/>
    <s v="Expanded solution-oriented benchmark"/>
    <n v="5000"/>
    <n v="11502"/>
    <n v="2.3003999999999998"/>
    <x v="1"/>
    <n v="117"/>
    <n v="98.307692307692307"/>
    <x v="1"/>
    <s v="USD"/>
    <n v="1333688400"/>
    <n v="1337230800"/>
    <x v="107"/>
    <d v="2012-05-17T05:00:00"/>
    <x v="6"/>
  </r>
  <r>
    <n v="143"/>
    <s v="Avila-Jones"/>
    <s v="Implemented discrete secured line"/>
    <n v="5400"/>
    <n v="7322"/>
    <n v="1.355925925925926"/>
    <x v="1"/>
    <n v="70"/>
    <n v="104.6"/>
    <x v="1"/>
    <s v="USD"/>
    <n v="1277701200"/>
    <n v="1279429200"/>
    <x v="140"/>
    <d v="2010-07-18T05:00:00"/>
    <x v="5"/>
  </r>
  <r>
    <n v="144"/>
    <s v="Martin, Lopez and Hunter"/>
    <s v="Multi-lateral actuating installation"/>
    <n v="9000"/>
    <n v="11619"/>
    <n v="1.2909999999999999"/>
    <x v="1"/>
    <n v="135"/>
    <n v="86.066666666666663"/>
    <x v="1"/>
    <s v="USD"/>
    <n v="1560747600"/>
    <n v="1561438800"/>
    <x v="141"/>
    <d v="2019-06-25T05:00:00"/>
    <x v="5"/>
  </r>
  <r>
    <n v="145"/>
    <s v="Fields-Moore"/>
    <s v="Secured reciprocal array"/>
    <n v="25000"/>
    <n v="59128"/>
    <n v="2.3651200000000001"/>
    <x v="1"/>
    <n v="768"/>
    <n v="76.989583333333329"/>
    <x v="5"/>
    <s v="CHF"/>
    <n v="1410066000"/>
    <n v="1410498000"/>
    <x v="142"/>
    <d v="2014-09-12T05:00:00"/>
    <x v="2"/>
  </r>
  <r>
    <n v="146"/>
    <s v="Harris-Golden"/>
    <s v="Optional bandwidth-monitored middleware"/>
    <n v="8800"/>
    <n v="1518"/>
    <n v="0.17249999999999999"/>
    <x v="3"/>
    <n v="51"/>
    <n v="29.764705882352942"/>
    <x v="1"/>
    <s v="USD"/>
    <n v="1320732000"/>
    <n v="1322460000"/>
    <x v="143"/>
    <d v="2011-11-28T06:00:00"/>
    <x v="1"/>
  </r>
  <r>
    <n v="147"/>
    <s v="Moss, Norman and Dunlap"/>
    <s v="Upgradable upward-trending workforce"/>
    <n v="8300"/>
    <n v="9337"/>
    <n v="1.1249397590361445"/>
    <x v="1"/>
    <n v="199"/>
    <n v="46.91959798994975"/>
    <x v="1"/>
    <s v="USD"/>
    <n v="1465794000"/>
    <n v="1466312400"/>
    <x v="144"/>
    <d v="2016-06-19T05:00:00"/>
    <x v="5"/>
  </r>
  <r>
    <n v="148"/>
    <s v="White, Larson and Wright"/>
    <s v="Upgradable hybrid capability"/>
    <n v="9300"/>
    <n v="11255"/>
    <n v="1.2102150537634409"/>
    <x v="1"/>
    <n v="107"/>
    <n v="105.18691588785046"/>
    <x v="1"/>
    <s v="USD"/>
    <n v="1500958800"/>
    <n v="1501736400"/>
    <x v="145"/>
    <d v="2017-08-03T05:00:00"/>
    <x v="1"/>
  </r>
  <r>
    <n v="149"/>
    <s v="Payne, Oliver and Burch"/>
    <s v="Managed fresh-thinking flexibility"/>
    <n v="6200"/>
    <n v="13632"/>
    <n v="2.1987096774193549"/>
    <x v="1"/>
    <n v="195"/>
    <n v="69.907692307692301"/>
    <x v="1"/>
    <s v="USD"/>
    <n v="1357020000"/>
    <n v="1361512800"/>
    <x v="146"/>
    <d v="2013-02-22T06:00:00"/>
    <x v="1"/>
  </r>
  <r>
    <n v="150"/>
    <s v="Brown, Palmer and Pace"/>
    <s v="Networked stable workforce"/>
    <n v="100"/>
    <n v="1"/>
    <n v="0.01"/>
    <x v="0"/>
    <n v="1"/>
    <n v="1"/>
    <x v="1"/>
    <s v="USD"/>
    <n v="1544940000"/>
    <n v="1545026400"/>
    <x v="147"/>
    <d v="2018-12-17T06:00:00"/>
    <x v="2"/>
  </r>
  <r>
    <n v="151"/>
    <s v="Parker LLC"/>
    <s v="Customizable intermediate extranet"/>
    <n v="137200"/>
    <n v="88037"/>
    <n v="0.64166909620991253"/>
    <x v="0"/>
    <n v="1467"/>
    <n v="60.011588275391958"/>
    <x v="1"/>
    <s v="USD"/>
    <n v="1402290000"/>
    <n v="1406696400"/>
    <x v="148"/>
    <d v="2014-07-30T05:00:00"/>
    <x v="5"/>
  </r>
  <r>
    <n v="152"/>
    <s v="Bowen, Mcdonald and Hall"/>
    <s v="User-centric fault-tolerant task-force"/>
    <n v="41500"/>
    <n v="175573"/>
    <n v="4.2306746987951804"/>
    <x v="1"/>
    <n v="3376"/>
    <n v="52.006220379146917"/>
    <x v="1"/>
    <s v="USD"/>
    <n v="1487311200"/>
    <n v="1487916000"/>
    <x v="149"/>
    <d v="2017-02-24T06:00:00"/>
    <x v="6"/>
  </r>
  <r>
    <n v="153"/>
    <s v="Whitehead, Bell and Hughes"/>
    <s v="Multi-tiered radical definition"/>
    <n v="189400"/>
    <n v="176112"/>
    <n v="0.92984160506863778"/>
    <x v="0"/>
    <n v="5681"/>
    <n v="31.000176025347649"/>
    <x v="1"/>
    <s v="USD"/>
    <n v="1350622800"/>
    <n v="1351141200"/>
    <x v="150"/>
    <d v="2012-10-25T05:00:00"/>
    <x v="6"/>
  </r>
  <r>
    <n v="154"/>
    <s v="Rodriguez-Brown"/>
    <s v="Devolved foreground benchmark"/>
    <n v="171300"/>
    <n v="100650"/>
    <n v="0.58756567425569173"/>
    <x v="0"/>
    <n v="1059"/>
    <n v="95.042492917847028"/>
    <x v="1"/>
    <s v="USD"/>
    <n v="1463029200"/>
    <n v="1465016400"/>
    <x v="151"/>
    <d v="2016-06-04T05:00:00"/>
    <x v="4"/>
  </r>
  <r>
    <n v="155"/>
    <s v="Hall-Schaefer"/>
    <s v="Distributed eco-centric methodology"/>
    <n v="139500"/>
    <n v="90706"/>
    <n v="0.65022222222222226"/>
    <x v="0"/>
    <n v="1194"/>
    <n v="75.968174204355108"/>
    <x v="1"/>
    <s v="USD"/>
    <n v="1269493200"/>
    <n v="1270789200"/>
    <x v="152"/>
    <d v="2010-04-09T05:00:00"/>
    <x v="4"/>
  </r>
  <r>
    <n v="156"/>
    <s v="Meza-Rogers"/>
    <s v="Streamlined encompassing encryption"/>
    <n v="36400"/>
    <n v="26914"/>
    <n v="0.73939560439560437"/>
    <x v="3"/>
    <n v="379"/>
    <n v="71.013192612137203"/>
    <x v="2"/>
    <s v="AUD"/>
    <n v="1570251600"/>
    <n v="1572325200"/>
    <x v="153"/>
    <d v="2019-10-29T05:00:00"/>
    <x v="0"/>
  </r>
  <r>
    <n v="157"/>
    <s v="Curtis-Curtis"/>
    <s v="User-friendly reciprocal initiative"/>
    <n v="4200"/>
    <n v="2212"/>
    <n v="0.52666666666666662"/>
    <x v="0"/>
    <n v="30"/>
    <n v="73.733333333333334"/>
    <x v="2"/>
    <s v="AUD"/>
    <n v="1388383200"/>
    <n v="1389420000"/>
    <x v="154"/>
    <d v="2014-01-11T06:00:00"/>
    <x v="5"/>
  </r>
  <r>
    <n v="158"/>
    <s v="Carlson Inc"/>
    <s v="Ergonomic fresh-thinking installation"/>
    <n v="2100"/>
    <n v="4640"/>
    <n v="2.2095238095238097"/>
    <x v="1"/>
    <n v="41"/>
    <n v="113.17073170731707"/>
    <x v="1"/>
    <s v="USD"/>
    <n v="1449554400"/>
    <n v="1449640800"/>
    <x v="155"/>
    <d v="2015-12-09T06:00:00"/>
    <x v="1"/>
  </r>
  <r>
    <n v="159"/>
    <s v="Clarke, Anderson and Lee"/>
    <s v="Robust explicit hardware"/>
    <n v="191200"/>
    <n v="191222"/>
    <n v="1.0001150627615063"/>
    <x v="1"/>
    <n v="1821"/>
    <n v="105.00933552992861"/>
    <x v="1"/>
    <s v="USD"/>
    <n v="1553662800"/>
    <n v="1555218000"/>
    <x v="156"/>
    <d v="2019-04-14T05:00:00"/>
    <x v="3"/>
  </r>
  <r>
    <n v="160"/>
    <s v="Evans Group"/>
    <s v="Stand-alone actuating support"/>
    <n v="8000"/>
    <n v="12985"/>
    <n v="1.6231249999999999"/>
    <x v="1"/>
    <n v="164"/>
    <n v="79.176829268292678"/>
    <x v="1"/>
    <s v="USD"/>
    <n v="1556341200"/>
    <n v="1557723600"/>
    <x v="157"/>
    <d v="2019-05-13T05:00:00"/>
    <x v="0"/>
  </r>
  <r>
    <n v="161"/>
    <s v="Bruce Group"/>
    <s v="Cross-platform methodical process improvement"/>
    <n v="5500"/>
    <n v="4300"/>
    <n v="0.78181818181818186"/>
    <x v="0"/>
    <n v="75"/>
    <n v="57.333333333333336"/>
    <x v="1"/>
    <s v="USD"/>
    <n v="1442984400"/>
    <n v="1443502800"/>
    <x v="158"/>
    <d v="2015-09-29T05:00:00"/>
    <x v="3"/>
  </r>
  <r>
    <n v="162"/>
    <s v="Keith, Alvarez and Potter"/>
    <s v="Extended bottom-line open architecture"/>
    <n v="6100"/>
    <n v="9134"/>
    <n v="1.4973770491803278"/>
    <x v="1"/>
    <n v="157"/>
    <n v="58.178343949044589"/>
    <x v="5"/>
    <s v="CHF"/>
    <n v="1544248800"/>
    <n v="1546840800"/>
    <x v="159"/>
    <d v="2019-01-07T06:00:00"/>
    <x v="0"/>
  </r>
  <r>
    <n v="163"/>
    <s v="Burton-Watkins"/>
    <s v="Extended reciprocal circuit"/>
    <n v="3500"/>
    <n v="8864"/>
    <n v="2.5325714285714285"/>
    <x v="1"/>
    <n v="246"/>
    <n v="36.032520325203251"/>
    <x v="1"/>
    <s v="USD"/>
    <n v="1508475600"/>
    <n v="1512712800"/>
    <x v="160"/>
    <d v="2017-12-08T06:00:00"/>
    <x v="6"/>
  </r>
  <r>
    <n v="164"/>
    <s v="Lopez and Sons"/>
    <s v="Polarized human-resource protocol"/>
    <n v="150500"/>
    <n v="150755"/>
    <n v="1.0016943521594683"/>
    <x v="1"/>
    <n v="1396"/>
    <n v="107.99068767908309"/>
    <x v="1"/>
    <s v="USD"/>
    <n v="1507438800"/>
    <n v="1507525200"/>
    <x v="161"/>
    <d v="2017-10-09T05:00:00"/>
    <x v="2"/>
  </r>
  <r>
    <n v="165"/>
    <s v="Cordova Ltd"/>
    <s v="Synergized radical product"/>
    <n v="90400"/>
    <n v="110279"/>
    <n v="1.2199004424778761"/>
    <x v="1"/>
    <n v="2506"/>
    <n v="44.005985634477256"/>
    <x v="1"/>
    <s v="USD"/>
    <n v="1501563600"/>
    <n v="1504328400"/>
    <x v="162"/>
    <d v="2017-09-02T05:00:00"/>
    <x v="1"/>
  </r>
  <r>
    <n v="166"/>
    <s v="Brown-Vang"/>
    <s v="Robust heuristic artificial intelligence"/>
    <n v="9800"/>
    <n v="13439"/>
    <n v="1.3713265306122449"/>
    <x v="1"/>
    <n v="244"/>
    <n v="55.077868852459019"/>
    <x v="1"/>
    <s v="USD"/>
    <n v="1292997600"/>
    <n v="1293343200"/>
    <x v="163"/>
    <d v="2010-12-26T06:00:00"/>
    <x v="3"/>
  </r>
  <r>
    <n v="167"/>
    <s v="Cruz-Ward"/>
    <s v="Robust content-based emulation"/>
    <n v="2600"/>
    <n v="10804"/>
    <n v="4.155384615384615"/>
    <x v="1"/>
    <n v="146"/>
    <n v="74"/>
    <x v="2"/>
    <s v="AUD"/>
    <n v="1370840400"/>
    <n v="1371704400"/>
    <x v="164"/>
    <d v="2013-06-20T05:00:00"/>
    <x v="5"/>
  </r>
  <r>
    <n v="168"/>
    <s v="Hernandez Group"/>
    <s v="Ergonomic uniform open system"/>
    <n v="128100"/>
    <n v="40107"/>
    <n v="0.3130913348946136"/>
    <x v="0"/>
    <n v="955"/>
    <n v="41.996858638743454"/>
    <x v="3"/>
    <s v="DKK"/>
    <n v="1550815200"/>
    <n v="1552798800"/>
    <x v="165"/>
    <d v="2019-03-17T05:00:00"/>
    <x v="6"/>
  </r>
  <r>
    <n v="169"/>
    <s v="Tran, Steele and Wilson"/>
    <s v="Profit-focused modular product"/>
    <n v="23300"/>
    <n v="98811"/>
    <n v="4.240815450643777"/>
    <x v="1"/>
    <n v="1267"/>
    <n v="77.988161010260455"/>
    <x v="1"/>
    <s v="USD"/>
    <n v="1339909200"/>
    <n v="1342328400"/>
    <x v="166"/>
    <d v="2012-07-15T05:00:00"/>
    <x v="2"/>
  </r>
  <r>
    <n v="170"/>
    <s v="Summers, Gallegos and Stein"/>
    <s v="Mandatory mobile product"/>
    <n v="188100"/>
    <n v="5528"/>
    <n v="2.9388623072833599E-2"/>
    <x v="0"/>
    <n v="67"/>
    <n v="82.507462686567166"/>
    <x v="1"/>
    <s v="USD"/>
    <n v="1501736400"/>
    <n v="1502341200"/>
    <x v="167"/>
    <d v="2017-08-10T05:00:00"/>
    <x v="4"/>
  </r>
  <r>
    <n v="171"/>
    <s v="Blair Group"/>
    <s v="Public-key 3rdgeneration budgetary management"/>
    <n v="4900"/>
    <n v="521"/>
    <n v="0.1063265306122449"/>
    <x v="0"/>
    <n v="5"/>
    <n v="104.2"/>
    <x v="1"/>
    <s v="USD"/>
    <n v="1395291600"/>
    <n v="1397192400"/>
    <x v="168"/>
    <d v="2014-04-11T05:00:00"/>
    <x v="4"/>
  </r>
  <r>
    <n v="172"/>
    <s v="Nixon Inc"/>
    <s v="Centralized national firmware"/>
    <n v="800"/>
    <n v="663"/>
    <n v="0.82874999999999999"/>
    <x v="0"/>
    <n v="26"/>
    <n v="25.5"/>
    <x v="1"/>
    <s v="USD"/>
    <n v="1405746000"/>
    <n v="1407042000"/>
    <x v="169"/>
    <d v="2014-08-03T05:00:00"/>
    <x v="0"/>
  </r>
  <r>
    <n v="173"/>
    <s v="White LLC"/>
    <s v="Cross-group 4thgeneration middleware"/>
    <n v="96700"/>
    <n v="157635"/>
    <n v="1.6301447776628748"/>
    <x v="1"/>
    <n v="1561"/>
    <n v="100.98334401024984"/>
    <x v="1"/>
    <s v="USD"/>
    <n v="1368853200"/>
    <n v="1369371600"/>
    <x v="170"/>
    <d v="2013-05-24T05:00:00"/>
    <x v="0"/>
  </r>
  <r>
    <n v="174"/>
    <s v="Santos, Black and Donovan"/>
    <s v="Pre-emptive scalable access"/>
    <n v="600"/>
    <n v="5368"/>
    <n v="8.9466666666666672"/>
    <x v="1"/>
    <n v="48"/>
    <n v="111.83333333333333"/>
    <x v="1"/>
    <s v="USD"/>
    <n v="1444021200"/>
    <n v="1444107600"/>
    <x v="171"/>
    <d v="2015-10-06T05:00:00"/>
    <x v="5"/>
  </r>
  <r>
    <n v="175"/>
    <s v="Jones, Contreras and Burnett"/>
    <s v="Sharable intangible migration"/>
    <n v="181200"/>
    <n v="47459"/>
    <n v="0.26191501103752757"/>
    <x v="0"/>
    <n v="1130"/>
    <n v="41.999115044247787"/>
    <x v="1"/>
    <s v="USD"/>
    <n v="1472619600"/>
    <n v="1474261200"/>
    <x v="172"/>
    <d v="2016-09-19T05:00:00"/>
    <x v="3"/>
  </r>
  <r>
    <n v="176"/>
    <s v="Stone-Orozco"/>
    <s v="Proactive scalable Graphical User Interface"/>
    <n v="115000"/>
    <n v="86060"/>
    <n v="0.74834782608695649"/>
    <x v="0"/>
    <n v="782"/>
    <n v="110.05115089514067"/>
    <x v="1"/>
    <s v="USD"/>
    <n v="1472878800"/>
    <n v="1473656400"/>
    <x v="173"/>
    <d v="2016-09-12T05:00:00"/>
    <x v="0"/>
  </r>
  <r>
    <n v="177"/>
    <s v="Lee, Gibson and Morgan"/>
    <s v="Digitized solution-oriented product"/>
    <n v="38800"/>
    <n v="161593"/>
    <n v="4.1647680412371137"/>
    <x v="1"/>
    <n v="2739"/>
    <n v="58.997079225994888"/>
    <x v="1"/>
    <s v="USD"/>
    <n v="1289800800"/>
    <n v="1291960800"/>
    <x v="174"/>
    <d v="2010-12-10T06:00:00"/>
    <x v="5"/>
  </r>
  <r>
    <n v="178"/>
    <s v="Alexander-Williams"/>
    <s v="Triple-buffered cohesive structure"/>
    <n v="7200"/>
    <n v="6927"/>
    <n v="0.96208333333333329"/>
    <x v="0"/>
    <n v="210"/>
    <n v="32.985714285714288"/>
    <x v="1"/>
    <s v="USD"/>
    <n v="1505970000"/>
    <n v="1506747600"/>
    <x v="175"/>
    <d v="2017-09-30T05:00:00"/>
    <x v="4"/>
  </r>
  <r>
    <n v="179"/>
    <s v="Marks Ltd"/>
    <s v="Realigned human-resource orchestration"/>
    <n v="44500"/>
    <n v="159185"/>
    <n v="3.5771910112359548"/>
    <x v="1"/>
    <n v="3537"/>
    <n v="45.005654509471306"/>
    <x v="0"/>
    <s v="CAD"/>
    <n v="1363496400"/>
    <n v="1363582800"/>
    <x v="176"/>
    <d v="2013-03-18T05:00:00"/>
    <x v="2"/>
  </r>
  <r>
    <n v="180"/>
    <s v="Olsen, Edwards and Reid"/>
    <s v="Optional clear-thinking software"/>
    <n v="56000"/>
    <n v="172736"/>
    <n v="3.0845714285714285"/>
    <x v="1"/>
    <n v="2107"/>
    <n v="81.98196487897485"/>
    <x v="2"/>
    <s v="AUD"/>
    <n v="1269234000"/>
    <n v="1269666000"/>
    <x v="177"/>
    <d v="2010-03-27T05:00:00"/>
    <x v="5"/>
  </r>
  <r>
    <n v="181"/>
    <s v="Daniels, Rose and Tyler"/>
    <s v="Centralized global approach"/>
    <n v="8600"/>
    <n v="5315"/>
    <n v="0.61802325581395345"/>
    <x v="0"/>
    <n v="136"/>
    <n v="39.080882352941174"/>
    <x v="1"/>
    <s v="USD"/>
    <n v="1507093200"/>
    <n v="1508648400"/>
    <x v="178"/>
    <d v="2017-10-22T05:00:00"/>
    <x v="3"/>
  </r>
  <r>
    <n v="182"/>
    <s v="Adams Group"/>
    <s v="Reverse-engineered bandwidth-monitored contingency"/>
    <n v="27100"/>
    <n v="195750"/>
    <n v="7.2232472324723247"/>
    <x v="1"/>
    <n v="3318"/>
    <n v="58.996383363471971"/>
    <x v="3"/>
    <s v="DKK"/>
    <n v="1560574800"/>
    <n v="1561957200"/>
    <x v="179"/>
    <d v="2019-07-01T05:00:00"/>
    <x v="0"/>
  </r>
  <r>
    <n v="183"/>
    <s v="Rogers, Huerta and Medina"/>
    <s v="Pre-emptive bandwidth-monitored instruction set"/>
    <n v="5100"/>
    <n v="3525"/>
    <n v="0.69117647058823528"/>
    <x v="0"/>
    <n v="86"/>
    <n v="40.988372093023258"/>
    <x v="0"/>
    <s v="CAD"/>
    <n v="1284008400"/>
    <n v="1285131600"/>
    <x v="180"/>
    <d v="2010-09-22T05:00:00"/>
    <x v="4"/>
  </r>
  <r>
    <n v="184"/>
    <s v="Howard, Carter and Griffith"/>
    <s v="Adaptive asynchronous emulation"/>
    <n v="3600"/>
    <n v="10550"/>
    <n v="2.9305555555555554"/>
    <x v="1"/>
    <n v="340"/>
    <n v="31.029411764705884"/>
    <x v="1"/>
    <s v="USD"/>
    <n v="1556859600"/>
    <n v="1556946000"/>
    <x v="181"/>
    <d v="2019-05-04T05:00:00"/>
    <x v="6"/>
  </r>
  <r>
    <n v="185"/>
    <s v="Bailey PLC"/>
    <s v="Innovative actuating conglomeration"/>
    <n v="1000"/>
    <n v="718"/>
    <n v="0.71799999999999997"/>
    <x v="0"/>
    <n v="19"/>
    <n v="37.789473684210527"/>
    <x v="1"/>
    <s v="USD"/>
    <n v="1526187600"/>
    <n v="1527138000"/>
    <x v="182"/>
    <d v="2018-05-24T05:00:00"/>
    <x v="2"/>
  </r>
  <r>
    <n v="186"/>
    <s v="Parker Group"/>
    <s v="Grass-roots foreground policy"/>
    <n v="88800"/>
    <n v="28358"/>
    <n v="0.31934684684684683"/>
    <x v="0"/>
    <n v="886"/>
    <n v="32.006772009029348"/>
    <x v="1"/>
    <s v="USD"/>
    <n v="1400821200"/>
    <n v="1402117200"/>
    <x v="183"/>
    <d v="2014-06-07T05:00:00"/>
    <x v="6"/>
  </r>
  <r>
    <n v="187"/>
    <s v="Fox Group"/>
    <s v="Horizontal transitional paradigm"/>
    <n v="60200"/>
    <n v="138384"/>
    <n v="2.2987375415282392"/>
    <x v="1"/>
    <n v="1442"/>
    <n v="95.966712898751737"/>
    <x v="0"/>
    <s v="CAD"/>
    <n v="1361599200"/>
    <n v="1364014800"/>
    <x v="184"/>
    <d v="2013-03-23T05:00:00"/>
    <x v="0"/>
  </r>
  <r>
    <n v="188"/>
    <s v="Walker, Jones and Rodriguez"/>
    <s v="Networked didactic info-mediaries"/>
    <n v="8200"/>
    <n v="2625"/>
    <n v="0.3201219512195122"/>
    <x v="0"/>
    <n v="35"/>
    <n v="75"/>
    <x v="6"/>
    <s v="EUR"/>
    <n v="1417500000"/>
    <n v="1417586400"/>
    <x v="185"/>
    <d v="2014-12-03T06:00:00"/>
    <x v="1"/>
  </r>
  <r>
    <n v="189"/>
    <s v="Anthony-Shaw"/>
    <s v="Switchable contextually-based access"/>
    <n v="191300"/>
    <n v="45004"/>
    <n v="0.23525352848928385"/>
    <x v="3"/>
    <n v="441"/>
    <n v="102.0498866213152"/>
    <x v="1"/>
    <s v="USD"/>
    <n v="1457071200"/>
    <n v="1457071200"/>
    <x v="186"/>
    <d v="2016-03-04T06:00:00"/>
    <x v="6"/>
  </r>
  <r>
    <n v="190"/>
    <s v="Cook LLC"/>
    <s v="Up-sized dynamic throughput"/>
    <n v="3700"/>
    <n v="2538"/>
    <n v="0.68594594594594593"/>
    <x v="0"/>
    <n v="24"/>
    <n v="105.75"/>
    <x v="1"/>
    <s v="USD"/>
    <n v="1370322000"/>
    <n v="1370408400"/>
    <x v="187"/>
    <d v="2013-06-05T05:00:00"/>
    <x v="1"/>
  </r>
  <r>
    <n v="191"/>
    <s v="Sutton PLC"/>
    <s v="Mandatory reciprocal superstructure"/>
    <n v="8400"/>
    <n v="3188"/>
    <n v="0.37952380952380954"/>
    <x v="0"/>
    <n v="86"/>
    <n v="37.069767441860463"/>
    <x v="6"/>
    <s v="EUR"/>
    <n v="1552366800"/>
    <n v="1552626000"/>
    <x v="188"/>
    <d v="2019-03-15T05:00:00"/>
    <x v="1"/>
  </r>
  <r>
    <n v="192"/>
    <s v="Long, Morgan and Mitchell"/>
    <s v="Upgradable 4thgeneration productivity"/>
    <n v="42600"/>
    <n v="8517"/>
    <n v="0.19992957746478873"/>
    <x v="0"/>
    <n v="243"/>
    <n v="35.049382716049379"/>
    <x v="1"/>
    <s v="USD"/>
    <n v="1403845200"/>
    <n v="1404190800"/>
    <x v="189"/>
    <d v="2014-07-01T05:00:00"/>
    <x v="6"/>
  </r>
  <r>
    <n v="193"/>
    <s v="Calhoun, Rogers and Long"/>
    <s v="Progressive discrete hub"/>
    <n v="6600"/>
    <n v="3012"/>
    <n v="0.45636363636363636"/>
    <x v="0"/>
    <n v="65"/>
    <n v="46.338461538461537"/>
    <x v="1"/>
    <s v="USD"/>
    <n v="1523163600"/>
    <n v="1523509200"/>
    <x v="190"/>
    <d v="2018-04-12T05:00:00"/>
    <x v="2"/>
  </r>
  <r>
    <n v="194"/>
    <s v="Sandoval Group"/>
    <s v="Assimilated multi-tasking archive"/>
    <n v="7100"/>
    <n v="8716"/>
    <n v="1.227605633802817"/>
    <x v="1"/>
    <n v="126"/>
    <n v="69.174603174603178"/>
    <x v="1"/>
    <s v="USD"/>
    <n v="1442206800"/>
    <n v="1443589200"/>
    <x v="191"/>
    <d v="2015-09-30T05:00:00"/>
    <x v="5"/>
  </r>
  <r>
    <n v="195"/>
    <s v="Smith and Sons"/>
    <s v="Upgradable high-level solution"/>
    <n v="15800"/>
    <n v="57157"/>
    <n v="3.61753164556962"/>
    <x v="1"/>
    <n v="524"/>
    <n v="109.07824427480917"/>
    <x v="1"/>
    <s v="USD"/>
    <n v="1532840400"/>
    <n v="1533445200"/>
    <x v="192"/>
    <d v="2018-08-05T05:00:00"/>
    <x v="2"/>
  </r>
  <r>
    <n v="196"/>
    <s v="King Inc"/>
    <s v="Organic bandwidth-monitored frame"/>
    <n v="8200"/>
    <n v="5178"/>
    <n v="0.63146341463414635"/>
    <x v="0"/>
    <n v="100"/>
    <n v="51.78"/>
    <x v="3"/>
    <s v="DKK"/>
    <n v="1472878800"/>
    <n v="1474520400"/>
    <x v="173"/>
    <d v="2016-09-22T05:00:00"/>
    <x v="0"/>
  </r>
  <r>
    <n v="197"/>
    <s v="Perry and Sons"/>
    <s v="Business-focused logistical framework"/>
    <n v="54700"/>
    <n v="163118"/>
    <n v="2.9820475319926874"/>
    <x v="1"/>
    <n v="1989"/>
    <n v="82.010055304172951"/>
    <x v="1"/>
    <s v="USD"/>
    <n v="1498194000"/>
    <n v="1499403600"/>
    <x v="193"/>
    <d v="2017-07-07T05:00:00"/>
    <x v="6"/>
  </r>
  <r>
    <n v="198"/>
    <s v="Palmer Inc"/>
    <s v="Universal multi-state capability"/>
    <n v="63200"/>
    <n v="6041"/>
    <n v="9.5585443037974685E-2"/>
    <x v="0"/>
    <n v="168"/>
    <n v="35.958333333333336"/>
    <x v="1"/>
    <s v="USD"/>
    <n v="1281070800"/>
    <n v="1283576400"/>
    <x v="194"/>
    <d v="2010-09-04T05:00:00"/>
    <x v="6"/>
  </r>
  <r>
    <n v="199"/>
    <s v="Hull, Baker and Martinez"/>
    <s v="Digitized reciprocal infrastructure"/>
    <n v="1800"/>
    <n v="968"/>
    <n v="0.5377777777777778"/>
    <x v="0"/>
    <n v="13"/>
    <n v="74.461538461538467"/>
    <x v="1"/>
    <s v="USD"/>
    <n v="1436245200"/>
    <n v="1436590800"/>
    <x v="195"/>
    <d v="2015-07-11T05:00:00"/>
    <x v="1"/>
  </r>
  <r>
    <n v="200"/>
    <s v="Becker, Rice and White"/>
    <s v="Reduced dedicated capability"/>
    <n v="100"/>
    <n v="2"/>
    <n v="0.02"/>
    <x v="0"/>
    <n v="1"/>
    <n v="2"/>
    <x v="0"/>
    <s v="CAD"/>
    <n v="1269493200"/>
    <n v="1270443600"/>
    <x v="152"/>
    <d v="2010-04-05T05:00:00"/>
    <x v="4"/>
  </r>
  <r>
    <n v="201"/>
    <s v="Osborne, Perkins and Knox"/>
    <s v="Cross-platform bi-directional workforce"/>
    <n v="2100"/>
    <n v="14305"/>
    <n v="6.8119047619047617"/>
    <x v="1"/>
    <n v="157"/>
    <n v="91.114649681528661"/>
    <x v="1"/>
    <s v="USD"/>
    <n v="1406264400"/>
    <n v="1407819600"/>
    <x v="196"/>
    <d v="2014-08-12T05:00:00"/>
    <x v="6"/>
  </r>
  <r>
    <n v="202"/>
    <s v="Mcknight-Freeman"/>
    <s v="Upgradable scalable methodology"/>
    <n v="8300"/>
    <n v="6543"/>
    <n v="0.78831325301204824"/>
    <x v="3"/>
    <n v="82"/>
    <n v="79.792682926829272"/>
    <x v="1"/>
    <s v="USD"/>
    <n v="1317531600"/>
    <n v="1317877200"/>
    <x v="197"/>
    <d v="2011-10-06T05:00:00"/>
    <x v="2"/>
  </r>
  <r>
    <n v="203"/>
    <s v="Hayden, Shannon and Stein"/>
    <s v="Customer-focused client-server service-desk"/>
    <n v="143900"/>
    <n v="193413"/>
    <n v="1.3440792216817234"/>
    <x v="1"/>
    <n v="4498"/>
    <n v="42.999777678968428"/>
    <x v="2"/>
    <s v="AUD"/>
    <n v="1484632800"/>
    <n v="1484805600"/>
    <x v="198"/>
    <d v="2017-01-19T06:00:00"/>
    <x v="1"/>
  </r>
  <r>
    <n v="204"/>
    <s v="Daniel-Luna"/>
    <s v="Mandatory multimedia leverage"/>
    <n v="75000"/>
    <n v="2529"/>
    <n v="3.372E-2"/>
    <x v="0"/>
    <n v="40"/>
    <n v="63.225000000000001"/>
    <x v="1"/>
    <s v="USD"/>
    <n v="1301806800"/>
    <n v="1302670800"/>
    <x v="199"/>
    <d v="2011-04-13T05:00:00"/>
    <x v="2"/>
  </r>
  <r>
    <n v="205"/>
    <s v="Weaver-Marquez"/>
    <s v="Focused analyzing circuit"/>
    <n v="1300"/>
    <n v="5614"/>
    <n v="4.3184615384615386"/>
    <x v="1"/>
    <n v="80"/>
    <n v="70.174999999999997"/>
    <x v="1"/>
    <s v="USD"/>
    <n v="1539752400"/>
    <n v="1540789200"/>
    <x v="200"/>
    <d v="2018-10-29T05:00:00"/>
    <x v="3"/>
  </r>
  <r>
    <n v="206"/>
    <s v="Austin, Baker and Kelley"/>
    <s v="Fundamental grid-enabled strategy"/>
    <n v="9000"/>
    <n v="3496"/>
    <n v="0.38844444444444443"/>
    <x v="3"/>
    <n v="57"/>
    <n v="61.333333333333336"/>
    <x v="1"/>
    <s v="USD"/>
    <n v="1267250400"/>
    <n v="1268028000"/>
    <x v="201"/>
    <d v="2010-03-08T06:00:00"/>
    <x v="0"/>
  </r>
  <r>
    <n v="207"/>
    <s v="Carney-Anderson"/>
    <s v="Digitized 5thgeneration knowledgebase"/>
    <n v="1000"/>
    <n v="4257"/>
    <n v="4.2569999999999997"/>
    <x v="1"/>
    <n v="43"/>
    <n v="99"/>
    <x v="1"/>
    <s v="USD"/>
    <n v="1535432400"/>
    <n v="1537160400"/>
    <x v="202"/>
    <d v="2018-09-17T05:00:00"/>
    <x v="1"/>
  </r>
  <r>
    <n v="208"/>
    <s v="Jackson Inc"/>
    <s v="Mandatory multi-tasking encryption"/>
    <n v="196900"/>
    <n v="199110"/>
    <n v="1.0112239715591671"/>
    <x v="1"/>
    <n v="2053"/>
    <n v="96.984900146127615"/>
    <x v="1"/>
    <s v="USD"/>
    <n v="1510207200"/>
    <n v="1512280800"/>
    <x v="203"/>
    <d v="2017-12-03T06:00:00"/>
    <x v="4"/>
  </r>
  <r>
    <n v="209"/>
    <s v="Warren Ltd"/>
    <s v="Distributed system-worthy application"/>
    <n v="194500"/>
    <n v="41212"/>
    <n v="0.21188688946015424"/>
    <x v="2"/>
    <n v="808"/>
    <n v="51.004950495049506"/>
    <x v="2"/>
    <s v="AUD"/>
    <n v="1462510800"/>
    <n v="1463115600"/>
    <x v="204"/>
    <d v="2016-05-13T05:00:00"/>
    <x v="6"/>
  </r>
  <r>
    <n v="210"/>
    <s v="Schultz Inc"/>
    <s v="Synergistic tertiary time-frame"/>
    <n v="9400"/>
    <n v="6338"/>
    <n v="0.67425531914893622"/>
    <x v="0"/>
    <n v="226"/>
    <n v="28.044247787610619"/>
    <x v="3"/>
    <s v="DKK"/>
    <n v="1488520800"/>
    <n v="1490850000"/>
    <x v="205"/>
    <d v="2017-03-30T05:00:00"/>
    <x v="6"/>
  </r>
  <r>
    <n v="211"/>
    <s v="Thompson LLC"/>
    <s v="Customer-focused impactful benchmark"/>
    <n v="104400"/>
    <n v="99100"/>
    <n v="0.9492337164750958"/>
    <x v="0"/>
    <n v="1625"/>
    <n v="60.984615384615381"/>
    <x v="1"/>
    <s v="USD"/>
    <n v="1377579600"/>
    <n v="1379653200"/>
    <x v="206"/>
    <d v="2013-09-20T05:00:00"/>
    <x v="1"/>
  </r>
  <r>
    <n v="212"/>
    <s v="Johnson Inc"/>
    <s v="Profound next generation infrastructure"/>
    <n v="8100"/>
    <n v="12300"/>
    <n v="1.5185185185185186"/>
    <x v="1"/>
    <n v="168"/>
    <n v="73.214285714285708"/>
    <x v="1"/>
    <s v="USD"/>
    <n v="1576389600"/>
    <n v="1580364000"/>
    <x v="207"/>
    <d v="2020-01-30T06:00:00"/>
    <x v="2"/>
  </r>
  <r>
    <n v="213"/>
    <s v="Morgan-Warren"/>
    <s v="Face-to-face encompassing info-mediaries"/>
    <n v="87900"/>
    <n v="171549"/>
    <n v="1.9516382252559727"/>
    <x v="1"/>
    <n v="4289"/>
    <n v="39.997435299603637"/>
    <x v="1"/>
    <s v="USD"/>
    <n v="1289019600"/>
    <n v="1289714400"/>
    <x v="208"/>
    <d v="2010-11-14T06:00:00"/>
    <x v="0"/>
  </r>
  <r>
    <n v="214"/>
    <s v="Sullivan Group"/>
    <s v="Open-source fresh-thinking policy"/>
    <n v="1400"/>
    <n v="14324"/>
    <n v="10.231428571428571"/>
    <x v="1"/>
    <n v="165"/>
    <n v="86.812121212121212"/>
    <x v="1"/>
    <s v="USD"/>
    <n v="1282194000"/>
    <n v="1282712400"/>
    <x v="209"/>
    <d v="2010-08-25T05:00:00"/>
    <x v="4"/>
  </r>
  <r>
    <n v="215"/>
    <s v="Vargas, Banks and Palmer"/>
    <s v="Extended 24/7 implementation"/>
    <n v="156800"/>
    <n v="6024"/>
    <n v="3.8418367346938778E-2"/>
    <x v="0"/>
    <n v="143"/>
    <n v="42.125874125874127"/>
    <x v="1"/>
    <s v="USD"/>
    <n v="1550037600"/>
    <n v="1550210400"/>
    <x v="210"/>
    <d v="2019-02-15T06:00:00"/>
    <x v="3"/>
  </r>
  <r>
    <n v="216"/>
    <s v="Johnson, Dixon and Zimmerman"/>
    <s v="Organic dynamic algorithm"/>
    <n v="121700"/>
    <n v="188721"/>
    <n v="1.5507066557107643"/>
    <x v="1"/>
    <n v="1815"/>
    <n v="103.97851239669421"/>
    <x v="1"/>
    <s v="USD"/>
    <n v="1321941600"/>
    <n v="1322114400"/>
    <x v="211"/>
    <d v="2011-11-24T06:00:00"/>
    <x v="1"/>
  </r>
  <r>
    <n v="217"/>
    <s v="Moore, Dudley and Navarro"/>
    <s v="Organic multi-tasking focus group"/>
    <n v="129400"/>
    <n v="57911"/>
    <n v="0.44753477588871715"/>
    <x v="0"/>
    <n v="934"/>
    <n v="62.003211991434689"/>
    <x v="1"/>
    <s v="USD"/>
    <n v="1556427600"/>
    <n v="1557205200"/>
    <x v="212"/>
    <d v="2019-05-07T05:00:00"/>
    <x v="2"/>
  </r>
  <r>
    <n v="218"/>
    <s v="Price-Rodriguez"/>
    <s v="Adaptive logistical initiative"/>
    <n v="5700"/>
    <n v="12309"/>
    <n v="2.1594736842105262"/>
    <x v="1"/>
    <n v="397"/>
    <n v="31.005037783375315"/>
    <x v="4"/>
    <s v="GBP"/>
    <n v="1320991200"/>
    <n v="1323928800"/>
    <x v="213"/>
    <d v="2011-12-15T06:00:00"/>
    <x v="6"/>
  </r>
  <r>
    <n v="219"/>
    <s v="Huang-Henderson"/>
    <s v="Stand-alone mobile customer loyalty"/>
    <n v="41700"/>
    <n v="138497"/>
    <n v="3.3212709832134291"/>
    <x v="1"/>
    <n v="1539"/>
    <n v="89.991552956465242"/>
    <x v="1"/>
    <s v="USD"/>
    <n v="1345093200"/>
    <n v="1346130000"/>
    <x v="214"/>
    <d v="2012-08-28T05:00:00"/>
    <x v="4"/>
  </r>
  <r>
    <n v="220"/>
    <s v="Owens-Le"/>
    <s v="Focused composite approach"/>
    <n v="7900"/>
    <n v="667"/>
    <n v="8.4430379746835441E-2"/>
    <x v="0"/>
    <n v="17"/>
    <n v="39.235294117647058"/>
    <x v="1"/>
    <s v="USD"/>
    <n v="1309496400"/>
    <n v="1311051600"/>
    <x v="215"/>
    <d v="2011-07-19T05:00:00"/>
    <x v="6"/>
  </r>
  <r>
    <n v="221"/>
    <s v="Huff LLC"/>
    <s v="Face-to-face clear-thinking Local Area Network"/>
    <n v="121500"/>
    <n v="119830"/>
    <n v="0.9862551440329218"/>
    <x v="0"/>
    <n v="2179"/>
    <n v="54.993116108306566"/>
    <x v="1"/>
    <s v="USD"/>
    <n v="1340254800"/>
    <n v="1340427600"/>
    <x v="216"/>
    <d v="2012-06-23T05:00:00"/>
    <x v="4"/>
  </r>
  <r>
    <n v="222"/>
    <s v="Johnson LLC"/>
    <s v="Cross-group cohesive circuit"/>
    <n v="4800"/>
    <n v="6623"/>
    <n v="1.3797916666666667"/>
    <x v="1"/>
    <n v="138"/>
    <n v="47.992753623188406"/>
    <x v="1"/>
    <s v="USD"/>
    <n v="1412226000"/>
    <n v="1412312400"/>
    <x v="217"/>
    <d v="2014-10-03T05:00:00"/>
    <x v="4"/>
  </r>
  <r>
    <n v="223"/>
    <s v="Chavez, Garcia and Cantu"/>
    <s v="Synergistic explicit capability"/>
    <n v="87300"/>
    <n v="81897"/>
    <n v="0.93810996563573879"/>
    <x v="0"/>
    <n v="931"/>
    <n v="87.966702470461868"/>
    <x v="1"/>
    <s v="USD"/>
    <n v="1458104400"/>
    <n v="1459314000"/>
    <x v="218"/>
    <d v="2016-03-30T05:00:00"/>
    <x v="3"/>
  </r>
  <r>
    <n v="224"/>
    <s v="Lester-Moore"/>
    <s v="Diverse analyzing definition"/>
    <n v="46300"/>
    <n v="186885"/>
    <n v="4.0363930885529156"/>
    <x v="1"/>
    <n v="3594"/>
    <n v="51.999165275459099"/>
    <x v="1"/>
    <s v="USD"/>
    <n v="1411534800"/>
    <n v="1415426400"/>
    <x v="219"/>
    <d v="2014-11-08T06:00:00"/>
    <x v="3"/>
  </r>
  <r>
    <n v="225"/>
    <s v="Fox-Quinn"/>
    <s v="Enterprise-wide reciprocal success"/>
    <n v="67800"/>
    <n v="176398"/>
    <n v="2.6017404129793511"/>
    <x v="1"/>
    <n v="5880"/>
    <n v="29.999659863945578"/>
    <x v="1"/>
    <s v="USD"/>
    <n v="1399093200"/>
    <n v="1399093200"/>
    <x v="220"/>
    <d v="2014-05-03T05:00:00"/>
    <x v="0"/>
  </r>
  <r>
    <n v="226"/>
    <s v="Garcia Inc"/>
    <s v="Progressive neutral middleware"/>
    <n v="3000"/>
    <n v="10999"/>
    <n v="3.6663333333333332"/>
    <x v="1"/>
    <n v="112"/>
    <n v="98.205357142857139"/>
    <x v="1"/>
    <s v="USD"/>
    <n v="1270702800"/>
    <n v="1273899600"/>
    <x v="221"/>
    <d v="2010-05-15T05:00:00"/>
    <x v="4"/>
  </r>
  <r>
    <n v="227"/>
    <s v="Johnson-Lee"/>
    <s v="Intuitive exuding process improvement"/>
    <n v="60900"/>
    <n v="102751"/>
    <n v="1.687208538587849"/>
    <x v="1"/>
    <n v="943"/>
    <n v="108.96182396606575"/>
    <x v="1"/>
    <s v="USD"/>
    <n v="1431666000"/>
    <n v="1432184400"/>
    <x v="222"/>
    <d v="2015-05-21T05:00:00"/>
    <x v="6"/>
  </r>
  <r>
    <n v="228"/>
    <s v="Pineda Group"/>
    <s v="Exclusive real-time protocol"/>
    <n v="137900"/>
    <n v="165352"/>
    <n v="1.1990717911530093"/>
    <x v="1"/>
    <n v="2468"/>
    <n v="66.998379254457049"/>
    <x v="1"/>
    <s v="USD"/>
    <n v="1472619600"/>
    <n v="1474779600"/>
    <x v="172"/>
    <d v="2016-09-25T05:00:00"/>
    <x v="3"/>
  </r>
  <r>
    <n v="229"/>
    <s v="Hoffman-Howard"/>
    <s v="Extended encompassing application"/>
    <n v="85600"/>
    <n v="165798"/>
    <n v="1.936892523364486"/>
    <x v="1"/>
    <n v="2551"/>
    <n v="64.99333594668758"/>
    <x v="1"/>
    <s v="USD"/>
    <n v="1496293200"/>
    <n v="1500440400"/>
    <x v="223"/>
    <d v="2017-07-19T05:00:00"/>
    <x v="4"/>
  </r>
  <r>
    <n v="230"/>
    <s v="Miranda, Hall and Mcgrath"/>
    <s v="Progressive value-added ability"/>
    <n v="2400"/>
    <n v="10084"/>
    <n v="4.2016666666666671"/>
    <x v="1"/>
    <n v="101"/>
    <n v="99.841584158415841"/>
    <x v="1"/>
    <s v="USD"/>
    <n v="1575612000"/>
    <n v="1575612000"/>
    <x v="224"/>
    <d v="2019-12-06T06:00:00"/>
    <x v="6"/>
  </r>
  <r>
    <n v="231"/>
    <s v="Williams, Carter and Gonzalez"/>
    <s v="Cross-platform uniform hardware"/>
    <n v="7200"/>
    <n v="5523"/>
    <n v="0.76708333333333334"/>
    <x v="3"/>
    <n v="67"/>
    <n v="82.432835820895519"/>
    <x v="1"/>
    <s v="USD"/>
    <n v="1369112400"/>
    <n v="1374123600"/>
    <x v="225"/>
    <d v="2013-07-18T05:00:00"/>
    <x v="1"/>
  </r>
  <r>
    <n v="232"/>
    <s v="Davis-Rodriguez"/>
    <s v="Progressive secondary portal"/>
    <n v="3400"/>
    <n v="5823"/>
    <n v="1.7126470588235294"/>
    <x v="1"/>
    <n v="92"/>
    <n v="63.293478260869563"/>
    <x v="1"/>
    <s v="USD"/>
    <n v="1469422800"/>
    <n v="1469509200"/>
    <x v="226"/>
    <d v="2016-07-26T05:00:00"/>
    <x v="5"/>
  </r>
  <r>
    <n v="233"/>
    <s v="Reid, Rivera and Perry"/>
    <s v="Multi-lateral national adapter"/>
    <n v="3800"/>
    <n v="6000"/>
    <n v="1.5789473684210527"/>
    <x v="1"/>
    <n v="62"/>
    <n v="96.774193548387103"/>
    <x v="1"/>
    <s v="USD"/>
    <n v="1307854800"/>
    <n v="1309237200"/>
    <x v="227"/>
    <d v="2011-06-28T05:00:00"/>
    <x v="2"/>
  </r>
  <r>
    <n v="234"/>
    <s v="Mendoza-Parker"/>
    <s v="Enterprise-wide motivating matrices"/>
    <n v="7500"/>
    <n v="8181"/>
    <n v="1.0908"/>
    <x v="1"/>
    <n v="149"/>
    <n v="54.906040268456373"/>
    <x v="6"/>
    <s v="EUR"/>
    <n v="1503378000"/>
    <n v="1503982800"/>
    <x v="228"/>
    <d v="2017-08-29T05:00:00"/>
    <x v="1"/>
  </r>
  <r>
    <n v="235"/>
    <s v="Lee, Ali and Guzman"/>
    <s v="Polarized upward-trending Local Area Network"/>
    <n v="8600"/>
    <n v="3589"/>
    <n v="0.41732558139534881"/>
    <x v="0"/>
    <n v="92"/>
    <n v="39.010869565217391"/>
    <x v="1"/>
    <s v="USD"/>
    <n v="1486965600"/>
    <n v="1487397600"/>
    <x v="229"/>
    <d v="2017-02-18T06:00:00"/>
    <x v="5"/>
  </r>
  <r>
    <n v="236"/>
    <s v="Gallegos-Cobb"/>
    <s v="Object-based directional function"/>
    <n v="39500"/>
    <n v="4323"/>
    <n v="0.10944303797468355"/>
    <x v="0"/>
    <n v="57"/>
    <n v="75.84210526315789"/>
    <x v="2"/>
    <s v="AUD"/>
    <n v="1561438800"/>
    <n v="1562043600"/>
    <x v="230"/>
    <d v="2019-07-02T05:00:00"/>
    <x v="1"/>
  </r>
  <r>
    <n v="237"/>
    <s v="Ellison PLC"/>
    <s v="Re-contextualized tangible open architecture"/>
    <n v="9300"/>
    <n v="14822"/>
    <n v="1.593763440860215"/>
    <x v="1"/>
    <n v="329"/>
    <n v="45.051671732522799"/>
    <x v="1"/>
    <s v="USD"/>
    <n v="1398402000"/>
    <n v="1398574800"/>
    <x v="231"/>
    <d v="2014-04-27T05:00:00"/>
    <x v="6"/>
  </r>
  <r>
    <n v="238"/>
    <s v="Bolton, Sanchez and Carrillo"/>
    <s v="Distributed systemic adapter"/>
    <n v="2400"/>
    <n v="10138"/>
    <n v="4.2241666666666671"/>
    <x v="1"/>
    <n v="97"/>
    <n v="104.51546391752578"/>
    <x v="3"/>
    <s v="DKK"/>
    <n v="1513231200"/>
    <n v="1515391200"/>
    <x v="232"/>
    <d v="2018-01-08T06:00:00"/>
    <x v="4"/>
  </r>
  <r>
    <n v="239"/>
    <s v="Mason-Sanders"/>
    <s v="Networked web-enabled instruction set"/>
    <n v="3200"/>
    <n v="3127"/>
    <n v="0.97718749999999999"/>
    <x v="0"/>
    <n v="41"/>
    <n v="76.268292682926827"/>
    <x v="1"/>
    <s v="USD"/>
    <n v="1440824400"/>
    <n v="1441170000"/>
    <x v="233"/>
    <d v="2015-09-02T05:00:00"/>
    <x v="0"/>
  </r>
  <r>
    <n v="240"/>
    <s v="Pitts-Reed"/>
    <s v="Vision-oriented dynamic service-desk"/>
    <n v="29400"/>
    <n v="123124"/>
    <n v="4.1878911564625847"/>
    <x v="1"/>
    <n v="1784"/>
    <n v="69.015695067264573"/>
    <x v="1"/>
    <s v="USD"/>
    <n v="1281070800"/>
    <n v="1281157200"/>
    <x v="194"/>
    <d v="2010-08-07T05:00:00"/>
    <x v="6"/>
  </r>
  <r>
    <n v="241"/>
    <s v="Gonzalez-Martinez"/>
    <s v="Vision-oriented actuating open system"/>
    <n v="168500"/>
    <n v="171729"/>
    <n v="1.0191632047477746"/>
    <x v="1"/>
    <n v="1684"/>
    <n v="101.97684085510689"/>
    <x v="2"/>
    <s v="AUD"/>
    <n v="1397365200"/>
    <n v="1398229200"/>
    <x v="234"/>
    <d v="2014-04-23T05:00:00"/>
    <x v="2"/>
  </r>
  <r>
    <n v="242"/>
    <s v="Hill, Martin and Garcia"/>
    <s v="Sharable scalable core"/>
    <n v="8400"/>
    <n v="10729"/>
    <n v="1.2772619047619047"/>
    <x v="1"/>
    <n v="250"/>
    <n v="42.915999999999997"/>
    <x v="1"/>
    <s v="USD"/>
    <n v="1494392400"/>
    <n v="1495256400"/>
    <x v="235"/>
    <d v="2017-05-20T05:00:00"/>
    <x v="3"/>
  </r>
  <r>
    <n v="243"/>
    <s v="Garcia PLC"/>
    <s v="Customer-focused attitude-oriented function"/>
    <n v="2300"/>
    <n v="10240"/>
    <n v="4.4521739130434783"/>
    <x v="1"/>
    <n v="238"/>
    <n v="43.025210084033617"/>
    <x v="1"/>
    <s v="USD"/>
    <n v="1520143200"/>
    <n v="1520402400"/>
    <x v="236"/>
    <d v="2018-03-07T06:00:00"/>
    <x v="2"/>
  </r>
  <r>
    <n v="244"/>
    <s v="Herring-Bailey"/>
    <s v="Reverse-engineered system-worthy extranet"/>
    <n v="700"/>
    <n v="3988"/>
    <n v="5.6971428571428575"/>
    <x v="1"/>
    <n v="53"/>
    <n v="75.245283018867923"/>
    <x v="1"/>
    <s v="USD"/>
    <n v="1405314000"/>
    <n v="1409806800"/>
    <x v="237"/>
    <d v="2014-09-04T05:00:00"/>
    <x v="5"/>
  </r>
  <r>
    <n v="245"/>
    <s v="Russell-Gardner"/>
    <s v="Re-engineered systematic monitoring"/>
    <n v="2900"/>
    <n v="14771"/>
    <n v="5.0934482758620687"/>
    <x v="1"/>
    <n v="214"/>
    <n v="69.023364485981304"/>
    <x v="1"/>
    <s v="USD"/>
    <n v="1396846800"/>
    <n v="1396933200"/>
    <x v="238"/>
    <d v="2014-04-08T05:00:00"/>
    <x v="5"/>
  </r>
  <r>
    <n v="246"/>
    <s v="Walters-Carter"/>
    <s v="Seamless value-added standardization"/>
    <n v="4500"/>
    <n v="14649"/>
    <n v="3.2553333333333332"/>
    <x v="1"/>
    <n v="222"/>
    <n v="65.986486486486484"/>
    <x v="1"/>
    <s v="USD"/>
    <n v="1375678800"/>
    <n v="1376024400"/>
    <x v="239"/>
    <d v="2013-08-09T05:00:00"/>
    <x v="5"/>
  </r>
  <r>
    <n v="247"/>
    <s v="Johnson, Patterson and Montoya"/>
    <s v="Triple-buffered fresh-thinking frame"/>
    <n v="19800"/>
    <n v="184658"/>
    <n v="9.3261616161616168"/>
    <x v="1"/>
    <n v="1884"/>
    <n v="98.013800424628457"/>
    <x v="1"/>
    <s v="USD"/>
    <n v="1482386400"/>
    <n v="1483682400"/>
    <x v="240"/>
    <d v="2017-01-06T06:00:00"/>
    <x v="4"/>
  </r>
  <r>
    <n v="248"/>
    <s v="Roberts and Sons"/>
    <s v="Streamlined holistic knowledgebase"/>
    <n v="6200"/>
    <n v="13103"/>
    <n v="2.1133870967741935"/>
    <x v="1"/>
    <n v="218"/>
    <n v="60.105504587155963"/>
    <x v="2"/>
    <s v="AUD"/>
    <n v="1420005600"/>
    <n v="1420437600"/>
    <x v="241"/>
    <d v="2015-01-05T06:00:00"/>
    <x v="3"/>
  </r>
  <r>
    <n v="249"/>
    <s v="Avila-Nelson"/>
    <s v="Up-sized intermediate website"/>
    <n v="61500"/>
    <n v="168095"/>
    <n v="2.7332520325203253"/>
    <x v="1"/>
    <n v="6465"/>
    <n v="26.000773395204948"/>
    <x v="1"/>
    <s v="USD"/>
    <n v="1420178400"/>
    <n v="1420783200"/>
    <x v="242"/>
    <d v="2015-01-09T06:00:00"/>
    <x v="6"/>
  </r>
  <r>
    <n v="250"/>
    <s v="Robbins and Sons"/>
    <s v="Future-proofed directional synergy"/>
    <n v="100"/>
    <n v="3"/>
    <n v="0.03"/>
    <x v="0"/>
    <n v="1"/>
    <n v="3"/>
    <x v="1"/>
    <s v="USD"/>
    <n v="1264399200"/>
    <n v="1267423200"/>
    <x v="67"/>
    <d v="2010-03-01T06:00:00"/>
    <x v="5"/>
  </r>
  <r>
    <n v="251"/>
    <s v="Singleton Ltd"/>
    <s v="Enhanced user-facing function"/>
    <n v="7100"/>
    <n v="3840"/>
    <n v="0.54084507042253516"/>
    <x v="0"/>
    <n v="101"/>
    <n v="38.019801980198018"/>
    <x v="1"/>
    <s v="USD"/>
    <n v="1355032800"/>
    <n v="1355205600"/>
    <x v="243"/>
    <d v="2012-12-11T06:00:00"/>
    <x v="2"/>
  </r>
  <r>
    <n v="252"/>
    <s v="Perez PLC"/>
    <s v="Operative bandwidth-monitored interface"/>
    <n v="1000"/>
    <n v="6263"/>
    <n v="6.2629999999999999"/>
    <x v="1"/>
    <n v="59"/>
    <n v="106.15254237288136"/>
    <x v="1"/>
    <s v="USD"/>
    <n v="1382677200"/>
    <n v="1383109200"/>
    <x v="244"/>
    <d v="2013-10-30T05:00:00"/>
    <x v="6"/>
  </r>
  <r>
    <n v="253"/>
    <s v="Rogers, Jacobs and Jackson"/>
    <s v="Upgradable multi-state instruction set"/>
    <n v="121500"/>
    <n v="108161"/>
    <n v="0.8902139917695473"/>
    <x v="0"/>
    <n v="1335"/>
    <n v="81.019475655430711"/>
    <x v="0"/>
    <s v="CAD"/>
    <n v="1302238800"/>
    <n v="1303275600"/>
    <x v="245"/>
    <d v="2011-04-20T05:00:00"/>
    <x v="6"/>
  </r>
  <r>
    <n v="254"/>
    <s v="Barry Group"/>
    <s v="De-engineered static Local Area Network"/>
    <n v="4600"/>
    <n v="8505"/>
    <n v="1.8489130434782608"/>
    <x v="1"/>
    <n v="88"/>
    <n v="96.647727272727266"/>
    <x v="1"/>
    <s v="USD"/>
    <n v="1487656800"/>
    <n v="1487829600"/>
    <x v="246"/>
    <d v="2017-02-23T06:00:00"/>
    <x v="1"/>
  </r>
  <r>
    <n v="255"/>
    <s v="Rosales, Branch and Harmon"/>
    <s v="Upgradable grid-enabled superstructure"/>
    <n v="80500"/>
    <n v="96735"/>
    <n v="1.2016770186335404"/>
    <x v="1"/>
    <n v="1697"/>
    <n v="57.003535651149086"/>
    <x v="1"/>
    <s v="USD"/>
    <n v="1297836000"/>
    <n v="1298268000"/>
    <x v="247"/>
    <d v="2011-02-21T06:00:00"/>
    <x v="3"/>
  </r>
  <r>
    <n v="256"/>
    <s v="Smith-Reid"/>
    <s v="Optimized actuating toolset"/>
    <n v="4100"/>
    <n v="959"/>
    <n v="0.23390243902439026"/>
    <x v="0"/>
    <n v="15"/>
    <n v="63.93333333333333"/>
    <x v="4"/>
    <s v="GBP"/>
    <n v="1453615200"/>
    <n v="1456812000"/>
    <x v="248"/>
    <d v="2016-03-01T06:00:00"/>
    <x v="2"/>
  </r>
  <r>
    <n v="257"/>
    <s v="Williams Inc"/>
    <s v="Decentralized exuding strategy"/>
    <n v="5700"/>
    <n v="8322"/>
    <n v="1.46"/>
    <x v="1"/>
    <n v="92"/>
    <n v="90.456521739130437"/>
    <x v="1"/>
    <s v="USD"/>
    <n v="1362463200"/>
    <n v="1363669200"/>
    <x v="249"/>
    <d v="2013-03-19T05:00:00"/>
    <x v="1"/>
  </r>
  <r>
    <n v="258"/>
    <s v="Duncan, Mcdonald and Miller"/>
    <s v="Assimilated coherent hardware"/>
    <n v="5000"/>
    <n v="13424"/>
    <n v="2.6848000000000001"/>
    <x v="1"/>
    <n v="186"/>
    <n v="72.172043010752688"/>
    <x v="1"/>
    <s v="USD"/>
    <n v="1481176800"/>
    <n v="1482904800"/>
    <x v="250"/>
    <d v="2016-12-28T06:00:00"/>
    <x v="4"/>
  </r>
  <r>
    <n v="259"/>
    <s v="Watkins Ltd"/>
    <s v="Multi-channeled responsive implementation"/>
    <n v="1800"/>
    <n v="10755"/>
    <n v="5.9749999999999996"/>
    <x v="1"/>
    <n v="138"/>
    <n v="77.934782608695656"/>
    <x v="1"/>
    <s v="USD"/>
    <n v="1354946400"/>
    <n v="1356588000"/>
    <x v="251"/>
    <d v="2012-12-27T06:00:00"/>
    <x v="0"/>
  </r>
  <r>
    <n v="260"/>
    <s v="Allen-Jones"/>
    <s v="Centralized modular initiative"/>
    <n v="6300"/>
    <n v="9935"/>
    <n v="1.5769841269841269"/>
    <x v="1"/>
    <n v="261"/>
    <n v="38.065134099616856"/>
    <x v="1"/>
    <s v="USD"/>
    <n v="1348808400"/>
    <n v="1349845200"/>
    <x v="136"/>
    <d v="2012-10-10T05:00:00"/>
    <x v="6"/>
  </r>
  <r>
    <n v="261"/>
    <s v="Mason-Smith"/>
    <s v="Reverse-engineered cohesive migration"/>
    <n v="84300"/>
    <n v="26303"/>
    <n v="0.31201660735468567"/>
    <x v="0"/>
    <n v="454"/>
    <n v="57.936123348017624"/>
    <x v="1"/>
    <s v="USD"/>
    <n v="1282712400"/>
    <n v="1283058000"/>
    <x v="252"/>
    <d v="2010-08-29T05:00:00"/>
    <x v="3"/>
  </r>
  <r>
    <n v="262"/>
    <s v="Lloyd, Kennedy and Davis"/>
    <s v="Compatible multimedia hub"/>
    <n v="1700"/>
    <n v="5328"/>
    <n v="3.1341176470588237"/>
    <x v="1"/>
    <n v="107"/>
    <n v="49.794392523364486"/>
    <x v="1"/>
    <s v="USD"/>
    <n v="1301979600"/>
    <n v="1304226000"/>
    <x v="253"/>
    <d v="2011-05-01T05:00:00"/>
    <x v="1"/>
  </r>
  <r>
    <n v="263"/>
    <s v="Walker Ltd"/>
    <s v="Organic eco-centric success"/>
    <n v="2900"/>
    <n v="10756"/>
    <n v="3.7089655172413791"/>
    <x v="1"/>
    <n v="199"/>
    <n v="54.050251256281406"/>
    <x v="1"/>
    <s v="USD"/>
    <n v="1263016800"/>
    <n v="1263016800"/>
    <x v="254"/>
    <d v="2010-01-09T06:00:00"/>
    <x v="0"/>
  </r>
  <r>
    <n v="264"/>
    <s v="Gordon PLC"/>
    <s v="Virtual reciprocal policy"/>
    <n v="45600"/>
    <n v="165375"/>
    <n v="3.6266447368421053"/>
    <x v="1"/>
    <n v="5512"/>
    <n v="30.002721335268504"/>
    <x v="1"/>
    <s v="USD"/>
    <n v="1360648800"/>
    <n v="1362031200"/>
    <x v="255"/>
    <d v="2013-02-28T06:00:00"/>
    <x v="1"/>
  </r>
  <r>
    <n v="265"/>
    <s v="Lee and Sons"/>
    <s v="Persevering interactive emulation"/>
    <n v="4900"/>
    <n v="6031"/>
    <n v="1.2308163265306122"/>
    <x v="1"/>
    <n v="86"/>
    <n v="70.127906976744185"/>
    <x v="1"/>
    <s v="USD"/>
    <n v="1451800800"/>
    <n v="1455602400"/>
    <x v="256"/>
    <d v="2016-02-16T06:00:00"/>
    <x v="2"/>
  </r>
  <r>
    <n v="266"/>
    <s v="Cole LLC"/>
    <s v="Proactive responsive emulation"/>
    <n v="111900"/>
    <n v="85902"/>
    <n v="0.76766756032171579"/>
    <x v="0"/>
    <n v="3182"/>
    <n v="26.996228786926462"/>
    <x v="6"/>
    <s v="EUR"/>
    <n v="1415340000"/>
    <n v="1418191200"/>
    <x v="257"/>
    <d v="2014-12-10T06:00:00"/>
    <x v="6"/>
  </r>
  <r>
    <n v="267"/>
    <s v="Acosta PLC"/>
    <s v="Extended eco-centric function"/>
    <n v="61600"/>
    <n v="143910"/>
    <n v="2.3362012987012988"/>
    <x v="1"/>
    <n v="2768"/>
    <n v="51.990606936416185"/>
    <x v="2"/>
    <s v="AUD"/>
    <n v="1351054800"/>
    <n v="1352440800"/>
    <x v="258"/>
    <d v="2012-11-09T06:00:00"/>
    <x v="3"/>
  </r>
  <r>
    <n v="268"/>
    <s v="Brown-Mckee"/>
    <s v="Networked optimal productivity"/>
    <n v="1500"/>
    <n v="2708"/>
    <n v="1.8053333333333332"/>
    <x v="1"/>
    <n v="48"/>
    <n v="56.416666666666664"/>
    <x v="1"/>
    <s v="USD"/>
    <n v="1349326800"/>
    <n v="1353304800"/>
    <x v="259"/>
    <d v="2012-11-19T06:00:00"/>
    <x v="4"/>
  </r>
  <r>
    <n v="269"/>
    <s v="Miles and Sons"/>
    <s v="Persistent attitude-oriented approach"/>
    <n v="3500"/>
    <n v="8842"/>
    <n v="2.5262857142857142"/>
    <x v="1"/>
    <n v="87"/>
    <n v="101.63218390804597"/>
    <x v="1"/>
    <s v="USD"/>
    <n v="1548914400"/>
    <n v="1550728800"/>
    <x v="260"/>
    <d v="2019-02-21T06:00:00"/>
    <x v="4"/>
  </r>
  <r>
    <n v="270"/>
    <s v="Sawyer, Horton and Williams"/>
    <s v="Triple-buffered 4thgeneration toolset"/>
    <n v="173900"/>
    <n v="47260"/>
    <n v="0.27176538240368026"/>
    <x v="3"/>
    <n v="1890"/>
    <n v="25.005291005291006"/>
    <x v="1"/>
    <s v="USD"/>
    <n v="1291269600"/>
    <n v="1291442400"/>
    <x v="261"/>
    <d v="2010-12-04T06:00:00"/>
    <x v="4"/>
  </r>
  <r>
    <n v="271"/>
    <s v="Foley-Cox"/>
    <s v="Progressive zero administration leverage"/>
    <n v="153700"/>
    <n v="1953"/>
    <n v="1.2706571242680547E-2"/>
    <x v="2"/>
    <n v="61"/>
    <n v="32.016393442622949"/>
    <x v="1"/>
    <s v="USD"/>
    <n v="1449468000"/>
    <n v="1452146400"/>
    <x v="262"/>
    <d v="2016-01-07T06:00:00"/>
    <x v="5"/>
  </r>
  <r>
    <n v="272"/>
    <s v="Horton, Morrison and Clark"/>
    <s v="Networked radical neural-net"/>
    <n v="51100"/>
    <n v="155349"/>
    <n v="3.0400978473581213"/>
    <x v="1"/>
    <n v="1894"/>
    <n v="82.021647307286173"/>
    <x v="1"/>
    <s v="USD"/>
    <n v="1562734800"/>
    <n v="1564894800"/>
    <x v="263"/>
    <d v="2019-08-04T05:00:00"/>
    <x v="3"/>
  </r>
  <r>
    <n v="273"/>
    <s v="Thomas and Sons"/>
    <s v="Re-engineered heuristic forecast"/>
    <n v="7800"/>
    <n v="10704"/>
    <n v="1.3723076923076922"/>
    <x v="1"/>
    <n v="282"/>
    <n v="37.957446808510639"/>
    <x v="0"/>
    <s v="CAD"/>
    <n v="1505624400"/>
    <n v="1505883600"/>
    <x v="264"/>
    <d v="2017-09-20T05:00:00"/>
    <x v="2"/>
  </r>
  <r>
    <n v="274"/>
    <s v="Morgan-Jenkins"/>
    <s v="Fully-configurable background algorithm"/>
    <n v="2400"/>
    <n v="773"/>
    <n v="0.32208333333333333"/>
    <x v="0"/>
    <n v="15"/>
    <n v="51.533333333333331"/>
    <x v="1"/>
    <s v="USD"/>
    <n v="1509948000"/>
    <n v="1510380000"/>
    <x v="265"/>
    <d v="2017-11-11T06:00:00"/>
    <x v="5"/>
  </r>
  <r>
    <n v="275"/>
    <s v="Ward, Sanchez and Kemp"/>
    <s v="Stand-alone discrete Graphical User Interface"/>
    <n v="3900"/>
    <n v="9419"/>
    <n v="2.4151282051282053"/>
    <x v="1"/>
    <n v="116"/>
    <n v="81.198275862068968"/>
    <x v="1"/>
    <s v="USD"/>
    <n v="1554526800"/>
    <n v="1555218000"/>
    <x v="266"/>
    <d v="2019-04-14T05:00:00"/>
    <x v="0"/>
  </r>
  <r>
    <n v="276"/>
    <s v="Fields Ltd"/>
    <s v="Front-line foreground project"/>
    <n v="5500"/>
    <n v="5324"/>
    <n v="0.96799999999999997"/>
    <x v="0"/>
    <n v="133"/>
    <n v="40.030075187969928"/>
    <x v="1"/>
    <s v="USD"/>
    <n v="1334811600"/>
    <n v="1335243600"/>
    <x v="267"/>
    <d v="2012-04-24T05:00:00"/>
    <x v="4"/>
  </r>
  <r>
    <n v="277"/>
    <s v="Ramos-Mitchell"/>
    <s v="Persevering system-worthy info-mediaries"/>
    <n v="700"/>
    <n v="7465"/>
    <n v="10.664285714285715"/>
    <x v="1"/>
    <n v="83"/>
    <n v="89.939759036144579"/>
    <x v="1"/>
    <s v="USD"/>
    <n v="1279515600"/>
    <n v="1279688400"/>
    <x v="268"/>
    <d v="2010-07-21T05:00:00"/>
    <x v="5"/>
  </r>
  <r>
    <n v="278"/>
    <s v="Higgins, Davis and Salazar"/>
    <s v="Distributed multi-tasking strategy"/>
    <n v="2700"/>
    <n v="8799"/>
    <n v="3.2588888888888889"/>
    <x v="1"/>
    <n v="91"/>
    <n v="96.692307692307693"/>
    <x v="1"/>
    <s v="USD"/>
    <n v="1353909600"/>
    <n v="1356069600"/>
    <x v="269"/>
    <d v="2012-12-21T06:00:00"/>
    <x v="5"/>
  </r>
  <r>
    <n v="279"/>
    <s v="Smith-Jenkins"/>
    <s v="Vision-oriented methodical application"/>
    <n v="8000"/>
    <n v="13656"/>
    <n v="1.7070000000000001"/>
    <x v="1"/>
    <n v="546"/>
    <n v="25.010989010989011"/>
    <x v="1"/>
    <s v="USD"/>
    <n v="1535950800"/>
    <n v="1536210000"/>
    <x v="270"/>
    <d v="2018-09-06T05:00:00"/>
    <x v="5"/>
  </r>
  <r>
    <n v="280"/>
    <s v="Braun PLC"/>
    <s v="Function-based high-level infrastructure"/>
    <n v="2500"/>
    <n v="14536"/>
    <n v="5.8144"/>
    <x v="1"/>
    <n v="393"/>
    <n v="36.987277353689571"/>
    <x v="1"/>
    <s v="USD"/>
    <n v="1511244000"/>
    <n v="1511762400"/>
    <x v="271"/>
    <d v="2017-11-27T06:00:00"/>
    <x v="1"/>
  </r>
  <r>
    <n v="281"/>
    <s v="Drake PLC"/>
    <s v="Profound object-oriented paradigm"/>
    <n v="164500"/>
    <n v="150552"/>
    <n v="0.91520972644376897"/>
    <x v="0"/>
    <n v="2062"/>
    <n v="73.012609117361791"/>
    <x v="1"/>
    <s v="USD"/>
    <n v="1331445600"/>
    <n v="1333256400"/>
    <x v="272"/>
    <d v="2012-04-01T05:00:00"/>
    <x v="2"/>
  </r>
  <r>
    <n v="282"/>
    <s v="Ross, Kelly and Brown"/>
    <s v="Virtual contextually-based circuit"/>
    <n v="8400"/>
    <n v="9076"/>
    <n v="1.0804761904761904"/>
    <x v="1"/>
    <n v="133"/>
    <n v="68.240601503759393"/>
    <x v="1"/>
    <s v="USD"/>
    <n v="1480226400"/>
    <n v="1480744800"/>
    <x v="73"/>
    <d v="2016-12-03T06:00:00"/>
    <x v="2"/>
  </r>
  <r>
    <n v="283"/>
    <s v="Lucas-Mullins"/>
    <s v="Business-focused dynamic instruction set"/>
    <n v="8100"/>
    <n v="1517"/>
    <n v="0.18728395061728395"/>
    <x v="0"/>
    <n v="29"/>
    <n v="52.310344827586206"/>
    <x v="3"/>
    <s v="DKK"/>
    <n v="1464584400"/>
    <n v="1465016400"/>
    <x v="273"/>
    <d v="2016-06-04T05:00:00"/>
    <x v="5"/>
  </r>
  <r>
    <n v="284"/>
    <s v="Tran LLC"/>
    <s v="Ameliorated fresh-thinking protocol"/>
    <n v="9800"/>
    <n v="8153"/>
    <n v="0.83193877551020412"/>
    <x v="0"/>
    <n v="132"/>
    <n v="61.765151515151516"/>
    <x v="1"/>
    <s v="USD"/>
    <n v="1335848400"/>
    <n v="1336280400"/>
    <x v="274"/>
    <d v="2012-05-06T05:00:00"/>
    <x v="1"/>
  </r>
  <r>
    <n v="285"/>
    <s v="Dawson, Brady and Gilbert"/>
    <s v="Front-line optimizing emulation"/>
    <n v="900"/>
    <n v="6357"/>
    <n v="7.0633333333333335"/>
    <x v="1"/>
    <n v="254"/>
    <n v="25.027559055118111"/>
    <x v="1"/>
    <s v="USD"/>
    <n v="1473483600"/>
    <n v="1476766800"/>
    <x v="275"/>
    <d v="2016-10-18T05:00:00"/>
    <x v="0"/>
  </r>
  <r>
    <n v="286"/>
    <s v="Obrien-Aguirre"/>
    <s v="Devolved uniform complexity"/>
    <n v="112100"/>
    <n v="19557"/>
    <n v="0.17446030330062445"/>
    <x v="3"/>
    <n v="184"/>
    <n v="106.28804347826087"/>
    <x v="1"/>
    <s v="USD"/>
    <n v="1479880800"/>
    <n v="1480485600"/>
    <x v="276"/>
    <d v="2016-11-30T06:00:00"/>
    <x v="3"/>
  </r>
  <r>
    <n v="287"/>
    <s v="Ferguson PLC"/>
    <s v="Public-key intangible superstructure"/>
    <n v="6300"/>
    <n v="13213"/>
    <n v="2.0973015873015872"/>
    <x v="1"/>
    <n v="176"/>
    <n v="75.07386363636364"/>
    <x v="1"/>
    <s v="USD"/>
    <n v="1430197200"/>
    <n v="1430197200"/>
    <x v="277"/>
    <d v="2015-04-28T05:00:00"/>
    <x v="1"/>
  </r>
  <r>
    <n v="288"/>
    <s v="Garcia Ltd"/>
    <s v="Secured global success"/>
    <n v="5600"/>
    <n v="5476"/>
    <n v="0.97785714285714287"/>
    <x v="0"/>
    <n v="137"/>
    <n v="39.970802919708028"/>
    <x v="3"/>
    <s v="DKK"/>
    <n v="1331701200"/>
    <n v="1331787600"/>
    <x v="278"/>
    <d v="2012-03-15T05:00:00"/>
    <x v="3"/>
  </r>
  <r>
    <n v="289"/>
    <s v="Smith, Love and Smith"/>
    <s v="Grass-roots mission-critical capability"/>
    <n v="800"/>
    <n v="13474"/>
    <n v="16.842500000000001"/>
    <x v="1"/>
    <n v="337"/>
    <n v="39.982195845697326"/>
    <x v="0"/>
    <s v="CAD"/>
    <n v="1438578000"/>
    <n v="1438837200"/>
    <x v="279"/>
    <d v="2015-08-06T05:00:00"/>
    <x v="5"/>
  </r>
  <r>
    <n v="290"/>
    <s v="Wilson, Hall and Osborne"/>
    <s v="Advanced global data-warehouse"/>
    <n v="168600"/>
    <n v="91722"/>
    <n v="0.54402135231316728"/>
    <x v="0"/>
    <n v="908"/>
    <n v="101.01541850220265"/>
    <x v="1"/>
    <s v="USD"/>
    <n v="1368162000"/>
    <n v="1370926800"/>
    <x v="280"/>
    <d v="2013-06-11T05:00:00"/>
    <x v="6"/>
  </r>
  <r>
    <n v="291"/>
    <s v="Bell, Grimes and Kerr"/>
    <s v="Self-enabling uniform complexity"/>
    <n v="1800"/>
    <n v="8219"/>
    <n v="4.5661111111111108"/>
    <x v="1"/>
    <n v="107"/>
    <n v="76.813084112149539"/>
    <x v="1"/>
    <s v="USD"/>
    <n v="1318654800"/>
    <n v="1319000400"/>
    <x v="281"/>
    <d v="2011-10-19T05:00:00"/>
    <x v="0"/>
  </r>
  <r>
    <n v="292"/>
    <s v="Ho-Harris"/>
    <s v="Versatile cohesive encoding"/>
    <n v="7300"/>
    <n v="717"/>
    <n v="9.8219178082191785E-2"/>
    <x v="0"/>
    <n v="10"/>
    <n v="71.7"/>
    <x v="1"/>
    <s v="USD"/>
    <n v="1331874000"/>
    <n v="1333429200"/>
    <x v="282"/>
    <d v="2012-04-03T05:00:00"/>
    <x v="6"/>
  </r>
  <r>
    <n v="293"/>
    <s v="Ross Group"/>
    <s v="Organized executive solution"/>
    <n v="6500"/>
    <n v="1065"/>
    <n v="0.16384615384615384"/>
    <x v="3"/>
    <n v="32"/>
    <n v="33.28125"/>
    <x v="6"/>
    <s v="EUR"/>
    <n v="1286254800"/>
    <n v="1287032400"/>
    <x v="283"/>
    <d v="2010-10-14T05:00:00"/>
    <x v="1"/>
  </r>
  <r>
    <n v="294"/>
    <s v="Turner-Davis"/>
    <s v="Automated local emulation"/>
    <n v="600"/>
    <n v="8038"/>
    <n v="13.396666666666667"/>
    <x v="1"/>
    <n v="183"/>
    <n v="43.923497267759565"/>
    <x v="1"/>
    <s v="USD"/>
    <n v="1540530000"/>
    <n v="1541570400"/>
    <x v="284"/>
    <d v="2018-11-07T06:00:00"/>
    <x v="6"/>
  </r>
  <r>
    <n v="295"/>
    <s v="Smith, Jackson and Herrera"/>
    <s v="Enterprise-wide intermediate middleware"/>
    <n v="192900"/>
    <n v="68769"/>
    <n v="0.35650077760497667"/>
    <x v="0"/>
    <n v="1910"/>
    <n v="36.004712041884815"/>
    <x v="5"/>
    <s v="CHF"/>
    <n v="1381813200"/>
    <n v="1383976800"/>
    <x v="285"/>
    <d v="2013-11-09T06:00:00"/>
    <x v="1"/>
  </r>
  <r>
    <n v="296"/>
    <s v="Smith-Hess"/>
    <s v="Grass-roots real-time Local Area Network"/>
    <n v="6100"/>
    <n v="3352"/>
    <n v="0.54950819672131146"/>
    <x v="0"/>
    <n v="38"/>
    <n v="88.21052631578948"/>
    <x v="2"/>
    <s v="AUD"/>
    <n v="1548655200"/>
    <n v="1550556000"/>
    <x v="286"/>
    <d v="2019-02-19T06:00:00"/>
    <x v="5"/>
  </r>
  <r>
    <n v="297"/>
    <s v="Brown, Herring and Bass"/>
    <s v="Organized client-driven capacity"/>
    <n v="7200"/>
    <n v="6785"/>
    <n v="0.94236111111111109"/>
    <x v="0"/>
    <n v="104"/>
    <n v="65.240384615384613"/>
    <x v="2"/>
    <s v="AUD"/>
    <n v="1389679200"/>
    <n v="1390456800"/>
    <x v="287"/>
    <d v="2014-01-23T06:00:00"/>
    <x v="1"/>
  </r>
  <r>
    <n v="298"/>
    <s v="Chase, Garcia and Johnson"/>
    <s v="Adaptive intangible database"/>
    <n v="3500"/>
    <n v="5037"/>
    <n v="1.4391428571428571"/>
    <x v="1"/>
    <n v="72"/>
    <n v="69.958333333333329"/>
    <x v="1"/>
    <s v="USD"/>
    <n v="1456466400"/>
    <n v="1458018000"/>
    <x v="288"/>
    <d v="2016-03-15T05:00:00"/>
    <x v="6"/>
  </r>
  <r>
    <n v="299"/>
    <s v="Ramsey and Sons"/>
    <s v="Grass-roots contextually-based algorithm"/>
    <n v="3800"/>
    <n v="1954"/>
    <n v="0.51421052631578945"/>
    <x v="0"/>
    <n v="49"/>
    <n v="39.877551020408163"/>
    <x v="1"/>
    <s v="USD"/>
    <n v="1456984800"/>
    <n v="1461819600"/>
    <x v="289"/>
    <d v="2016-04-28T05:00:00"/>
    <x v="4"/>
  </r>
  <r>
    <n v="300"/>
    <s v="Cooke PLC"/>
    <s v="Focused executive core"/>
    <n v="100"/>
    <n v="5"/>
    <n v="0.05"/>
    <x v="0"/>
    <n v="1"/>
    <n v="5"/>
    <x v="3"/>
    <s v="DKK"/>
    <n v="1504069200"/>
    <n v="1504155600"/>
    <x v="290"/>
    <d v="2017-08-31T05:00:00"/>
    <x v="3"/>
  </r>
  <r>
    <n v="301"/>
    <s v="Wong-Walker"/>
    <s v="Multi-channeled disintermediate policy"/>
    <n v="900"/>
    <n v="12102"/>
    <n v="13.446666666666667"/>
    <x v="1"/>
    <n v="295"/>
    <n v="41.023728813559323"/>
    <x v="1"/>
    <s v="USD"/>
    <n v="1424930400"/>
    <n v="1426395600"/>
    <x v="291"/>
    <d v="2015-03-15T05:00:00"/>
    <x v="4"/>
  </r>
  <r>
    <n v="302"/>
    <s v="Ferguson, Collins and Mata"/>
    <s v="Customizable bi-directional hardware"/>
    <n v="76100"/>
    <n v="24234"/>
    <n v="0.31844940867279897"/>
    <x v="0"/>
    <n v="245"/>
    <n v="98.914285714285711"/>
    <x v="1"/>
    <s v="USD"/>
    <n v="1535864400"/>
    <n v="1537074000"/>
    <x v="292"/>
    <d v="2018-09-16T05:00:00"/>
    <x v="2"/>
  </r>
  <r>
    <n v="303"/>
    <s v="Guerrero, Flores and Jenkins"/>
    <s v="Networked optimal architecture"/>
    <n v="3400"/>
    <n v="2809"/>
    <n v="0.82617647058823529"/>
    <x v="0"/>
    <n v="32"/>
    <n v="87.78125"/>
    <x v="1"/>
    <s v="USD"/>
    <n v="1452146400"/>
    <n v="1452578400"/>
    <x v="293"/>
    <d v="2016-01-12T06:00:00"/>
    <x v="4"/>
  </r>
  <r>
    <n v="304"/>
    <s v="Peterson PLC"/>
    <s v="User-friendly discrete benchmark"/>
    <n v="2100"/>
    <n v="11469"/>
    <n v="5.4614285714285717"/>
    <x v="1"/>
    <n v="142"/>
    <n v="80.767605633802816"/>
    <x v="1"/>
    <s v="USD"/>
    <n v="1470546000"/>
    <n v="1474088400"/>
    <x v="294"/>
    <d v="2016-09-17T05:00:00"/>
    <x v="2"/>
  </r>
  <r>
    <n v="305"/>
    <s v="Townsend Ltd"/>
    <s v="Grass-roots actuating policy"/>
    <n v="2800"/>
    <n v="8014"/>
    <n v="2.8621428571428571"/>
    <x v="1"/>
    <n v="85"/>
    <n v="94.28235294117647"/>
    <x v="1"/>
    <s v="USD"/>
    <n v="1458363600"/>
    <n v="1461906000"/>
    <x v="295"/>
    <d v="2016-04-29T05:00:00"/>
    <x v="0"/>
  </r>
  <r>
    <n v="306"/>
    <s v="Rush, Reed and Hall"/>
    <s v="Enterprise-wide 3rdgeneration knowledge user"/>
    <n v="6500"/>
    <n v="514"/>
    <n v="7.9076923076923072E-2"/>
    <x v="0"/>
    <n v="7"/>
    <n v="73.428571428571431"/>
    <x v="1"/>
    <s v="USD"/>
    <n v="1500008400"/>
    <n v="1500267600"/>
    <x v="296"/>
    <d v="2017-07-17T05:00:00"/>
    <x v="6"/>
  </r>
  <r>
    <n v="307"/>
    <s v="Salazar-Dodson"/>
    <s v="Face-to-face zero tolerance moderator"/>
    <n v="32900"/>
    <n v="43473"/>
    <n v="1.3213677811550153"/>
    <x v="1"/>
    <n v="659"/>
    <n v="65.968133535660087"/>
    <x v="3"/>
    <s v="DKK"/>
    <n v="1338958800"/>
    <n v="1340686800"/>
    <x v="297"/>
    <d v="2012-06-26T05:00:00"/>
    <x v="3"/>
  </r>
  <r>
    <n v="308"/>
    <s v="Davis Ltd"/>
    <s v="Grass-roots optimizing projection"/>
    <n v="118200"/>
    <n v="87560"/>
    <n v="0.74077834179357027"/>
    <x v="0"/>
    <n v="803"/>
    <n v="109.04109589041096"/>
    <x v="1"/>
    <s v="USD"/>
    <n v="1303102800"/>
    <n v="1303189200"/>
    <x v="298"/>
    <d v="2011-04-19T05:00:00"/>
    <x v="5"/>
  </r>
  <r>
    <n v="309"/>
    <s v="Harris-Perry"/>
    <s v="User-centric 6thgeneration attitude"/>
    <n v="4100"/>
    <n v="3087"/>
    <n v="0.75292682926829269"/>
    <x v="3"/>
    <n v="75"/>
    <n v="41.16"/>
    <x v="1"/>
    <s v="USD"/>
    <n v="1316581200"/>
    <n v="1318309200"/>
    <x v="299"/>
    <d v="2011-10-11T05:00:00"/>
    <x v="3"/>
  </r>
  <r>
    <n v="310"/>
    <s v="Velazquez, Hunt and Ortiz"/>
    <s v="Switchable zero tolerance website"/>
    <n v="7800"/>
    <n v="1586"/>
    <n v="0.20333333333333334"/>
    <x v="0"/>
    <n v="16"/>
    <n v="99.125"/>
    <x v="1"/>
    <s v="USD"/>
    <n v="1270789200"/>
    <n v="1272171600"/>
    <x v="300"/>
    <d v="2010-04-25T05:00:00"/>
    <x v="6"/>
  </r>
  <r>
    <n v="311"/>
    <s v="Flores PLC"/>
    <s v="Focused real-time help-desk"/>
    <n v="6300"/>
    <n v="12812"/>
    <n v="2.0336507936507937"/>
    <x v="1"/>
    <n v="121"/>
    <n v="105.88429752066116"/>
    <x v="1"/>
    <s v="USD"/>
    <n v="1297836000"/>
    <n v="1298872800"/>
    <x v="247"/>
    <d v="2011-02-28T06:00:00"/>
    <x v="3"/>
  </r>
  <r>
    <n v="312"/>
    <s v="Martinez LLC"/>
    <s v="Robust impactful approach"/>
    <n v="59100"/>
    <n v="183345"/>
    <n v="3.1022842639593908"/>
    <x v="1"/>
    <n v="3742"/>
    <n v="48.996525921966864"/>
    <x v="1"/>
    <s v="USD"/>
    <n v="1382677200"/>
    <n v="1383282000"/>
    <x v="244"/>
    <d v="2013-11-01T05:00:00"/>
    <x v="6"/>
  </r>
  <r>
    <n v="313"/>
    <s v="Miller-Irwin"/>
    <s v="Secured maximized policy"/>
    <n v="2200"/>
    <n v="8697"/>
    <n v="3.9531818181818181"/>
    <x v="1"/>
    <n v="223"/>
    <n v="39"/>
    <x v="1"/>
    <s v="USD"/>
    <n v="1330322400"/>
    <n v="1330495200"/>
    <x v="301"/>
    <d v="2012-02-29T06:00:00"/>
    <x v="5"/>
  </r>
  <r>
    <n v="314"/>
    <s v="Sanchez-Morgan"/>
    <s v="Realigned upward-trending strategy"/>
    <n v="1400"/>
    <n v="4126"/>
    <n v="2.9471428571428571"/>
    <x v="1"/>
    <n v="133"/>
    <n v="31.022556390977442"/>
    <x v="1"/>
    <s v="USD"/>
    <n v="1552366800"/>
    <n v="1552798800"/>
    <x v="188"/>
    <d v="2019-03-17T05:00:00"/>
    <x v="1"/>
  </r>
  <r>
    <n v="315"/>
    <s v="Lopez, Adams and Johnson"/>
    <s v="Open-source interactive knowledge user"/>
    <n v="9500"/>
    <n v="3220"/>
    <n v="0.33894736842105261"/>
    <x v="0"/>
    <n v="31"/>
    <n v="103.87096774193549"/>
    <x v="1"/>
    <s v="USD"/>
    <n v="1400907600"/>
    <n v="1403413200"/>
    <x v="302"/>
    <d v="2014-06-22T05:00:00"/>
    <x v="0"/>
  </r>
  <r>
    <n v="316"/>
    <s v="Martin-Marshall"/>
    <s v="Configurable demand-driven matrix"/>
    <n v="9600"/>
    <n v="6401"/>
    <n v="0.66677083333333331"/>
    <x v="0"/>
    <n v="108"/>
    <n v="59.268518518518519"/>
    <x v="6"/>
    <s v="EUR"/>
    <n v="1574143200"/>
    <n v="1574229600"/>
    <x v="303"/>
    <d v="2019-11-20T06:00:00"/>
    <x v="1"/>
  </r>
  <r>
    <n v="317"/>
    <s v="Summers PLC"/>
    <s v="Cross-group coherent hierarchy"/>
    <n v="6600"/>
    <n v="1269"/>
    <n v="0.19227272727272726"/>
    <x v="0"/>
    <n v="30"/>
    <n v="42.3"/>
    <x v="1"/>
    <s v="USD"/>
    <n v="1494738000"/>
    <n v="1495861200"/>
    <x v="304"/>
    <d v="2017-05-27T05:00:00"/>
    <x v="2"/>
  </r>
  <r>
    <n v="318"/>
    <s v="Young, Hart and Ryan"/>
    <s v="Decentralized demand-driven open system"/>
    <n v="5700"/>
    <n v="903"/>
    <n v="0.15842105263157893"/>
    <x v="0"/>
    <n v="17"/>
    <n v="53.117647058823529"/>
    <x v="1"/>
    <s v="USD"/>
    <n v="1392357600"/>
    <n v="1392530400"/>
    <x v="305"/>
    <d v="2014-02-16T06:00:00"/>
    <x v="6"/>
  </r>
  <r>
    <n v="319"/>
    <s v="Mills Group"/>
    <s v="Advanced empowering matrix"/>
    <n v="8400"/>
    <n v="3251"/>
    <n v="0.38702380952380955"/>
    <x v="3"/>
    <n v="64"/>
    <n v="50.796875"/>
    <x v="1"/>
    <s v="USD"/>
    <n v="1281589200"/>
    <n v="1283662800"/>
    <x v="306"/>
    <d v="2010-09-05T05:00:00"/>
    <x v="4"/>
  </r>
  <r>
    <n v="320"/>
    <s v="Sandoval-Powell"/>
    <s v="Phased holistic implementation"/>
    <n v="84400"/>
    <n v="8092"/>
    <n v="9.5876777251184833E-2"/>
    <x v="0"/>
    <n v="80"/>
    <n v="101.15"/>
    <x v="1"/>
    <s v="USD"/>
    <n v="1305003600"/>
    <n v="1305781200"/>
    <x v="307"/>
    <d v="2011-05-19T05:00:00"/>
    <x v="1"/>
  </r>
  <r>
    <n v="321"/>
    <s v="Mills, Frazier and Perez"/>
    <s v="Proactive attitude-oriented knowledge user"/>
    <n v="170400"/>
    <n v="160422"/>
    <n v="0.94144366197183094"/>
    <x v="0"/>
    <n v="2468"/>
    <n v="65.000810372771468"/>
    <x v="1"/>
    <s v="USD"/>
    <n v="1301634000"/>
    <n v="1302325200"/>
    <x v="308"/>
    <d v="2011-04-09T05:00:00"/>
    <x v="6"/>
  </r>
  <r>
    <n v="322"/>
    <s v="Hebert Group"/>
    <s v="Visionary asymmetric Graphical User Interface"/>
    <n v="117900"/>
    <n v="196377"/>
    <n v="1.6656234096692113"/>
    <x v="1"/>
    <n v="5168"/>
    <n v="37.998645510835914"/>
    <x v="1"/>
    <s v="USD"/>
    <n v="1290664800"/>
    <n v="1291788000"/>
    <x v="309"/>
    <d v="2010-12-08T06:00:00"/>
    <x v="4"/>
  </r>
  <r>
    <n v="323"/>
    <s v="Cole, Smith and Wood"/>
    <s v="Integrated zero-defect help-desk"/>
    <n v="8900"/>
    <n v="2148"/>
    <n v="0.24134831460674158"/>
    <x v="0"/>
    <n v="26"/>
    <n v="82.615384615384613"/>
    <x v="4"/>
    <s v="GBP"/>
    <n v="1395896400"/>
    <n v="1396069200"/>
    <x v="310"/>
    <d v="2014-03-29T05:00:00"/>
    <x v="4"/>
  </r>
  <r>
    <n v="324"/>
    <s v="Harris, Hall and Harris"/>
    <s v="Inverse analyzing matrices"/>
    <n v="7100"/>
    <n v="11648"/>
    <n v="1.6405633802816901"/>
    <x v="1"/>
    <n v="307"/>
    <n v="37.941368078175898"/>
    <x v="1"/>
    <s v="USD"/>
    <n v="1434862800"/>
    <n v="1435899600"/>
    <x v="311"/>
    <d v="2015-07-03T05:00:00"/>
    <x v="2"/>
  </r>
  <r>
    <n v="325"/>
    <s v="Saunders Group"/>
    <s v="Programmable systemic implementation"/>
    <n v="6500"/>
    <n v="5897"/>
    <n v="0.90723076923076929"/>
    <x v="0"/>
    <n v="73"/>
    <n v="80.780821917808225"/>
    <x v="1"/>
    <s v="USD"/>
    <n v="1529125200"/>
    <n v="1531112400"/>
    <x v="79"/>
    <d v="2018-07-09T05:00:00"/>
    <x v="0"/>
  </r>
  <r>
    <n v="326"/>
    <s v="Pham, Avila and Nash"/>
    <s v="Multi-channeled next generation architecture"/>
    <n v="7200"/>
    <n v="3326"/>
    <n v="0.46194444444444444"/>
    <x v="0"/>
    <n v="128"/>
    <n v="25.984375"/>
    <x v="1"/>
    <s v="USD"/>
    <n v="1451109600"/>
    <n v="1451628000"/>
    <x v="312"/>
    <d v="2016-01-01T06:00:00"/>
    <x v="0"/>
  </r>
  <r>
    <n v="327"/>
    <s v="Patterson, Salinas and Lucas"/>
    <s v="Digitized 3rdgeneration encoding"/>
    <n v="2600"/>
    <n v="1002"/>
    <n v="0.38538461538461538"/>
    <x v="0"/>
    <n v="33"/>
    <n v="30.363636363636363"/>
    <x v="1"/>
    <s v="USD"/>
    <n v="1566968400"/>
    <n v="1567314000"/>
    <x v="313"/>
    <d v="2019-09-01T05:00:00"/>
    <x v="3"/>
  </r>
  <r>
    <n v="328"/>
    <s v="Young PLC"/>
    <s v="Innovative well-modulated functionalities"/>
    <n v="98700"/>
    <n v="131826"/>
    <n v="1.3356231003039514"/>
    <x v="1"/>
    <n v="2441"/>
    <n v="54.004916018025398"/>
    <x v="1"/>
    <s v="USD"/>
    <n v="1543557600"/>
    <n v="1544508000"/>
    <x v="314"/>
    <d v="2018-12-11T06:00:00"/>
    <x v="6"/>
  </r>
  <r>
    <n v="329"/>
    <s v="Willis and Sons"/>
    <s v="Fundamental incremental database"/>
    <n v="93800"/>
    <n v="21477"/>
    <n v="0.22896588486140726"/>
    <x v="2"/>
    <n v="211"/>
    <n v="101.78672985781991"/>
    <x v="1"/>
    <s v="USD"/>
    <n v="1481522400"/>
    <n v="1482472800"/>
    <x v="315"/>
    <d v="2016-12-23T06:00:00"/>
    <x v="5"/>
  </r>
  <r>
    <n v="330"/>
    <s v="Thompson-Bates"/>
    <s v="Expanded encompassing open architecture"/>
    <n v="33700"/>
    <n v="62330"/>
    <n v="1.8495548961424333"/>
    <x v="1"/>
    <n v="1385"/>
    <n v="45.003610108303249"/>
    <x v="4"/>
    <s v="GBP"/>
    <n v="1512712800"/>
    <n v="1512799200"/>
    <x v="316"/>
    <d v="2017-12-09T06:00:00"/>
    <x v="6"/>
  </r>
  <r>
    <n v="331"/>
    <s v="Rose-Silva"/>
    <s v="Intuitive static portal"/>
    <n v="3300"/>
    <n v="14643"/>
    <n v="4.4372727272727275"/>
    <x v="1"/>
    <n v="190"/>
    <n v="77.068421052631578"/>
    <x v="1"/>
    <s v="USD"/>
    <n v="1324274400"/>
    <n v="1324360800"/>
    <x v="317"/>
    <d v="2011-12-20T06:00:00"/>
    <x v="5"/>
  </r>
  <r>
    <n v="332"/>
    <s v="Pacheco, Johnson and Torres"/>
    <s v="Optional bandwidth-monitored definition"/>
    <n v="20700"/>
    <n v="41396"/>
    <n v="1.999806763285024"/>
    <x v="1"/>
    <n v="470"/>
    <n v="88.076595744680844"/>
    <x v="1"/>
    <s v="USD"/>
    <n v="1364446800"/>
    <n v="1364533200"/>
    <x v="318"/>
    <d v="2013-03-29T05:00:00"/>
    <x v="4"/>
  </r>
  <r>
    <n v="333"/>
    <s v="Carlson, Dixon and Jones"/>
    <s v="Persistent well-modulated synergy"/>
    <n v="9600"/>
    <n v="11900"/>
    <n v="1.2395833333333333"/>
    <x v="1"/>
    <n v="253"/>
    <n v="47.035573122529641"/>
    <x v="1"/>
    <s v="USD"/>
    <n v="1542693600"/>
    <n v="1545112800"/>
    <x v="319"/>
    <d v="2018-12-18T06:00:00"/>
    <x v="1"/>
  </r>
  <r>
    <n v="334"/>
    <s v="Mcgee Group"/>
    <s v="Assimilated discrete algorithm"/>
    <n v="66200"/>
    <n v="123538"/>
    <n v="1.8661329305135952"/>
    <x v="1"/>
    <n v="1113"/>
    <n v="110.99550763701707"/>
    <x v="1"/>
    <s v="USD"/>
    <n v="1515564000"/>
    <n v="1516168800"/>
    <x v="32"/>
    <d v="2018-01-17T06:00:00"/>
    <x v="3"/>
  </r>
  <r>
    <n v="335"/>
    <s v="Jordan-Acosta"/>
    <s v="Operative uniform hub"/>
    <n v="173800"/>
    <n v="198628"/>
    <n v="1.1428538550057536"/>
    <x v="1"/>
    <n v="2283"/>
    <n v="87.003066141042481"/>
    <x v="1"/>
    <s v="USD"/>
    <n v="1573797600"/>
    <n v="1574920800"/>
    <x v="320"/>
    <d v="2019-11-28T06:00:00"/>
    <x v="6"/>
  </r>
  <r>
    <n v="336"/>
    <s v="Nunez Inc"/>
    <s v="Customizable intangible capability"/>
    <n v="70700"/>
    <n v="68602"/>
    <n v="0.97032531824611035"/>
    <x v="0"/>
    <n v="1072"/>
    <n v="63.994402985074629"/>
    <x v="1"/>
    <s v="USD"/>
    <n v="1292392800"/>
    <n v="1292479200"/>
    <x v="321"/>
    <d v="2010-12-16T06:00:00"/>
    <x v="3"/>
  </r>
  <r>
    <n v="337"/>
    <s v="Hayden Ltd"/>
    <s v="Innovative didactic analyzer"/>
    <n v="94500"/>
    <n v="116064"/>
    <n v="1.2281904761904763"/>
    <x v="1"/>
    <n v="1095"/>
    <n v="105.9945205479452"/>
    <x v="1"/>
    <s v="USD"/>
    <n v="1573452000"/>
    <n v="1573538400"/>
    <x v="322"/>
    <d v="2019-11-12T06:00:00"/>
    <x v="5"/>
  </r>
  <r>
    <n v="338"/>
    <s v="Gonzalez-Burton"/>
    <s v="Decentralized intangible encoding"/>
    <n v="69800"/>
    <n v="125042"/>
    <n v="1.7914326647564469"/>
    <x v="1"/>
    <n v="1690"/>
    <n v="73.989349112426041"/>
    <x v="1"/>
    <s v="USD"/>
    <n v="1317790800"/>
    <n v="1320382800"/>
    <x v="323"/>
    <d v="2011-11-04T05:00:00"/>
    <x v="3"/>
  </r>
  <r>
    <n v="339"/>
    <s v="Lewis, Taylor and Rivers"/>
    <s v="Front-line transitional algorithm"/>
    <n v="136300"/>
    <n v="108974"/>
    <n v="0.79951577402787966"/>
    <x v="3"/>
    <n v="1297"/>
    <n v="84.02004626060139"/>
    <x v="0"/>
    <s v="CAD"/>
    <n v="1501650000"/>
    <n v="1502859600"/>
    <x v="324"/>
    <d v="2017-08-16T05:00:00"/>
    <x v="3"/>
  </r>
  <r>
    <n v="340"/>
    <s v="Butler, Henry and Espinoza"/>
    <s v="Switchable didactic matrices"/>
    <n v="37100"/>
    <n v="34964"/>
    <n v="0.94242587601078165"/>
    <x v="0"/>
    <n v="393"/>
    <n v="88.966921119592882"/>
    <x v="1"/>
    <s v="USD"/>
    <n v="1323669600"/>
    <n v="1323756000"/>
    <x v="325"/>
    <d v="2011-12-13T06:00:00"/>
    <x v="5"/>
  </r>
  <r>
    <n v="341"/>
    <s v="Guzman Group"/>
    <s v="Ameliorated disintermediate utilization"/>
    <n v="114300"/>
    <n v="96777"/>
    <n v="0.84669291338582675"/>
    <x v="0"/>
    <n v="1257"/>
    <n v="76.990453460620529"/>
    <x v="1"/>
    <s v="USD"/>
    <n v="1440738000"/>
    <n v="1441342800"/>
    <x v="326"/>
    <d v="2015-09-04T05:00:00"/>
    <x v="6"/>
  </r>
  <r>
    <n v="342"/>
    <s v="Gibson-Hernandez"/>
    <s v="Visionary foreground middleware"/>
    <n v="47900"/>
    <n v="31864"/>
    <n v="0.66521920668058454"/>
    <x v="0"/>
    <n v="328"/>
    <n v="97.146341463414629"/>
    <x v="1"/>
    <s v="USD"/>
    <n v="1374296400"/>
    <n v="1375333200"/>
    <x v="327"/>
    <d v="2013-08-01T05:00:00"/>
    <x v="0"/>
  </r>
  <r>
    <n v="343"/>
    <s v="Spencer-Weber"/>
    <s v="Optional zero-defect task-force"/>
    <n v="9000"/>
    <n v="4853"/>
    <n v="0.53922222222222227"/>
    <x v="0"/>
    <n v="147"/>
    <n v="33.013605442176868"/>
    <x v="1"/>
    <s v="USD"/>
    <n v="1384840800"/>
    <n v="1389420000"/>
    <x v="328"/>
    <d v="2014-01-11T06:00:00"/>
    <x v="1"/>
  </r>
  <r>
    <n v="344"/>
    <s v="Berger, Johnson and Marshall"/>
    <s v="Devolved exuding emulation"/>
    <n v="197600"/>
    <n v="82959"/>
    <n v="0.41983299595141699"/>
    <x v="0"/>
    <n v="830"/>
    <n v="99.950602409638549"/>
    <x v="1"/>
    <s v="USD"/>
    <n v="1516600800"/>
    <n v="1520056800"/>
    <x v="329"/>
    <d v="2018-03-03T06:00:00"/>
    <x v="5"/>
  </r>
  <r>
    <n v="345"/>
    <s v="Taylor, Cisneros and Romero"/>
    <s v="Open-source neutral task-force"/>
    <n v="157600"/>
    <n v="23159"/>
    <n v="0.14694796954314721"/>
    <x v="0"/>
    <n v="331"/>
    <n v="69.966767371601208"/>
    <x v="4"/>
    <s v="GBP"/>
    <n v="1436418000"/>
    <n v="1436504400"/>
    <x v="330"/>
    <d v="2015-07-10T05:00:00"/>
    <x v="4"/>
  </r>
  <r>
    <n v="346"/>
    <s v="Little-Marsh"/>
    <s v="Virtual attitude-oriented migration"/>
    <n v="8000"/>
    <n v="2758"/>
    <n v="0.34475"/>
    <x v="0"/>
    <n v="25"/>
    <n v="110.32"/>
    <x v="1"/>
    <s v="USD"/>
    <n v="1503550800"/>
    <n v="1508302800"/>
    <x v="331"/>
    <d v="2017-10-18T05:00:00"/>
    <x v="4"/>
  </r>
  <r>
    <n v="347"/>
    <s v="Petersen and Sons"/>
    <s v="Open-source full-range portal"/>
    <n v="900"/>
    <n v="12607"/>
    <n v="14.007777777777777"/>
    <x v="1"/>
    <n v="191"/>
    <n v="66.005235602094245"/>
    <x v="1"/>
    <s v="USD"/>
    <n v="1423634400"/>
    <n v="1425708000"/>
    <x v="332"/>
    <d v="2015-03-07T06:00:00"/>
    <x v="3"/>
  </r>
  <r>
    <n v="348"/>
    <s v="Hensley Ltd"/>
    <s v="Versatile cohesive open system"/>
    <n v="199000"/>
    <n v="142823"/>
    <n v="0.71770351758793971"/>
    <x v="0"/>
    <n v="3483"/>
    <n v="41.005742176284812"/>
    <x v="1"/>
    <s v="USD"/>
    <n v="1487224800"/>
    <n v="1488348000"/>
    <x v="333"/>
    <d v="2017-03-01T06:00:00"/>
    <x v="4"/>
  </r>
  <r>
    <n v="349"/>
    <s v="Navarro and Sons"/>
    <s v="Multi-layered bottom-line frame"/>
    <n v="180800"/>
    <n v="95958"/>
    <n v="0.53074115044247783"/>
    <x v="0"/>
    <n v="923"/>
    <n v="103.96316359696641"/>
    <x v="1"/>
    <s v="USD"/>
    <n v="1500008400"/>
    <n v="1502600400"/>
    <x v="296"/>
    <d v="2017-08-13T05:00:00"/>
    <x v="6"/>
  </r>
  <r>
    <n v="350"/>
    <s v="Shannon Ltd"/>
    <s v="Pre-emptive neutral capacity"/>
    <n v="100"/>
    <n v="5"/>
    <n v="0.05"/>
    <x v="0"/>
    <n v="1"/>
    <n v="5"/>
    <x v="1"/>
    <s v="USD"/>
    <n v="1432098000"/>
    <n v="1433653200"/>
    <x v="334"/>
    <d v="2015-06-07T05:00:00"/>
    <x v="3"/>
  </r>
  <r>
    <n v="351"/>
    <s v="Young LLC"/>
    <s v="Universal maximized methodology"/>
    <n v="74100"/>
    <n v="94631"/>
    <n v="1.2770715249662619"/>
    <x v="1"/>
    <n v="2013"/>
    <n v="47.009935419771487"/>
    <x v="1"/>
    <s v="USD"/>
    <n v="1440392400"/>
    <n v="1441602000"/>
    <x v="335"/>
    <d v="2015-09-07T05:00:00"/>
    <x v="5"/>
  </r>
  <r>
    <n v="352"/>
    <s v="Adams, Willis and Sanchez"/>
    <s v="Expanded hybrid hardware"/>
    <n v="2800"/>
    <n v="977"/>
    <n v="0.34892857142857142"/>
    <x v="0"/>
    <n v="33"/>
    <n v="29.606060606060606"/>
    <x v="0"/>
    <s v="CAD"/>
    <n v="1446876000"/>
    <n v="1447567200"/>
    <x v="336"/>
    <d v="2015-11-15T06:00:00"/>
    <x v="0"/>
  </r>
  <r>
    <n v="353"/>
    <s v="Mills-Roy"/>
    <s v="Profit-focused multi-tasking access"/>
    <n v="33600"/>
    <n v="137961"/>
    <n v="4.105982142857143"/>
    <x v="1"/>
    <n v="1703"/>
    <n v="81.010569583088667"/>
    <x v="1"/>
    <s v="USD"/>
    <n v="1562302800"/>
    <n v="1562389200"/>
    <x v="337"/>
    <d v="2019-07-06T05:00:00"/>
    <x v="6"/>
  </r>
  <r>
    <n v="354"/>
    <s v="Brown Group"/>
    <s v="Profit-focused transitional capability"/>
    <n v="6100"/>
    <n v="7548"/>
    <n v="1.2373770491803278"/>
    <x v="1"/>
    <n v="80"/>
    <n v="94.35"/>
    <x v="3"/>
    <s v="DKK"/>
    <n v="1378184400"/>
    <n v="1378789200"/>
    <x v="338"/>
    <d v="2013-09-10T05:00:00"/>
    <x v="1"/>
  </r>
  <r>
    <n v="355"/>
    <s v="Burns-Burnett"/>
    <s v="Front-line scalable definition"/>
    <n v="3800"/>
    <n v="2241"/>
    <n v="0.58973684210526311"/>
    <x v="2"/>
    <n v="86"/>
    <n v="26.058139534883722"/>
    <x v="1"/>
    <s v="USD"/>
    <n v="1485064800"/>
    <n v="1488520800"/>
    <x v="339"/>
    <d v="2017-03-03T06:00:00"/>
    <x v="2"/>
  </r>
  <r>
    <n v="356"/>
    <s v="Glass, Nunez and Mcdonald"/>
    <s v="Open-source systematic protocol"/>
    <n v="9300"/>
    <n v="3431"/>
    <n v="0.36892473118279567"/>
    <x v="0"/>
    <n v="40"/>
    <n v="85.775000000000006"/>
    <x v="6"/>
    <s v="EUR"/>
    <n v="1326520800"/>
    <n v="1327298400"/>
    <x v="340"/>
    <d v="2012-01-23T06:00:00"/>
    <x v="0"/>
  </r>
  <r>
    <n v="357"/>
    <s v="Perez, Davis and Wilson"/>
    <s v="Implemented tangible algorithm"/>
    <n v="2300"/>
    <n v="4253"/>
    <n v="1.8491304347826087"/>
    <x v="1"/>
    <n v="41"/>
    <n v="103.73170731707317"/>
    <x v="1"/>
    <s v="USD"/>
    <n v="1441256400"/>
    <n v="1443416400"/>
    <x v="341"/>
    <d v="2015-09-28T05:00:00"/>
    <x v="4"/>
  </r>
  <r>
    <n v="358"/>
    <s v="Diaz-Garcia"/>
    <s v="Profit-focused 3rdgeneration circuit"/>
    <n v="9700"/>
    <n v="1146"/>
    <n v="0.11814432989690722"/>
    <x v="0"/>
    <n v="23"/>
    <n v="49.826086956521742"/>
    <x v="0"/>
    <s v="CAD"/>
    <n v="1533877200"/>
    <n v="1534136400"/>
    <x v="342"/>
    <d v="2018-08-13T05:00:00"/>
    <x v="6"/>
  </r>
  <r>
    <n v="359"/>
    <s v="Salazar-Moon"/>
    <s v="Compatible needs-based architecture"/>
    <n v="4000"/>
    <n v="11948"/>
    <n v="2.9870000000000001"/>
    <x v="1"/>
    <n v="187"/>
    <n v="63.893048128342244"/>
    <x v="1"/>
    <s v="USD"/>
    <n v="1314421200"/>
    <n v="1315026000"/>
    <x v="343"/>
    <d v="2011-09-03T05:00:00"/>
    <x v="0"/>
  </r>
  <r>
    <n v="360"/>
    <s v="Larsen-Chung"/>
    <s v="Right-sized zero tolerance migration"/>
    <n v="59700"/>
    <n v="135132"/>
    <n v="2.2635175879396985"/>
    <x v="1"/>
    <n v="2875"/>
    <n v="47.002434782608695"/>
    <x v="4"/>
    <s v="GBP"/>
    <n v="1293861600"/>
    <n v="1295071200"/>
    <x v="344"/>
    <d v="2011-01-15T06:00:00"/>
    <x v="0"/>
  </r>
  <r>
    <n v="361"/>
    <s v="Anderson and Sons"/>
    <s v="Quality-focused reciprocal structure"/>
    <n v="5500"/>
    <n v="9546"/>
    <n v="1.7356363636363636"/>
    <x v="1"/>
    <n v="88"/>
    <n v="108.47727272727273"/>
    <x v="1"/>
    <s v="USD"/>
    <n v="1507352400"/>
    <n v="1509426000"/>
    <x v="345"/>
    <d v="2017-10-31T05:00:00"/>
    <x v="0"/>
  </r>
  <r>
    <n v="362"/>
    <s v="Lawrence Group"/>
    <s v="Automated actuating conglomeration"/>
    <n v="3700"/>
    <n v="13755"/>
    <n v="3.7175675675675675"/>
    <x v="1"/>
    <n v="191"/>
    <n v="72.015706806282722"/>
    <x v="1"/>
    <s v="USD"/>
    <n v="1296108000"/>
    <n v="1299391200"/>
    <x v="65"/>
    <d v="2011-03-06T06:00:00"/>
    <x v="4"/>
  </r>
  <r>
    <n v="363"/>
    <s v="Gray-Davis"/>
    <s v="Re-contextualized local initiative"/>
    <n v="5200"/>
    <n v="8330"/>
    <n v="1.601923076923077"/>
    <x v="1"/>
    <n v="139"/>
    <n v="59.928057553956833"/>
    <x v="1"/>
    <s v="USD"/>
    <n v="1324965600"/>
    <n v="1325052000"/>
    <x v="346"/>
    <d v="2011-12-28T06:00:00"/>
    <x v="1"/>
  </r>
  <r>
    <n v="364"/>
    <s v="Ramirez-Myers"/>
    <s v="Switchable intangible definition"/>
    <n v="900"/>
    <n v="14547"/>
    <n v="16.163333333333334"/>
    <x v="1"/>
    <n v="186"/>
    <n v="78.209677419354833"/>
    <x v="1"/>
    <s v="USD"/>
    <n v="1520229600"/>
    <n v="1522818000"/>
    <x v="347"/>
    <d v="2018-04-04T05:00:00"/>
    <x v="5"/>
  </r>
  <r>
    <n v="365"/>
    <s v="Lucas, Hall and Bonilla"/>
    <s v="Networked bottom-line initiative"/>
    <n v="1600"/>
    <n v="11735"/>
    <n v="7.3343749999999996"/>
    <x v="1"/>
    <n v="112"/>
    <n v="104.77678571428571"/>
    <x v="2"/>
    <s v="AUD"/>
    <n v="1482991200"/>
    <n v="1485324000"/>
    <x v="348"/>
    <d v="2017-01-25T06:00:00"/>
    <x v="4"/>
  </r>
  <r>
    <n v="366"/>
    <s v="Williams, Perez and Villegas"/>
    <s v="Robust directional system engine"/>
    <n v="1800"/>
    <n v="10658"/>
    <n v="5.9211111111111112"/>
    <x v="1"/>
    <n v="101"/>
    <n v="105.52475247524752"/>
    <x v="1"/>
    <s v="USD"/>
    <n v="1294034400"/>
    <n v="1294120800"/>
    <x v="349"/>
    <d v="2011-01-04T06:00:00"/>
    <x v="5"/>
  </r>
  <r>
    <n v="367"/>
    <s v="Brooks, Jones and Ingram"/>
    <s v="Triple-buffered explicit methodology"/>
    <n v="9900"/>
    <n v="1870"/>
    <n v="0.18888888888888888"/>
    <x v="0"/>
    <n v="75"/>
    <n v="24.933333333333334"/>
    <x v="1"/>
    <s v="USD"/>
    <n v="1413608400"/>
    <n v="1415685600"/>
    <x v="350"/>
    <d v="2014-11-11T06:00:00"/>
    <x v="0"/>
  </r>
  <r>
    <n v="368"/>
    <s v="Whitaker, Wallace and Daniels"/>
    <s v="Reactive directional capacity"/>
    <n v="5200"/>
    <n v="14394"/>
    <n v="2.7680769230769231"/>
    <x v="1"/>
    <n v="206"/>
    <n v="69.873786407766985"/>
    <x v="4"/>
    <s v="GBP"/>
    <n v="1286946000"/>
    <n v="1288933200"/>
    <x v="351"/>
    <d v="2010-11-05T05:00:00"/>
    <x v="3"/>
  </r>
  <r>
    <n v="369"/>
    <s v="Smith-Gonzalez"/>
    <s v="Polarized needs-based approach"/>
    <n v="5400"/>
    <n v="14743"/>
    <n v="2.730185185185185"/>
    <x v="1"/>
    <n v="154"/>
    <n v="95.733766233766232"/>
    <x v="1"/>
    <s v="USD"/>
    <n v="1359871200"/>
    <n v="1363237200"/>
    <x v="352"/>
    <d v="2013-03-14T05:00:00"/>
    <x v="2"/>
  </r>
  <r>
    <n v="370"/>
    <s v="Skinner PLC"/>
    <s v="Intuitive well-modulated middleware"/>
    <n v="112300"/>
    <n v="178965"/>
    <n v="1.593633125556545"/>
    <x v="1"/>
    <n v="5966"/>
    <n v="29.997485752598056"/>
    <x v="1"/>
    <s v="USD"/>
    <n v="1555304400"/>
    <n v="1555822800"/>
    <x v="353"/>
    <d v="2019-04-21T05:00:00"/>
    <x v="5"/>
  </r>
  <r>
    <n v="371"/>
    <s v="Nolan, Smith and Sanchez"/>
    <s v="Multi-channeled logistical matrices"/>
    <n v="189200"/>
    <n v="128410"/>
    <n v="0.67869978858350954"/>
    <x v="0"/>
    <n v="2176"/>
    <n v="59.011948529411768"/>
    <x v="1"/>
    <s v="USD"/>
    <n v="1423375200"/>
    <n v="1427778000"/>
    <x v="354"/>
    <d v="2015-03-31T05:00:00"/>
    <x v="2"/>
  </r>
  <r>
    <n v="372"/>
    <s v="Green-Carr"/>
    <s v="Pre-emptive bifurcated artificial intelligence"/>
    <n v="900"/>
    <n v="14324"/>
    <n v="15.915555555555555"/>
    <x v="1"/>
    <n v="169"/>
    <n v="84.757396449704146"/>
    <x v="1"/>
    <s v="USD"/>
    <n v="1420696800"/>
    <n v="1422424800"/>
    <x v="355"/>
    <d v="2015-01-28T06:00:00"/>
    <x v="4"/>
  </r>
  <r>
    <n v="373"/>
    <s v="Brown-Parker"/>
    <s v="Down-sized coherent toolset"/>
    <n v="22500"/>
    <n v="164291"/>
    <n v="7.3018222222222224"/>
    <x v="1"/>
    <n v="2106"/>
    <n v="78.010921177587846"/>
    <x v="1"/>
    <s v="USD"/>
    <n v="1502946000"/>
    <n v="1503637200"/>
    <x v="356"/>
    <d v="2017-08-25T05:00:00"/>
    <x v="4"/>
  </r>
  <r>
    <n v="374"/>
    <s v="Marshall Inc"/>
    <s v="Open-source multi-tasking data-warehouse"/>
    <n v="167400"/>
    <n v="22073"/>
    <n v="0.13185782556750297"/>
    <x v="0"/>
    <n v="441"/>
    <n v="50.05215419501134"/>
    <x v="1"/>
    <s v="USD"/>
    <n v="1547186400"/>
    <n v="1547618400"/>
    <x v="357"/>
    <d v="2019-01-16T06:00:00"/>
    <x v="6"/>
  </r>
  <r>
    <n v="375"/>
    <s v="Leblanc-Pineda"/>
    <s v="Future-proofed upward-trending contingency"/>
    <n v="2700"/>
    <n v="1479"/>
    <n v="0.54777777777777781"/>
    <x v="0"/>
    <n v="25"/>
    <n v="59.16"/>
    <x v="1"/>
    <s v="USD"/>
    <n v="1444971600"/>
    <n v="1449900000"/>
    <x v="358"/>
    <d v="2015-12-12T06:00:00"/>
    <x v="6"/>
  </r>
  <r>
    <n v="376"/>
    <s v="Perry PLC"/>
    <s v="Mandatory uniform matrix"/>
    <n v="3400"/>
    <n v="12275"/>
    <n v="3.6102941176470589"/>
    <x v="1"/>
    <n v="131"/>
    <n v="93.702290076335885"/>
    <x v="1"/>
    <s v="USD"/>
    <n v="1404622800"/>
    <n v="1405141200"/>
    <x v="359"/>
    <d v="2014-07-12T05:00:00"/>
    <x v="2"/>
  </r>
  <r>
    <n v="377"/>
    <s v="Klein, Stark and Livingston"/>
    <s v="Phased methodical initiative"/>
    <n v="49700"/>
    <n v="5098"/>
    <n v="0.10257545271629778"/>
    <x v="0"/>
    <n v="127"/>
    <n v="40.14173228346457"/>
    <x v="1"/>
    <s v="USD"/>
    <n v="1571720400"/>
    <n v="1572933600"/>
    <x v="12"/>
    <d v="2019-11-05T06:00:00"/>
    <x v="1"/>
  </r>
  <r>
    <n v="378"/>
    <s v="Fleming-Oliver"/>
    <s v="Managed stable function"/>
    <n v="178200"/>
    <n v="24882"/>
    <n v="0.13962962962962963"/>
    <x v="0"/>
    <n v="355"/>
    <n v="70.090140845070422"/>
    <x v="1"/>
    <s v="USD"/>
    <n v="1526878800"/>
    <n v="1530162000"/>
    <x v="360"/>
    <d v="2018-06-28T05:00:00"/>
    <x v="5"/>
  </r>
  <r>
    <n v="379"/>
    <s v="Reilly, Aguirre and Johnson"/>
    <s v="Realigned clear-thinking migration"/>
    <n v="7200"/>
    <n v="2912"/>
    <n v="0.40444444444444444"/>
    <x v="0"/>
    <n v="44"/>
    <n v="66.181818181818187"/>
    <x v="4"/>
    <s v="GBP"/>
    <n v="1319691600"/>
    <n v="1320904800"/>
    <x v="361"/>
    <d v="2011-11-10T06:00:00"/>
    <x v="4"/>
  </r>
  <r>
    <n v="380"/>
    <s v="Davidson, Wilcox and Lewis"/>
    <s v="Optional clear-thinking process improvement"/>
    <n v="2500"/>
    <n v="4008"/>
    <n v="1.6032"/>
    <x v="1"/>
    <n v="84"/>
    <n v="47.714285714285715"/>
    <x v="1"/>
    <s v="USD"/>
    <n v="1371963600"/>
    <n v="1372395600"/>
    <x v="362"/>
    <d v="2013-06-28T05:00:00"/>
    <x v="2"/>
  </r>
  <r>
    <n v="381"/>
    <s v="Michael, Anderson and Vincent"/>
    <s v="Cross-group global moratorium"/>
    <n v="5300"/>
    <n v="9749"/>
    <n v="1.8394339622641509"/>
    <x v="1"/>
    <n v="155"/>
    <n v="62.896774193548389"/>
    <x v="1"/>
    <s v="USD"/>
    <n v="1433739600"/>
    <n v="1437714000"/>
    <x v="363"/>
    <d v="2015-07-24T05:00:00"/>
    <x v="5"/>
  </r>
  <r>
    <n v="382"/>
    <s v="King Ltd"/>
    <s v="Visionary systemic process improvement"/>
    <n v="9100"/>
    <n v="5803"/>
    <n v="0.63769230769230767"/>
    <x v="0"/>
    <n v="67"/>
    <n v="86.611940298507463"/>
    <x v="1"/>
    <s v="USD"/>
    <n v="1508130000"/>
    <n v="1509771600"/>
    <x v="364"/>
    <d v="2017-11-04T05:00:00"/>
    <x v="5"/>
  </r>
  <r>
    <n v="383"/>
    <s v="Baker Ltd"/>
    <s v="Progressive intangible flexibility"/>
    <n v="6300"/>
    <n v="14199"/>
    <n v="2.2538095238095237"/>
    <x v="1"/>
    <n v="189"/>
    <n v="75.126984126984127"/>
    <x v="1"/>
    <s v="USD"/>
    <n v="1550037600"/>
    <n v="1550556000"/>
    <x v="210"/>
    <d v="2019-02-19T06:00:00"/>
    <x v="3"/>
  </r>
  <r>
    <n v="384"/>
    <s v="Baker, Collins and Smith"/>
    <s v="Reactive real-time software"/>
    <n v="114400"/>
    <n v="196779"/>
    <n v="1.7200961538461539"/>
    <x v="1"/>
    <n v="4799"/>
    <n v="41.004167534903104"/>
    <x v="1"/>
    <s v="USD"/>
    <n v="1486706400"/>
    <n v="1489039200"/>
    <x v="365"/>
    <d v="2017-03-09T06:00:00"/>
    <x v="6"/>
  </r>
  <r>
    <n v="385"/>
    <s v="Warren-Harrison"/>
    <s v="Programmable incremental knowledge user"/>
    <n v="38900"/>
    <n v="56859"/>
    <n v="1.4616709511568124"/>
    <x v="1"/>
    <n v="1137"/>
    <n v="50.007915567282325"/>
    <x v="1"/>
    <s v="USD"/>
    <n v="1553835600"/>
    <n v="1556600400"/>
    <x v="366"/>
    <d v="2019-04-30T05:00:00"/>
    <x v="6"/>
  </r>
  <r>
    <n v="386"/>
    <s v="Gardner Group"/>
    <s v="Progressive 5thgeneration customer loyalty"/>
    <n v="135500"/>
    <n v="103554"/>
    <n v="0.76423616236162362"/>
    <x v="0"/>
    <n v="1068"/>
    <n v="96.960674157303373"/>
    <x v="1"/>
    <s v="USD"/>
    <n v="1277528400"/>
    <n v="1278565200"/>
    <x v="367"/>
    <d v="2010-07-08T05:00:00"/>
    <x v="0"/>
  </r>
  <r>
    <n v="387"/>
    <s v="Flores-Lambert"/>
    <s v="Triple-buffered logistical frame"/>
    <n v="109000"/>
    <n v="42795"/>
    <n v="0.39261467889908258"/>
    <x v="0"/>
    <n v="424"/>
    <n v="100.93160377358491"/>
    <x v="1"/>
    <s v="USD"/>
    <n v="1339477200"/>
    <n v="1339909200"/>
    <x v="368"/>
    <d v="2012-06-17T05:00:00"/>
    <x v="1"/>
  </r>
  <r>
    <n v="388"/>
    <s v="Cruz Ltd"/>
    <s v="Exclusive dynamic adapter"/>
    <n v="114800"/>
    <n v="12938"/>
    <n v="0.11270034843205574"/>
    <x v="3"/>
    <n v="145"/>
    <n v="89.227586206896547"/>
    <x v="5"/>
    <s v="CHF"/>
    <n v="1325656800"/>
    <n v="1325829600"/>
    <x v="369"/>
    <d v="2012-01-06T06:00:00"/>
    <x v="3"/>
  </r>
  <r>
    <n v="389"/>
    <s v="Knox-Garner"/>
    <s v="Automated systemic hierarchy"/>
    <n v="83000"/>
    <n v="101352"/>
    <n v="1.2211084337349398"/>
    <x v="1"/>
    <n v="1152"/>
    <n v="87.979166666666671"/>
    <x v="1"/>
    <s v="USD"/>
    <n v="1288242000"/>
    <n v="1290578400"/>
    <x v="370"/>
    <d v="2010-11-24T06:00:00"/>
    <x v="4"/>
  </r>
  <r>
    <n v="390"/>
    <s v="Davis-Allen"/>
    <s v="Digitized eco-centric core"/>
    <n v="2400"/>
    <n v="4477"/>
    <n v="1.8654166666666667"/>
    <x v="1"/>
    <n v="50"/>
    <n v="89.54"/>
    <x v="1"/>
    <s v="USD"/>
    <n v="1379048400"/>
    <n v="1380344400"/>
    <x v="371"/>
    <d v="2013-09-28T05:00:00"/>
    <x v="6"/>
  </r>
  <r>
    <n v="391"/>
    <s v="Miller-Patel"/>
    <s v="Mandatory uniform strategy"/>
    <n v="60400"/>
    <n v="4393"/>
    <n v="7.27317880794702E-2"/>
    <x v="0"/>
    <n v="151"/>
    <n v="29.09271523178808"/>
    <x v="1"/>
    <s v="USD"/>
    <n v="1389679200"/>
    <n v="1389852000"/>
    <x v="287"/>
    <d v="2014-01-16T06:00:00"/>
    <x v="1"/>
  </r>
  <r>
    <n v="392"/>
    <s v="Hernandez-Grimes"/>
    <s v="Profit-focused zero administration forecast"/>
    <n v="102900"/>
    <n v="67546"/>
    <n v="0.65642371234207963"/>
    <x v="0"/>
    <n v="1608"/>
    <n v="42.006218905472636"/>
    <x v="1"/>
    <s v="USD"/>
    <n v="1294293600"/>
    <n v="1294466400"/>
    <x v="372"/>
    <d v="2011-01-08T06:00:00"/>
    <x v="4"/>
  </r>
  <r>
    <n v="393"/>
    <s v="Owens, Hall and Gonzalez"/>
    <s v="De-engineered static orchestration"/>
    <n v="62800"/>
    <n v="143788"/>
    <n v="2.2896178343949045"/>
    <x v="1"/>
    <n v="3059"/>
    <n v="47.004903563255965"/>
    <x v="0"/>
    <s v="CAD"/>
    <n v="1500267600"/>
    <n v="1500354000"/>
    <x v="373"/>
    <d v="2017-07-18T05:00:00"/>
    <x v="5"/>
  </r>
  <r>
    <n v="394"/>
    <s v="Noble-Bailey"/>
    <s v="Customizable dynamic info-mediaries"/>
    <n v="800"/>
    <n v="3755"/>
    <n v="4.6937499999999996"/>
    <x v="1"/>
    <n v="34"/>
    <n v="110.44117647058823"/>
    <x v="1"/>
    <s v="USD"/>
    <n v="1375074000"/>
    <n v="1375938000"/>
    <x v="374"/>
    <d v="2013-08-08T05:00:00"/>
    <x v="5"/>
  </r>
  <r>
    <n v="395"/>
    <s v="Taylor PLC"/>
    <s v="Enhanced incremental budgetary management"/>
    <n v="7100"/>
    <n v="9238"/>
    <n v="1.3011267605633803"/>
    <x v="1"/>
    <n v="220"/>
    <n v="41.990909090909092"/>
    <x v="1"/>
    <s v="USD"/>
    <n v="1323324000"/>
    <n v="1323410400"/>
    <x v="375"/>
    <d v="2011-12-09T06:00:00"/>
    <x v="4"/>
  </r>
  <r>
    <n v="396"/>
    <s v="Holmes PLC"/>
    <s v="Digitized local info-mediaries"/>
    <n v="46100"/>
    <n v="77012"/>
    <n v="1.6705422993492407"/>
    <x v="1"/>
    <n v="1604"/>
    <n v="48.012468827930178"/>
    <x v="2"/>
    <s v="AUD"/>
    <n v="1538715600"/>
    <n v="1539406800"/>
    <x v="376"/>
    <d v="2018-10-13T05:00:00"/>
    <x v="6"/>
  </r>
  <r>
    <n v="397"/>
    <s v="Jones-Martin"/>
    <s v="Virtual systematic monitoring"/>
    <n v="8100"/>
    <n v="14083"/>
    <n v="1.738641975308642"/>
    <x v="1"/>
    <n v="454"/>
    <n v="31.019823788546255"/>
    <x v="1"/>
    <s v="USD"/>
    <n v="1369285200"/>
    <n v="1369803600"/>
    <x v="377"/>
    <d v="2013-05-29T05:00:00"/>
    <x v="4"/>
  </r>
  <r>
    <n v="398"/>
    <s v="Myers LLC"/>
    <s v="Reactive bottom-line open architecture"/>
    <n v="1700"/>
    <n v="12202"/>
    <n v="7.1776470588235295"/>
    <x v="1"/>
    <n v="123"/>
    <n v="99.203252032520325"/>
    <x v="6"/>
    <s v="EUR"/>
    <n v="1525755600"/>
    <n v="1525928400"/>
    <x v="378"/>
    <d v="2018-05-10T05:00:00"/>
    <x v="1"/>
  </r>
  <r>
    <n v="399"/>
    <s v="Acosta, Mullins and Morris"/>
    <s v="Pre-emptive interactive model"/>
    <n v="97300"/>
    <n v="62127"/>
    <n v="0.63850976361767731"/>
    <x v="0"/>
    <n v="941"/>
    <n v="66.022316684378325"/>
    <x v="1"/>
    <s v="USD"/>
    <n v="1296626400"/>
    <n v="1297231200"/>
    <x v="379"/>
    <d v="2011-02-09T06:00:00"/>
    <x v="3"/>
  </r>
  <r>
    <n v="400"/>
    <s v="Bell PLC"/>
    <s v="Ergonomic eco-centric open architecture"/>
    <n v="100"/>
    <n v="2"/>
    <n v="0.02"/>
    <x v="0"/>
    <n v="1"/>
    <n v="2"/>
    <x v="1"/>
    <s v="USD"/>
    <n v="1376629200"/>
    <n v="1378530000"/>
    <x v="380"/>
    <d v="2013-09-07T05:00:00"/>
    <x v="6"/>
  </r>
  <r>
    <n v="401"/>
    <s v="Smith-Schmidt"/>
    <s v="Inverse radical hierarchy"/>
    <n v="900"/>
    <n v="13772"/>
    <n v="15.302222222222222"/>
    <x v="1"/>
    <n v="299"/>
    <n v="46.060200668896321"/>
    <x v="1"/>
    <s v="USD"/>
    <n v="1572152400"/>
    <n v="1572152400"/>
    <x v="381"/>
    <d v="2019-10-27T05:00:00"/>
    <x v="2"/>
  </r>
  <r>
    <n v="402"/>
    <s v="Ruiz, Richardson and Cole"/>
    <s v="Team-oriented static interface"/>
    <n v="7300"/>
    <n v="2946"/>
    <n v="0.40356164383561643"/>
    <x v="0"/>
    <n v="40"/>
    <n v="73.650000000000006"/>
    <x v="1"/>
    <s v="USD"/>
    <n v="1325829600"/>
    <n v="1329890400"/>
    <x v="382"/>
    <d v="2012-02-22T06:00:00"/>
    <x v="6"/>
  </r>
  <r>
    <n v="403"/>
    <s v="Leonard-Mcclain"/>
    <s v="Virtual foreground throughput"/>
    <n v="195800"/>
    <n v="168820"/>
    <n v="0.86220633299284988"/>
    <x v="0"/>
    <n v="3015"/>
    <n v="55.99336650082919"/>
    <x v="0"/>
    <s v="CAD"/>
    <n v="1273640400"/>
    <n v="1276750800"/>
    <x v="125"/>
    <d v="2010-06-17T05:00:00"/>
    <x v="3"/>
  </r>
  <r>
    <n v="404"/>
    <s v="Bailey-Boyer"/>
    <s v="Visionary exuding Internet solution"/>
    <n v="48900"/>
    <n v="154321"/>
    <n v="3.1558486707566464"/>
    <x v="1"/>
    <n v="2237"/>
    <n v="68.985695127402778"/>
    <x v="1"/>
    <s v="USD"/>
    <n v="1510639200"/>
    <n v="1510898400"/>
    <x v="383"/>
    <d v="2017-11-17T06:00:00"/>
    <x v="1"/>
  </r>
  <r>
    <n v="405"/>
    <s v="Lee LLC"/>
    <s v="Synchronized secondary analyzer"/>
    <n v="29600"/>
    <n v="26527"/>
    <n v="0.89618243243243245"/>
    <x v="0"/>
    <n v="435"/>
    <n v="60.981609195402299"/>
    <x v="1"/>
    <s v="USD"/>
    <n v="1528088400"/>
    <n v="1532408400"/>
    <x v="384"/>
    <d v="2018-07-24T05:00:00"/>
    <x v="5"/>
  </r>
  <r>
    <n v="406"/>
    <s v="Lyons Inc"/>
    <s v="Balanced attitude-oriented parallelism"/>
    <n v="39300"/>
    <n v="71583"/>
    <n v="1.8214503816793892"/>
    <x v="1"/>
    <n v="645"/>
    <n v="110.98139534883721"/>
    <x v="1"/>
    <s v="USD"/>
    <n v="1359525600"/>
    <n v="1360562400"/>
    <x v="385"/>
    <d v="2013-02-11T06:00:00"/>
    <x v="3"/>
  </r>
  <r>
    <n v="407"/>
    <s v="Herrera-Wilson"/>
    <s v="Organized bandwidth-monitored core"/>
    <n v="3400"/>
    <n v="12100"/>
    <n v="3.5588235294117645"/>
    <x v="1"/>
    <n v="484"/>
    <n v="25"/>
    <x v="3"/>
    <s v="DKK"/>
    <n v="1570942800"/>
    <n v="1571547600"/>
    <x v="386"/>
    <d v="2019-10-20T05:00:00"/>
    <x v="2"/>
  </r>
  <r>
    <n v="408"/>
    <s v="Mahoney, Adams and Lucas"/>
    <s v="Cloned leadingedge utilization"/>
    <n v="9200"/>
    <n v="12129"/>
    <n v="1.3183695652173912"/>
    <x v="1"/>
    <n v="154"/>
    <n v="78.759740259740255"/>
    <x v="0"/>
    <s v="CAD"/>
    <n v="1466398800"/>
    <n v="1468126800"/>
    <x v="387"/>
    <d v="2016-07-10T05:00:00"/>
    <x v="5"/>
  </r>
  <r>
    <n v="409"/>
    <s v="Stewart LLC"/>
    <s v="Secured asymmetric projection"/>
    <n v="135600"/>
    <n v="62804"/>
    <n v="0.46315634218289087"/>
    <x v="0"/>
    <n v="714"/>
    <n v="87.960784313725483"/>
    <x v="1"/>
    <s v="USD"/>
    <n v="1492491600"/>
    <n v="1492837200"/>
    <x v="388"/>
    <d v="2017-04-22T05:00:00"/>
    <x v="1"/>
  </r>
  <r>
    <n v="410"/>
    <s v="Mcmillan Group"/>
    <s v="Advanced cohesive Graphic Interface"/>
    <n v="153700"/>
    <n v="55536"/>
    <n v="0.36132726089785294"/>
    <x v="2"/>
    <n v="1111"/>
    <n v="49.987398739873989"/>
    <x v="1"/>
    <s v="USD"/>
    <n v="1430197200"/>
    <n v="1430197200"/>
    <x v="277"/>
    <d v="2015-04-28T05:00:00"/>
    <x v="1"/>
  </r>
  <r>
    <n v="411"/>
    <s v="Beck, Thompson and Martinez"/>
    <s v="Down-sized maximized function"/>
    <n v="7800"/>
    <n v="8161"/>
    <n v="1.0462820512820512"/>
    <x v="1"/>
    <n v="82"/>
    <n v="99.524390243902445"/>
    <x v="1"/>
    <s v="USD"/>
    <n v="1496034000"/>
    <n v="1496206800"/>
    <x v="389"/>
    <d v="2017-05-31T05:00:00"/>
    <x v="5"/>
  </r>
  <r>
    <n v="412"/>
    <s v="Rodriguez-Scott"/>
    <s v="Realigned zero tolerance software"/>
    <n v="2100"/>
    <n v="14046"/>
    <n v="6.6885714285714286"/>
    <x v="1"/>
    <n v="134"/>
    <n v="104.82089552238806"/>
    <x v="1"/>
    <s v="USD"/>
    <n v="1388728800"/>
    <n v="1389592800"/>
    <x v="390"/>
    <d v="2014-01-13T06:00:00"/>
    <x v="6"/>
  </r>
  <r>
    <n v="413"/>
    <s v="Rush-Bowers"/>
    <s v="Persevering analyzing extranet"/>
    <n v="189500"/>
    <n v="117628"/>
    <n v="0.62072823218997364"/>
    <x v="2"/>
    <n v="1089"/>
    <n v="108.01469237832875"/>
    <x v="1"/>
    <s v="USD"/>
    <n v="1543298400"/>
    <n v="1545631200"/>
    <x v="391"/>
    <d v="2018-12-24T06:00:00"/>
    <x v="1"/>
  </r>
  <r>
    <n v="414"/>
    <s v="Davis and Sons"/>
    <s v="Innovative human-resource migration"/>
    <n v="188200"/>
    <n v="159405"/>
    <n v="0.84699787460148779"/>
    <x v="0"/>
    <n v="5497"/>
    <n v="28.998544660724033"/>
    <x v="1"/>
    <s v="USD"/>
    <n v="1271739600"/>
    <n v="1272430800"/>
    <x v="392"/>
    <d v="2010-04-28T05:00:00"/>
    <x v="1"/>
  </r>
  <r>
    <n v="415"/>
    <s v="Anderson-Pham"/>
    <s v="Intuitive needs-based monitoring"/>
    <n v="113500"/>
    <n v="12552"/>
    <n v="0.11059030837004405"/>
    <x v="0"/>
    <n v="418"/>
    <n v="30.028708133971293"/>
    <x v="1"/>
    <s v="USD"/>
    <n v="1326434400"/>
    <n v="1327903200"/>
    <x v="393"/>
    <d v="2012-01-30T06:00:00"/>
    <x v="6"/>
  </r>
  <r>
    <n v="416"/>
    <s v="Stewart-Coleman"/>
    <s v="Customer-focused disintermediate toolset"/>
    <n v="134600"/>
    <n v="59007"/>
    <n v="0.43838781575037145"/>
    <x v="0"/>
    <n v="1439"/>
    <n v="41.005559416261292"/>
    <x v="1"/>
    <s v="USD"/>
    <n v="1295244000"/>
    <n v="1296021600"/>
    <x v="394"/>
    <d v="2011-01-26T06:00:00"/>
    <x v="5"/>
  </r>
  <r>
    <n v="417"/>
    <s v="Bradshaw, Smith and Ryan"/>
    <s v="Upgradable 24/7 emulation"/>
    <n v="1700"/>
    <n v="943"/>
    <n v="0.55470588235294116"/>
    <x v="0"/>
    <n v="15"/>
    <n v="62.866666666666667"/>
    <x v="1"/>
    <s v="USD"/>
    <n v="1541221200"/>
    <n v="1543298400"/>
    <x v="395"/>
    <d v="2018-11-27T06:00:00"/>
    <x v="0"/>
  </r>
  <r>
    <n v="418"/>
    <s v="Jackson PLC"/>
    <s v="Quality-focused client-server core"/>
    <n v="163700"/>
    <n v="93963"/>
    <n v="0.57399511301160655"/>
    <x v="0"/>
    <n v="1999"/>
    <n v="47.005002501250623"/>
    <x v="0"/>
    <s v="CAD"/>
    <n v="1336280400"/>
    <n v="1336366800"/>
    <x v="396"/>
    <d v="2012-05-07T05:00:00"/>
    <x v="2"/>
  </r>
  <r>
    <n v="419"/>
    <s v="Ware-Arias"/>
    <s v="Upgradable maximized protocol"/>
    <n v="113800"/>
    <n v="140469"/>
    <n v="1.2343497363796134"/>
    <x v="1"/>
    <n v="5203"/>
    <n v="26.997693638285604"/>
    <x v="1"/>
    <s v="USD"/>
    <n v="1324533600"/>
    <n v="1325052000"/>
    <x v="397"/>
    <d v="2011-12-28T06:00:00"/>
    <x v="4"/>
  </r>
  <r>
    <n v="420"/>
    <s v="Blair, Reyes and Woods"/>
    <s v="Cross-platform interactive synergy"/>
    <n v="5000"/>
    <n v="6423"/>
    <n v="1.2846"/>
    <x v="1"/>
    <n v="94"/>
    <n v="68.329787234042556"/>
    <x v="1"/>
    <s v="USD"/>
    <n v="1498366800"/>
    <n v="1499576400"/>
    <x v="398"/>
    <d v="2017-07-09T05:00:00"/>
    <x v="2"/>
  </r>
  <r>
    <n v="421"/>
    <s v="Thomas-Lopez"/>
    <s v="User-centric fault-tolerant archive"/>
    <n v="9400"/>
    <n v="6015"/>
    <n v="0.63989361702127656"/>
    <x v="0"/>
    <n v="118"/>
    <n v="50.974576271186443"/>
    <x v="1"/>
    <s v="USD"/>
    <n v="1498712400"/>
    <n v="1501304400"/>
    <x v="399"/>
    <d v="2017-07-29T05:00:00"/>
    <x v="4"/>
  </r>
  <r>
    <n v="422"/>
    <s v="Brown, Davies and Pacheco"/>
    <s v="Reverse-engineered regional knowledge user"/>
    <n v="8700"/>
    <n v="11075"/>
    <n v="1.2729885057471264"/>
    <x v="1"/>
    <n v="205"/>
    <n v="54.024390243902438"/>
    <x v="1"/>
    <s v="USD"/>
    <n v="1271480400"/>
    <n v="1273208400"/>
    <x v="400"/>
    <d v="2010-05-07T05:00:00"/>
    <x v="0"/>
  </r>
  <r>
    <n v="423"/>
    <s v="Jones-Riddle"/>
    <s v="Self-enabling real-time definition"/>
    <n v="147800"/>
    <n v="15723"/>
    <n v="0.10638024357239513"/>
    <x v="0"/>
    <n v="162"/>
    <n v="97.055555555555557"/>
    <x v="1"/>
    <s v="USD"/>
    <n v="1316667600"/>
    <n v="1316840400"/>
    <x v="116"/>
    <d v="2011-09-24T05:00:00"/>
    <x v="4"/>
  </r>
  <r>
    <n v="424"/>
    <s v="Schmidt-Gomez"/>
    <s v="User-centric impactful projection"/>
    <n v="5100"/>
    <n v="2064"/>
    <n v="0.40470588235294119"/>
    <x v="0"/>
    <n v="83"/>
    <n v="24.867469879518072"/>
    <x v="1"/>
    <s v="USD"/>
    <n v="1524027600"/>
    <n v="1524546000"/>
    <x v="401"/>
    <d v="2018-04-24T05:00:00"/>
    <x v="3"/>
  </r>
  <r>
    <n v="425"/>
    <s v="Sullivan, Davis and Booth"/>
    <s v="Vision-oriented actuating hardware"/>
    <n v="2700"/>
    <n v="7767"/>
    <n v="2.8766666666666665"/>
    <x v="1"/>
    <n v="92"/>
    <n v="84.423913043478265"/>
    <x v="1"/>
    <s v="USD"/>
    <n v="1438059600"/>
    <n v="1438578000"/>
    <x v="402"/>
    <d v="2015-08-03T05:00:00"/>
    <x v="1"/>
  </r>
  <r>
    <n v="426"/>
    <s v="Edwards-Kane"/>
    <s v="Virtual leadingedge framework"/>
    <n v="1800"/>
    <n v="10313"/>
    <n v="5.7294444444444448"/>
    <x v="1"/>
    <n v="219"/>
    <n v="47.091324200913242"/>
    <x v="1"/>
    <s v="USD"/>
    <n v="1361944800"/>
    <n v="1362549600"/>
    <x v="403"/>
    <d v="2013-03-06T06:00:00"/>
    <x v="3"/>
  </r>
  <r>
    <n v="427"/>
    <s v="Hicks, Wall and Webb"/>
    <s v="Managed discrete framework"/>
    <n v="174500"/>
    <n v="197018"/>
    <n v="1.1290429799426933"/>
    <x v="1"/>
    <n v="2526"/>
    <n v="77.996041171813147"/>
    <x v="1"/>
    <s v="USD"/>
    <n v="1410584400"/>
    <n v="1413349200"/>
    <x v="404"/>
    <d v="2014-10-15T05:00:00"/>
    <x v="0"/>
  </r>
  <r>
    <n v="428"/>
    <s v="Mayer-Richmond"/>
    <s v="Progressive zero-defect capability"/>
    <n v="101400"/>
    <n v="47037"/>
    <n v="0.46387573964497042"/>
    <x v="0"/>
    <n v="747"/>
    <n v="62.967871485943775"/>
    <x v="1"/>
    <s v="USD"/>
    <n v="1297404000"/>
    <n v="1298008800"/>
    <x v="405"/>
    <d v="2011-02-18T06:00:00"/>
    <x v="6"/>
  </r>
  <r>
    <n v="429"/>
    <s v="Robles Ltd"/>
    <s v="Right-sized demand-driven adapter"/>
    <n v="191000"/>
    <n v="173191"/>
    <n v="0.90675916230366493"/>
    <x v="3"/>
    <n v="2138"/>
    <n v="81.006080449017773"/>
    <x v="1"/>
    <s v="USD"/>
    <n v="1392012000"/>
    <n v="1394427600"/>
    <x v="406"/>
    <d v="2014-03-10T05:00:00"/>
    <x v="5"/>
  </r>
  <r>
    <n v="430"/>
    <s v="Cochran Ltd"/>
    <s v="Re-engineered attitude-oriented frame"/>
    <n v="8100"/>
    <n v="5487"/>
    <n v="0.67740740740740746"/>
    <x v="0"/>
    <n v="84"/>
    <n v="65.321428571428569"/>
    <x v="1"/>
    <s v="USD"/>
    <n v="1569733200"/>
    <n v="1572670800"/>
    <x v="407"/>
    <d v="2019-11-02T05:00:00"/>
    <x v="2"/>
  </r>
  <r>
    <n v="431"/>
    <s v="Rosales LLC"/>
    <s v="Compatible multimedia utilization"/>
    <n v="5100"/>
    <n v="9817"/>
    <n v="1.9249019607843136"/>
    <x v="1"/>
    <n v="94"/>
    <n v="104.43617021276596"/>
    <x v="1"/>
    <s v="USD"/>
    <n v="1529643600"/>
    <n v="1531112400"/>
    <x v="408"/>
    <d v="2018-07-09T05:00:00"/>
    <x v="6"/>
  </r>
  <r>
    <n v="432"/>
    <s v="Harper-Bryan"/>
    <s v="Re-contextualized dedicated hardware"/>
    <n v="7700"/>
    <n v="6369"/>
    <n v="0.82714285714285718"/>
    <x v="0"/>
    <n v="91"/>
    <n v="69.989010989010993"/>
    <x v="1"/>
    <s v="USD"/>
    <n v="1399006800"/>
    <n v="1400734800"/>
    <x v="409"/>
    <d v="2014-05-22T05:00:00"/>
    <x v="6"/>
  </r>
  <r>
    <n v="433"/>
    <s v="Potter, Harper and Everett"/>
    <s v="Decentralized composite paradigm"/>
    <n v="121400"/>
    <n v="65755"/>
    <n v="0.54163920922570019"/>
    <x v="0"/>
    <n v="792"/>
    <n v="83.023989898989896"/>
    <x v="1"/>
    <s v="USD"/>
    <n v="1385359200"/>
    <n v="1386741600"/>
    <x v="410"/>
    <d v="2013-12-11T06:00:00"/>
    <x v="5"/>
  </r>
  <r>
    <n v="434"/>
    <s v="Floyd-Sims"/>
    <s v="Cloned transitional hierarchy"/>
    <n v="5400"/>
    <n v="903"/>
    <n v="0.16722222222222222"/>
    <x v="3"/>
    <n v="10"/>
    <n v="90.3"/>
    <x v="0"/>
    <s v="CAD"/>
    <n v="1480572000"/>
    <n v="1481781600"/>
    <x v="411"/>
    <d v="2016-12-15T06:00:00"/>
    <x v="4"/>
  </r>
  <r>
    <n v="435"/>
    <s v="Spence, Jackson and Kelly"/>
    <s v="Advanced discrete leverage"/>
    <n v="152400"/>
    <n v="178120"/>
    <n v="1.168766404199475"/>
    <x v="1"/>
    <n v="1713"/>
    <n v="103.98131932282546"/>
    <x v="6"/>
    <s v="EUR"/>
    <n v="1418623200"/>
    <n v="1419660000"/>
    <x v="412"/>
    <d v="2014-12-27T06:00:00"/>
    <x v="5"/>
  </r>
  <r>
    <n v="436"/>
    <s v="King-Nguyen"/>
    <s v="Open-source incremental throughput"/>
    <n v="1300"/>
    <n v="13678"/>
    <n v="10.521538461538462"/>
    <x v="1"/>
    <n v="249"/>
    <n v="54.931726907630519"/>
    <x v="1"/>
    <s v="USD"/>
    <n v="1555736400"/>
    <n v="1555822800"/>
    <x v="413"/>
    <d v="2019-04-21T05:00:00"/>
    <x v="0"/>
  </r>
  <r>
    <n v="437"/>
    <s v="Hansen Group"/>
    <s v="Centralized regional interface"/>
    <n v="8100"/>
    <n v="9969"/>
    <n v="1.2307407407407407"/>
    <x v="1"/>
    <n v="192"/>
    <n v="51.921875"/>
    <x v="1"/>
    <s v="USD"/>
    <n v="1442120400"/>
    <n v="1442379600"/>
    <x v="414"/>
    <d v="2015-09-16T05:00:00"/>
    <x v="2"/>
  </r>
  <r>
    <n v="438"/>
    <s v="Mathis, Hall and Hansen"/>
    <s v="Streamlined web-enabled knowledgebase"/>
    <n v="8300"/>
    <n v="14827"/>
    <n v="1.7863855421686747"/>
    <x v="1"/>
    <n v="247"/>
    <n v="60.02834008097166"/>
    <x v="1"/>
    <s v="USD"/>
    <n v="1362376800"/>
    <n v="1364965200"/>
    <x v="415"/>
    <d v="2013-04-03T05:00:00"/>
    <x v="5"/>
  </r>
  <r>
    <n v="439"/>
    <s v="Cummings Inc"/>
    <s v="Digitized transitional monitoring"/>
    <n v="28400"/>
    <n v="100900"/>
    <n v="3.5528169014084505"/>
    <x v="1"/>
    <n v="2293"/>
    <n v="44.003488879197555"/>
    <x v="1"/>
    <s v="USD"/>
    <n v="1478408400"/>
    <n v="1479016800"/>
    <x v="416"/>
    <d v="2016-11-13T06:00:00"/>
    <x v="2"/>
  </r>
  <r>
    <n v="440"/>
    <s v="Miller-Poole"/>
    <s v="Networked optimal adapter"/>
    <n v="102500"/>
    <n v="165954"/>
    <n v="1.6190634146341463"/>
    <x v="1"/>
    <n v="3131"/>
    <n v="53.003513254551258"/>
    <x v="1"/>
    <s v="USD"/>
    <n v="1498798800"/>
    <n v="1499662800"/>
    <x v="417"/>
    <d v="2017-07-10T05:00:00"/>
    <x v="6"/>
  </r>
  <r>
    <n v="441"/>
    <s v="Rodriguez-West"/>
    <s v="Automated optimal function"/>
    <n v="7000"/>
    <n v="1744"/>
    <n v="0.24914285714285714"/>
    <x v="0"/>
    <n v="32"/>
    <n v="54.5"/>
    <x v="1"/>
    <s v="USD"/>
    <n v="1335416400"/>
    <n v="1337835600"/>
    <x v="418"/>
    <d v="2012-05-24T05:00:00"/>
    <x v="4"/>
  </r>
  <r>
    <n v="442"/>
    <s v="Calderon, Bradford and Dean"/>
    <s v="Devolved system-worthy framework"/>
    <n v="5400"/>
    <n v="10731"/>
    <n v="1.9872222222222222"/>
    <x v="1"/>
    <n v="143"/>
    <n v="75.04195804195804"/>
    <x v="6"/>
    <s v="EUR"/>
    <n v="1504328400"/>
    <n v="1505710800"/>
    <x v="419"/>
    <d v="2017-09-18T05:00:00"/>
    <x v="0"/>
  </r>
  <r>
    <n v="443"/>
    <s v="Clark-Bowman"/>
    <s v="Stand-alone user-facing service-desk"/>
    <n v="9300"/>
    <n v="3232"/>
    <n v="0.34752688172043011"/>
    <x v="3"/>
    <n v="90"/>
    <n v="35.911111111111111"/>
    <x v="1"/>
    <s v="USD"/>
    <n v="1285822800"/>
    <n v="1287464400"/>
    <x v="420"/>
    <d v="2010-10-19T05:00:00"/>
    <x v="4"/>
  </r>
  <r>
    <n v="444"/>
    <s v="Hensley Ltd"/>
    <s v="Versatile global attitude"/>
    <n v="6200"/>
    <n v="10938"/>
    <n v="1.7641935483870967"/>
    <x v="1"/>
    <n v="296"/>
    <n v="36.952702702702702"/>
    <x v="1"/>
    <s v="USD"/>
    <n v="1311483600"/>
    <n v="1311656400"/>
    <x v="421"/>
    <d v="2011-07-26T05:00:00"/>
    <x v="2"/>
  </r>
  <r>
    <n v="445"/>
    <s v="Anderson-Pearson"/>
    <s v="Intuitive demand-driven Local Area Network"/>
    <n v="2100"/>
    <n v="10739"/>
    <n v="5.1138095238095236"/>
    <x v="1"/>
    <n v="170"/>
    <n v="63.170588235294119"/>
    <x v="1"/>
    <s v="USD"/>
    <n v="1291356000"/>
    <n v="1293170400"/>
    <x v="422"/>
    <d v="2010-12-24T06:00:00"/>
    <x v="6"/>
  </r>
  <r>
    <n v="446"/>
    <s v="Martin, Martin and Solis"/>
    <s v="Assimilated uniform methodology"/>
    <n v="6800"/>
    <n v="5579"/>
    <n v="0.82044117647058823"/>
    <x v="0"/>
    <n v="186"/>
    <n v="29.99462365591398"/>
    <x v="1"/>
    <s v="USD"/>
    <n v="1355810400"/>
    <n v="1355983200"/>
    <x v="423"/>
    <d v="2012-12-20T06:00:00"/>
    <x v="1"/>
  </r>
  <r>
    <n v="447"/>
    <s v="Harrington-Harper"/>
    <s v="Self-enabling next generation algorithm"/>
    <n v="155200"/>
    <n v="37754"/>
    <n v="0.24326030927835052"/>
    <x v="3"/>
    <n v="439"/>
    <n v="86"/>
    <x v="4"/>
    <s v="GBP"/>
    <n v="1513663200"/>
    <n v="1515045600"/>
    <x v="424"/>
    <d v="2018-01-04T06:00:00"/>
    <x v="1"/>
  </r>
  <r>
    <n v="448"/>
    <s v="Price and Sons"/>
    <s v="Object-based demand-driven strategy"/>
    <n v="89900"/>
    <n v="45384"/>
    <n v="0.50482758620689661"/>
    <x v="0"/>
    <n v="605"/>
    <n v="75.014876033057845"/>
    <x v="1"/>
    <s v="USD"/>
    <n v="1365915600"/>
    <n v="1366088400"/>
    <x v="425"/>
    <d v="2013-04-16T05:00:00"/>
    <x v="2"/>
  </r>
  <r>
    <n v="449"/>
    <s v="Cuevas-Morales"/>
    <s v="Public-key coherent ability"/>
    <n v="900"/>
    <n v="8703"/>
    <n v="9.67"/>
    <x v="1"/>
    <n v="86"/>
    <n v="101.19767441860465"/>
    <x v="3"/>
    <s v="DKK"/>
    <n v="1551852000"/>
    <n v="1553317200"/>
    <x v="426"/>
    <d v="2019-03-23T05:00:00"/>
    <x v="3"/>
  </r>
  <r>
    <n v="450"/>
    <s v="Delgado-Hatfield"/>
    <s v="Up-sized composite success"/>
    <n v="100"/>
    <n v="4"/>
    <n v="0.04"/>
    <x v="0"/>
    <n v="1"/>
    <n v="4"/>
    <x v="0"/>
    <s v="CAD"/>
    <n v="1540098000"/>
    <n v="1542088800"/>
    <x v="427"/>
    <d v="2018-11-13T06:00:00"/>
    <x v="2"/>
  </r>
  <r>
    <n v="451"/>
    <s v="Padilla-Porter"/>
    <s v="Innovative exuding matrix"/>
    <n v="148400"/>
    <n v="182302"/>
    <n v="1.2284501347708894"/>
    <x v="1"/>
    <n v="6286"/>
    <n v="29.001272669424118"/>
    <x v="1"/>
    <s v="USD"/>
    <n v="1500440400"/>
    <n v="1503118800"/>
    <x v="428"/>
    <d v="2017-08-19T05:00:00"/>
    <x v="3"/>
  </r>
  <r>
    <n v="452"/>
    <s v="Morris Group"/>
    <s v="Realigned impactful artificial intelligence"/>
    <n v="4800"/>
    <n v="3045"/>
    <n v="0.63437500000000002"/>
    <x v="0"/>
    <n v="31"/>
    <n v="98.225806451612897"/>
    <x v="1"/>
    <s v="USD"/>
    <n v="1278392400"/>
    <n v="1278478800"/>
    <x v="429"/>
    <d v="2010-07-07T05:00:00"/>
    <x v="1"/>
  </r>
  <r>
    <n v="453"/>
    <s v="Saunders Ltd"/>
    <s v="Multi-layered multi-tasking secured line"/>
    <n v="182400"/>
    <n v="102749"/>
    <n v="0.56331688596491225"/>
    <x v="0"/>
    <n v="1181"/>
    <n v="87.001693480101608"/>
    <x v="1"/>
    <s v="USD"/>
    <n v="1480572000"/>
    <n v="1484114400"/>
    <x v="411"/>
    <d v="2017-01-11T06:00:00"/>
    <x v="4"/>
  </r>
  <r>
    <n v="454"/>
    <s v="Woods Inc"/>
    <s v="Upgradable upward-trending portal"/>
    <n v="4000"/>
    <n v="1763"/>
    <n v="0.44074999999999998"/>
    <x v="0"/>
    <n v="39"/>
    <n v="45.205128205128204"/>
    <x v="1"/>
    <s v="USD"/>
    <n v="1382331600"/>
    <n v="1385445600"/>
    <x v="430"/>
    <d v="2013-11-26T06:00:00"/>
    <x v="5"/>
  </r>
  <r>
    <n v="455"/>
    <s v="Villanueva, Wright and Richardson"/>
    <s v="Profit-focused global product"/>
    <n v="116500"/>
    <n v="137904"/>
    <n v="1.1837253218884121"/>
    <x v="1"/>
    <n v="3727"/>
    <n v="37.001341561577675"/>
    <x v="1"/>
    <s v="USD"/>
    <n v="1316754000"/>
    <n v="1318741200"/>
    <x v="431"/>
    <d v="2011-10-16T05:00:00"/>
    <x v="6"/>
  </r>
  <r>
    <n v="456"/>
    <s v="Wilson, Brooks and Clark"/>
    <s v="Operative well-modulated data-warehouse"/>
    <n v="146400"/>
    <n v="152438"/>
    <n v="1.041243169398907"/>
    <x v="1"/>
    <n v="1605"/>
    <n v="94.976947040498445"/>
    <x v="1"/>
    <s v="USD"/>
    <n v="1518242400"/>
    <n v="1518242400"/>
    <x v="432"/>
    <d v="2018-02-10T06:00:00"/>
    <x v="0"/>
  </r>
  <r>
    <n v="457"/>
    <s v="Sheppard, Smith and Spence"/>
    <s v="Cloned asymmetric functionalities"/>
    <n v="5000"/>
    <n v="1332"/>
    <n v="0.26640000000000003"/>
    <x v="0"/>
    <n v="46"/>
    <n v="28.956521739130434"/>
    <x v="1"/>
    <s v="USD"/>
    <n v="1476421200"/>
    <n v="1476594000"/>
    <x v="433"/>
    <d v="2016-10-16T05:00:00"/>
    <x v="6"/>
  </r>
  <r>
    <n v="458"/>
    <s v="Wise, Thompson and Allen"/>
    <s v="Pre-emptive neutral portal"/>
    <n v="33800"/>
    <n v="118706"/>
    <n v="3.5120118343195266"/>
    <x v="1"/>
    <n v="2120"/>
    <n v="55.993396226415094"/>
    <x v="1"/>
    <s v="USD"/>
    <n v="1269752400"/>
    <n v="1273554000"/>
    <x v="434"/>
    <d v="2010-05-11T05:00:00"/>
    <x v="2"/>
  </r>
  <r>
    <n v="459"/>
    <s v="Lane, Ryan and Chapman"/>
    <s v="Switchable demand-driven help-desk"/>
    <n v="6300"/>
    <n v="5674"/>
    <n v="0.90063492063492068"/>
    <x v="0"/>
    <n v="105"/>
    <n v="54.038095238095238"/>
    <x v="1"/>
    <s v="USD"/>
    <n v="1419746400"/>
    <n v="1421906400"/>
    <x v="435"/>
    <d v="2015-01-22T06:00:00"/>
    <x v="2"/>
  </r>
  <r>
    <n v="460"/>
    <s v="Rich, Alvarez and King"/>
    <s v="Business-focused static ability"/>
    <n v="2400"/>
    <n v="4119"/>
    <n v="1.7162500000000001"/>
    <x v="1"/>
    <n v="50"/>
    <n v="82.38"/>
    <x v="1"/>
    <s v="USD"/>
    <n v="1281330000"/>
    <n v="1281589200"/>
    <x v="8"/>
    <d v="2010-08-12T05:00:00"/>
    <x v="5"/>
  </r>
  <r>
    <n v="461"/>
    <s v="Terry-Salinas"/>
    <s v="Networked secondary structure"/>
    <n v="98800"/>
    <n v="139354"/>
    <n v="1.4104655870445344"/>
    <x v="1"/>
    <n v="2080"/>
    <n v="66.997115384615384"/>
    <x v="1"/>
    <s v="USD"/>
    <n v="1398661200"/>
    <n v="1400389200"/>
    <x v="436"/>
    <d v="2014-05-18T05:00:00"/>
    <x v="5"/>
  </r>
  <r>
    <n v="462"/>
    <s v="Wang-Rodriguez"/>
    <s v="Total multimedia website"/>
    <n v="188800"/>
    <n v="57734"/>
    <n v="0.30579449152542371"/>
    <x v="0"/>
    <n v="535"/>
    <n v="107.91401869158878"/>
    <x v="1"/>
    <s v="USD"/>
    <n v="1359525600"/>
    <n v="1362808800"/>
    <x v="385"/>
    <d v="2013-03-09T06:00:00"/>
    <x v="3"/>
  </r>
  <r>
    <n v="463"/>
    <s v="Mckee-Hill"/>
    <s v="Cross-platform upward-trending parallelism"/>
    <n v="134300"/>
    <n v="145265"/>
    <n v="1.0816455696202532"/>
    <x v="1"/>
    <n v="2105"/>
    <n v="69.009501187648453"/>
    <x v="1"/>
    <s v="USD"/>
    <n v="1388469600"/>
    <n v="1388815200"/>
    <x v="437"/>
    <d v="2014-01-04T06:00:00"/>
    <x v="1"/>
  </r>
  <r>
    <n v="464"/>
    <s v="Gomez LLC"/>
    <s v="Pre-emptive mission-critical hardware"/>
    <n v="71200"/>
    <n v="95020"/>
    <n v="1.3345505617977529"/>
    <x v="1"/>
    <n v="2436"/>
    <n v="39.006568144499177"/>
    <x v="1"/>
    <s v="USD"/>
    <n v="1518328800"/>
    <n v="1519538400"/>
    <x v="438"/>
    <d v="2018-02-25T06:00:00"/>
    <x v="2"/>
  </r>
  <r>
    <n v="465"/>
    <s v="Gonzalez-Robbins"/>
    <s v="Up-sized responsive protocol"/>
    <n v="4700"/>
    <n v="8829"/>
    <n v="1.8785106382978722"/>
    <x v="1"/>
    <n v="80"/>
    <n v="110.3625"/>
    <x v="1"/>
    <s v="USD"/>
    <n v="1517032800"/>
    <n v="1517810400"/>
    <x v="439"/>
    <d v="2018-02-05T06:00:00"/>
    <x v="0"/>
  </r>
  <r>
    <n v="466"/>
    <s v="Obrien and Sons"/>
    <s v="Pre-emptive transitional frame"/>
    <n v="1200"/>
    <n v="3984"/>
    <n v="3.32"/>
    <x v="1"/>
    <n v="42"/>
    <n v="94.857142857142861"/>
    <x v="1"/>
    <s v="USD"/>
    <n v="1368594000"/>
    <n v="1370581200"/>
    <x v="440"/>
    <d v="2013-06-07T05:00:00"/>
    <x v="3"/>
  </r>
  <r>
    <n v="467"/>
    <s v="Shaw Ltd"/>
    <s v="Profit-focused content-based application"/>
    <n v="1400"/>
    <n v="8053"/>
    <n v="5.7521428571428572"/>
    <x v="1"/>
    <n v="139"/>
    <n v="57.935251798561154"/>
    <x v="0"/>
    <s v="CAD"/>
    <n v="1448258400"/>
    <n v="1448863200"/>
    <x v="441"/>
    <d v="2015-11-30T06:00:00"/>
    <x v="5"/>
  </r>
  <r>
    <n v="468"/>
    <s v="Hughes Inc"/>
    <s v="Streamlined neutral analyzer"/>
    <n v="4000"/>
    <n v="1620"/>
    <n v="0.40500000000000003"/>
    <x v="0"/>
    <n v="16"/>
    <n v="101.25"/>
    <x v="1"/>
    <s v="USD"/>
    <n v="1555218000"/>
    <n v="1556600400"/>
    <x v="442"/>
    <d v="2019-04-30T05:00:00"/>
    <x v="2"/>
  </r>
  <r>
    <n v="469"/>
    <s v="Olsen-Ryan"/>
    <s v="Assimilated neutral utilization"/>
    <n v="5600"/>
    <n v="10328"/>
    <n v="1.8442857142857143"/>
    <x v="1"/>
    <n v="159"/>
    <n v="64.95597484276729"/>
    <x v="1"/>
    <s v="USD"/>
    <n v="1431925200"/>
    <n v="1432098000"/>
    <x v="443"/>
    <d v="2015-05-20T05:00:00"/>
    <x v="5"/>
  </r>
  <r>
    <n v="470"/>
    <s v="Grimes, Holland and Sloan"/>
    <s v="Extended dedicated archive"/>
    <n v="3600"/>
    <n v="10289"/>
    <n v="2.8580555555555556"/>
    <x v="1"/>
    <n v="381"/>
    <n v="27.00524934383202"/>
    <x v="1"/>
    <s v="USD"/>
    <n v="1481522400"/>
    <n v="1482127200"/>
    <x v="315"/>
    <d v="2016-12-19T06:00:00"/>
    <x v="5"/>
  </r>
  <r>
    <n v="471"/>
    <s v="Perry and Sons"/>
    <s v="Configurable static help-desk"/>
    <n v="3100"/>
    <n v="9889"/>
    <n v="3.19"/>
    <x v="1"/>
    <n v="194"/>
    <n v="50.97422680412371"/>
    <x v="4"/>
    <s v="GBP"/>
    <n v="1335934800"/>
    <n v="1335934800"/>
    <x v="444"/>
    <d v="2012-05-02T05:00:00"/>
    <x v="3"/>
  </r>
  <r>
    <n v="472"/>
    <s v="Turner, Young and Collins"/>
    <s v="Self-enabling clear-thinking framework"/>
    <n v="153800"/>
    <n v="60342"/>
    <n v="0.39234070221066319"/>
    <x v="0"/>
    <n v="575"/>
    <n v="104.94260869565217"/>
    <x v="1"/>
    <s v="USD"/>
    <n v="1552280400"/>
    <n v="1556946000"/>
    <x v="445"/>
    <d v="2019-05-04T05:00:00"/>
    <x v="5"/>
  </r>
  <r>
    <n v="473"/>
    <s v="Richardson Inc"/>
    <s v="Assimilated fault-tolerant capacity"/>
    <n v="5000"/>
    <n v="8907"/>
    <n v="1.7814000000000001"/>
    <x v="1"/>
    <n v="106"/>
    <n v="84.028301886792448"/>
    <x v="1"/>
    <s v="USD"/>
    <n v="1529989200"/>
    <n v="1530075600"/>
    <x v="446"/>
    <d v="2018-06-27T05:00:00"/>
    <x v="1"/>
  </r>
  <r>
    <n v="474"/>
    <s v="Santos-Young"/>
    <s v="Enhanced neutral ability"/>
    <n v="4000"/>
    <n v="14606"/>
    <n v="3.6515"/>
    <x v="1"/>
    <n v="142"/>
    <n v="102.85915492957747"/>
    <x v="1"/>
    <s v="USD"/>
    <n v="1418709600"/>
    <n v="1418796000"/>
    <x v="447"/>
    <d v="2014-12-17T06:00:00"/>
    <x v="1"/>
  </r>
  <r>
    <n v="475"/>
    <s v="Nichols Ltd"/>
    <s v="Function-based attitude-oriented groupware"/>
    <n v="7400"/>
    <n v="8432"/>
    <n v="1.1394594594594594"/>
    <x v="1"/>
    <n v="211"/>
    <n v="39.962085308056871"/>
    <x v="1"/>
    <s v="USD"/>
    <n v="1372136400"/>
    <n v="1372482000"/>
    <x v="448"/>
    <d v="2013-06-29T05:00:00"/>
    <x v="1"/>
  </r>
  <r>
    <n v="476"/>
    <s v="Murphy PLC"/>
    <s v="Optional solution-oriented instruction set"/>
    <n v="191500"/>
    <n v="57122"/>
    <n v="0.29828720626631855"/>
    <x v="0"/>
    <n v="1120"/>
    <n v="51.001785714285717"/>
    <x v="1"/>
    <s v="USD"/>
    <n v="1533877200"/>
    <n v="1534395600"/>
    <x v="342"/>
    <d v="2018-08-16T05:00:00"/>
    <x v="6"/>
  </r>
  <r>
    <n v="477"/>
    <s v="Hogan, Porter and Rivera"/>
    <s v="Organic object-oriented core"/>
    <n v="8500"/>
    <n v="4613"/>
    <n v="0.54270588235294115"/>
    <x v="0"/>
    <n v="113"/>
    <n v="40.823008849557525"/>
    <x v="1"/>
    <s v="USD"/>
    <n v="1309064400"/>
    <n v="1311397200"/>
    <x v="449"/>
    <d v="2011-07-23T05:00:00"/>
    <x v="2"/>
  </r>
  <r>
    <n v="478"/>
    <s v="Lyons LLC"/>
    <s v="Balanced impactful circuit"/>
    <n v="68800"/>
    <n v="162603"/>
    <n v="2.3634156976744185"/>
    <x v="1"/>
    <n v="2756"/>
    <n v="58.999637155297535"/>
    <x v="1"/>
    <s v="USD"/>
    <n v="1425877200"/>
    <n v="1426914000"/>
    <x v="450"/>
    <d v="2015-03-21T05:00:00"/>
    <x v="5"/>
  </r>
  <r>
    <n v="479"/>
    <s v="Long-Greene"/>
    <s v="Future-proofed heuristic encryption"/>
    <n v="2400"/>
    <n v="12310"/>
    <n v="5.1291666666666664"/>
    <x v="1"/>
    <n v="173"/>
    <n v="71.156069364161851"/>
    <x v="4"/>
    <s v="GBP"/>
    <n v="1501304400"/>
    <n v="1501477200"/>
    <x v="451"/>
    <d v="2017-07-31T05:00:00"/>
    <x v="0"/>
  </r>
  <r>
    <n v="480"/>
    <s v="Robles-Hudson"/>
    <s v="Balanced bifurcated leverage"/>
    <n v="8600"/>
    <n v="8656"/>
    <n v="1.0065116279069768"/>
    <x v="1"/>
    <n v="87"/>
    <n v="99.494252873563212"/>
    <x v="1"/>
    <s v="USD"/>
    <n v="1268287200"/>
    <n v="1269061200"/>
    <x v="452"/>
    <d v="2010-03-20T05:00:00"/>
    <x v="4"/>
  </r>
  <r>
    <n v="481"/>
    <s v="Mcclure LLC"/>
    <s v="Sharable discrete budgetary management"/>
    <n v="196600"/>
    <n v="159931"/>
    <n v="0.81348423194303154"/>
    <x v="0"/>
    <n v="1538"/>
    <n v="103.98634590377114"/>
    <x v="1"/>
    <s v="USD"/>
    <n v="1412139600"/>
    <n v="1415772000"/>
    <x v="453"/>
    <d v="2014-11-12T06:00:00"/>
    <x v="3"/>
  </r>
  <r>
    <n v="482"/>
    <s v="Martin, Russell and Baker"/>
    <s v="Focused solution-oriented instruction set"/>
    <n v="4200"/>
    <n v="689"/>
    <n v="0.16404761904761905"/>
    <x v="0"/>
    <n v="9"/>
    <n v="76.555555555555557"/>
    <x v="1"/>
    <s v="USD"/>
    <n v="1330063200"/>
    <n v="1331013600"/>
    <x v="454"/>
    <d v="2012-03-06T06:00:00"/>
    <x v="6"/>
  </r>
  <r>
    <n v="483"/>
    <s v="Rice-Parker"/>
    <s v="Down-sized actuating infrastructure"/>
    <n v="91400"/>
    <n v="48236"/>
    <n v="0.52774617067833696"/>
    <x v="0"/>
    <n v="554"/>
    <n v="87.068592057761734"/>
    <x v="1"/>
    <s v="USD"/>
    <n v="1576130400"/>
    <n v="1576735200"/>
    <x v="455"/>
    <d v="2019-12-19T06:00:00"/>
    <x v="4"/>
  </r>
  <r>
    <n v="484"/>
    <s v="Landry Inc"/>
    <s v="Synergistic cohesive adapter"/>
    <n v="29600"/>
    <n v="77021"/>
    <n v="2.6020608108108108"/>
    <x v="1"/>
    <n v="1572"/>
    <n v="48.99554707379135"/>
    <x v="4"/>
    <s v="GBP"/>
    <n v="1407128400"/>
    <n v="1411362000"/>
    <x v="456"/>
    <d v="2014-09-22T05:00:00"/>
    <x v="5"/>
  </r>
  <r>
    <n v="485"/>
    <s v="Richards-Davis"/>
    <s v="Quality-focused mission-critical structure"/>
    <n v="90600"/>
    <n v="27844"/>
    <n v="0.30732891832229581"/>
    <x v="0"/>
    <n v="648"/>
    <n v="42.969135802469133"/>
    <x v="4"/>
    <s v="GBP"/>
    <n v="1560142800"/>
    <n v="1563685200"/>
    <x v="457"/>
    <d v="2019-07-21T05:00:00"/>
    <x v="5"/>
  </r>
  <r>
    <n v="486"/>
    <s v="Davis, Cox and Fox"/>
    <s v="Compatible exuding Graphical User Interface"/>
    <n v="5200"/>
    <n v="702"/>
    <n v="0.13500000000000001"/>
    <x v="0"/>
    <n v="21"/>
    <n v="33.428571428571431"/>
    <x v="4"/>
    <s v="GBP"/>
    <n v="1520575200"/>
    <n v="1521867600"/>
    <x v="458"/>
    <d v="2018-03-24T05:00:00"/>
    <x v="6"/>
  </r>
  <r>
    <n v="487"/>
    <s v="Smith-Wallace"/>
    <s v="Monitored 24/7 time-frame"/>
    <n v="110300"/>
    <n v="197024"/>
    <n v="1.7862556663644606"/>
    <x v="1"/>
    <n v="2346"/>
    <n v="83.982949701619773"/>
    <x v="1"/>
    <s v="USD"/>
    <n v="1492664400"/>
    <n v="1495515600"/>
    <x v="459"/>
    <d v="2017-05-23T05:00:00"/>
    <x v="4"/>
  </r>
  <r>
    <n v="488"/>
    <s v="Cordova, Shaw and Wang"/>
    <s v="Virtual secondary open architecture"/>
    <n v="5300"/>
    <n v="11663"/>
    <n v="2.2005660377358489"/>
    <x v="1"/>
    <n v="115"/>
    <n v="101.41739130434783"/>
    <x v="1"/>
    <s v="USD"/>
    <n v="1454479200"/>
    <n v="1455948000"/>
    <x v="460"/>
    <d v="2016-02-20T06:00:00"/>
    <x v="3"/>
  </r>
  <r>
    <n v="489"/>
    <s v="Clark Inc"/>
    <s v="Down-sized mobile time-frame"/>
    <n v="9200"/>
    <n v="9339"/>
    <n v="1.015108695652174"/>
    <x v="1"/>
    <n v="85"/>
    <n v="109.87058823529412"/>
    <x v="6"/>
    <s v="EUR"/>
    <n v="1281934800"/>
    <n v="1282366800"/>
    <x v="461"/>
    <d v="2010-08-21T05:00:00"/>
    <x v="5"/>
  </r>
  <r>
    <n v="490"/>
    <s v="Young and Sons"/>
    <s v="Innovative disintermediate encryption"/>
    <n v="2400"/>
    <n v="4596"/>
    <n v="1.915"/>
    <x v="1"/>
    <n v="144"/>
    <n v="31.916666666666668"/>
    <x v="1"/>
    <s v="USD"/>
    <n v="1573970400"/>
    <n v="1574575200"/>
    <x v="462"/>
    <d v="2019-11-24T06:00:00"/>
    <x v="2"/>
  </r>
  <r>
    <n v="491"/>
    <s v="Henson PLC"/>
    <s v="Universal contextually-based knowledgebase"/>
    <n v="56800"/>
    <n v="173437"/>
    <n v="3.0534683098591549"/>
    <x v="1"/>
    <n v="2443"/>
    <n v="70.993450675399103"/>
    <x v="1"/>
    <s v="USD"/>
    <n v="1372654800"/>
    <n v="1374901200"/>
    <x v="463"/>
    <d v="2013-07-27T05:00:00"/>
    <x v="5"/>
  </r>
  <r>
    <n v="492"/>
    <s v="Garcia Group"/>
    <s v="Persevering interactive matrix"/>
    <n v="191000"/>
    <n v="45831"/>
    <n v="0.23995287958115183"/>
    <x v="3"/>
    <n v="595"/>
    <n v="77.026890756302521"/>
    <x v="1"/>
    <s v="USD"/>
    <n v="1275886800"/>
    <n v="1278910800"/>
    <x v="464"/>
    <d v="2010-07-12T05:00:00"/>
    <x v="5"/>
  </r>
  <r>
    <n v="493"/>
    <s v="Adams, Walker and Wong"/>
    <s v="Seamless background framework"/>
    <n v="900"/>
    <n v="6514"/>
    <n v="7.2377777777777776"/>
    <x v="1"/>
    <n v="64"/>
    <n v="101.78125"/>
    <x v="1"/>
    <s v="USD"/>
    <n v="1561784400"/>
    <n v="1562907600"/>
    <x v="465"/>
    <d v="2019-07-12T05:00:00"/>
    <x v="0"/>
  </r>
  <r>
    <n v="494"/>
    <s v="Hopkins-Browning"/>
    <s v="Balanced upward-trending productivity"/>
    <n v="2500"/>
    <n v="13684"/>
    <n v="5.4736000000000002"/>
    <x v="1"/>
    <n v="268"/>
    <n v="51.059701492537314"/>
    <x v="1"/>
    <s v="USD"/>
    <n v="1332392400"/>
    <n v="1332478800"/>
    <x v="466"/>
    <d v="2012-03-23T05:00:00"/>
    <x v="4"/>
  </r>
  <r>
    <n v="495"/>
    <s v="Bell, Edwards and Andersen"/>
    <s v="Centralized clear-thinking solution"/>
    <n v="3200"/>
    <n v="13264"/>
    <n v="4.1449999999999996"/>
    <x v="1"/>
    <n v="195"/>
    <n v="68.02051282051282"/>
    <x v="3"/>
    <s v="DKK"/>
    <n v="1402376400"/>
    <n v="1402722000"/>
    <x v="467"/>
    <d v="2014-06-14T05:00:00"/>
    <x v="1"/>
  </r>
  <r>
    <n v="496"/>
    <s v="Morales Group"/>
    <s v="Optimized bi-directional extranet"/>
    <n v="183800"/>
    <n v="1667"/>
    <n v="9.0696409140369975E-3"/>
    <x v="0"/>
    <n v="54"/>
    <n v="30.87037037037037"/>
    <x v="1"/>
    <s v="USD"/>
    <n v="1495342800"/>
    <n v="1496811600"/>
    <x v="468"/>
    <d v="2017-06-07T05:00:00"/>
    <x v="2"/>
  </r>
  <r>
    <n v="497"/>
    <s v="Lucero Group"/>
    <s v="Intuitive actuating benchmark"/>
    <n v="9800"/>
    <n v="3349"/>
    <n v="0.34173469387755101"/>
    <x v="0"/>
    <n v="120"/>
    <n v="27.908333333333335"/>
    <x v="1"/>
    <s v="USD"/>
    <n v="1482213600"/>
    <n v="1482213600"/>
    <x v="469"/>
    <d v="2016-12-20T06:00:00"/>
    <x v="1"/>
  </r>
  <r>
    <n v="498"/>
    <s v="Smith, Brown and Davis"/>
    <s v="Devolved background project"/>
    <n v="193400"/>
    <n v="46317"/>
    <n v="0.239488107549121"/>
    <x v="0"/>
    <n v="579"/>
    <n v="79.994818652849744"/>
    <x v="3"/>
    <s v="DKK"/>
    <n v="1420092000"/>
    <n v="1420264800"/>
    <x v="470"/>
    <d v="2015-01-03T06:00:00"/>
    <x v="4"/>
  </r>
  <r>
    <n v="499"/>
    <s v="Hunt Group"/>
    <s v="Reverse-engineered executive emulation"/>
    <n v="163800"/>
    <n v="78743"/>
    <n v="0.48072649572649573"/>
    <x v="0"/>
    <n v="2072"/>
    <n v="38.003378378378379"/>
    <x v="1"/>
    <s v="USD"/>
    <n v="1458018000"/>
    <n v="1458450000"/>
    <x v="471"/>
    <d v="2016-03-20T05:00:00"/>
    <x v="1"/>
  </r>
  <r>
    <n v="500"/>
    <s v="Valdez Ltd"/>
    <s v="Team-oriented clear-thinking matrix"/>
    <n v="100"/>
    <n v="0"/>
    <n v="0"/>
    <x v="0"/>
    <n v="0"/>
    <n v="0"/>
    <x v="1"/>
    <s v="USD"/>
    <n v="1367384400"/>
    <n v="1369803600"/>
    <x v="472"/>
    <d v="2013-05-29T05:00:00"/>
    <x v="3"/>
  </r>
  <r>
    <n v="501"/>
    <s v="Mccann-Le"/>
    <s v="Focused coherent methodology"/>
    <n v="153600"/>
    <n v="107743"/>
    <n v="0.70145182291666663"/>
    <x v="0"/>
    <n v="1796"/>
    <n v="59.990534521158132"/>
    <x v="1"/>
    <s v="USD"/>
    <n v="1363064400"/>
    <n v="1363237200"/>
    <x v="473"/>
    <d v="2013-03-14T05:00:00"/>
    <x v="1"/>
  </r>
  <r>
    <n v="502"/>
    <s v="Johnson Inc"/>
    <s v="Reduced context-sensitive complexity"/>
    <n v="1300"/>
    <n v="6889"/>
    <n v="5.2992307692307694"/>
    <x v="1"/>
    <n v="186"/>
    <n v="37.037634408602152"/>
    <x v="2"/>
    <s v="AUD"/>
    <n v="1343365200"/>
    <n v="1345870800"/>
    <x v="474"/>
    <d v="2012-08-25T05:00:00"/>
    <x v="6"/>
  </r>
  <r>
    <n v="503"/>
    <s v="Collins LLC"/>
    <s v="Decentralized 4thgeneration time-frame"/>
    <n v="25500"/>
    <n v="45983"/>
    <n v="1.8032549019607844"/>
    <x v="1"/>
    <n v="460"/>
    <n v="99.963043478260872"/>
    <x v="1"/>
    <s v="USD"/>
    <n v="1435726800"/>
    <n v="1437454800"/>
    <x v="72"/>
    <d v="2015-07-21T05:00:00"/>
    <x v="3"/>
  </r>
  <r>
    <n v="504"/>
    <s v="Smith-Miller"/>
    <s v="De-engineered cohesive moderator"/>
    <n v="7500"/>
    <n v="6924"/>
    <n v="0.92320000000000002"/>
    <x v="0"/>
    <n v="62"/>
    <n v="111.6774193548387"/>
    <x v="6"/>
    <s v="EUR"/>
    <n v="1431925200"/>
    <n v="1432011600"/>
    <x v="443"/>
    <d v="2015-05-19T05:00:00"/>
    <x v="5"/>
  </r>
  <r>
    <n v="505"/>
    <s v="Jensen-Vargas"/>
    <s v="Ameliorated explicit parallelism"/>
    <n v="89900"/>
    <n v="12497"/>
    <n v="0.13901001112347053"/>
    <x v="0"/>
    <n v="347"/>
    <n v="36.014409221902014"/>
    <x v="1"/>
    <s v="USD"/>
    <n v="1362722400"/>
    <n v="1366347600"/>
    <x v="475"/>
    <d v="2013-04-19T05:00:00"/>
    <x v="6"/>
  </r>
  <r>
    <n v="506"/>
    <s v="Robles, Bell and Gonzalez"/>
    <s v="Customizable background monitoring"/>
    <n v="18000"/>
    <n v="166874"/>
    <n v="9.2707777777777771"/>
    <x v="1"/>
    <n v="2528"/>
    <n v="66.010284810126578"/>
    <x v="1"/>
    <s v="USD"/>
    <n v="1511416800"/>
    <n v="1512885600"/>
    <x v="81"/>
    <d v="2017-12-10T06:00:00"/>
    <x v="4"/>
  </r>
  <r>
    <n v="507"/>
    <s v="Turner, Miller and Francis"/>
    <s v="Compatible well-modulated budgetary management"/>
    <n v="2100"/>
    <n v="837"/>
    <n v="0.39857142857142858"/>
    <x v="0"/>
    <n v="19"/>
    <n v="44.05263157894737"/>
    <x v="1"/>
    <s v="USD"/>
    <n v="1365483600"/>
    <n v="1369717200"/>
    <x v="476"/>
    <d v="2013-05-28T05:00:00"/>
    <x v="1"/>
  </r>
  <r>
    <n v="508"/>
    <s v="Roberts Group"/>
    <s v="Up-sized radical pricing structure"/>
    <n v="172700"/>
    <n v="193820"/>
    <n v="1.1222929936305732"/>
    <x v="1"/>
    <n v="3657"/>
    <n v="52.999726551818434"/>
    <x v="1"/>
    <s v="USD"/>
    <n v="1532840400"/>
    <n v="1534654800"/>
    <x v="192"/>
    <d v="2018-08-19T05:00:00"/>
    <x v="2"/>
  </r>
  <r>
    <n v="509"/>
    <s v="White LLC"/>
    <s v="Robust zero-defect project"/>
    <n v="168500"/>
    <n v="119510"/>
    <n v="0.70925816023738875"/>
    <x v="0"/>
    <n v="1258"/>
    <n v="95"/>
    <x v="1"/>
    <s v="USD"/>
    <n v="1336194000"/>
    <n v="1337058000"/>
    <x v="477"/>
    <d v="2012-05-15T05:00:00"/>
    <x v="0"/>
  </r>
  <r>
    <n v="510"/>
    <s v="Best, Miller and Thomas"/>
    <s v="Re-engineered mobile task-force"/>
    <n v="7800"/>
    <n v="9289"/>
    <n v="1.1908974358974358"/>
    <x v="1"/>
    <n v="131"/>
    <n v="70.908396946564892"/>
    <x v="2"/>
    <s v="AUD"/>
    <n v="1527742800"/>
    <n v="1529816400"/>
    <x v="478"/>
    <d v="2018-06-24T05:00:00"/>
    <x v="4"/>
  </r>
  <r>
    <n v="511"/>
    <s v="Smith-Mullins"/>
    <s v="User-centric intangible neural-net"/>
    <n v="147800"/>
    <n v="35498"/>
    <n v="0.24017591339648173"/>
    <x v="0"/>
    <n v="362"/>
    <n v="98.060773480662988"/>
    <x v="1"/>
    <s v="USD"/>
    <n v="1564030800"/>
    <n v="1564894800"/>
    <x v="479"/>
    <d v="2019-08-04T05:00:00"/>
    <x v="4"/>
  </r>
  <r>
    <n v="512"/>
    <s v="Williams-Walsh"/>
    <s v="Organized explicit core"/>
    <n v="9100"/>
    <n v="12678"/>
    <n v="1.3931868131868133"/>
    <x v="1"/>
    <n v="239"/>
    <n v="53.046025104602514"/>
    <x v="1"/>
    <s v="USD"/>
    <n v="1404536400"/>
    <n v="1404622800"/>
    <x v="480"/>
    <d v="2014-07-06T05:00:00"/>
    <x v="0"/>
  </r>
  <r>
    <n v="513"/>
    <s v="Harrison, Blackwell and Mendez"/>
    <s v="Synchronized 6thgeneration adapter"/>
    <n v="8300"/>
    <n v="3260"/>
    <n v="0.39277108433734942"/>
    <x v="3"/>
    <n v="35"/>
    <n v="93.142857142857139"/>
    <x v="1"/>
    <s v="USD"/>
    <n v="1284008400"/>
    <n v="1284181200"/>
    <x v="180"/>
    <d v="2010-09-11T05:00:00"/>
    <x v="4"/>
  </r>
  <r>
    <n v="514"/>
    <s v="Sanchez, Bradley and Flores"/>
    <s v="Centralized motivating capacity"/>
    <n v="138700"/>
    <n v="31123"/>
    <n v="0.22439077144917088"/>
    <x v="3"/>
    <n v="528"/>
    <n v="58.945075757575758"/>
    <x v="5"/>
    <s v="CHF"/>
    <n v="1386309600"/>
    <n v="1386741600"/>
    <x v="481"/>
    <d v="2013-12-11T06:00:00"/>
    <x v="6"/>
  </r>
  <r>
    <n v="515"/>
    <s v="Cox LLC"/>
    <s v="Phased 24hour flexibility"/>
    <n v="8600"/>
    <n v="4797"/>
    <n v="0.55779069767441858"/>
    <x v="0"/>
    <n v="133"/>
    <n v="36.067669172932334"/>
    <x v="0"/>
    <s v="CAD"/>
    <n v="1324620000"/>
    <n v="1324792800"/>
    <x v="482"/>
    <d v="2011-12-25T06:00:00"/>
    <x v="6"/>
  </r>
  <r>
    <n v="516"/>
    <s v="Morales-Odonnell"/>
    <s v="Exclusive 5thgeneration structure"/>
    <n v="125400"/>
    <n v="53324"/>
    <n v="0.42523125996810207"/>
    <x v="0"/>
    <n v="846"/>
    <n v="63.030732860520096"/>
    <x v="1"/>
    <s v="USD"/>
    <n v="1281070800"/>
    <n v="1284354000"/>
    <x v="194"/>
    <d v="2010-09-13T05:00:00"/>
    <x v="6"/>
  </r>
  <r>
    <n v="517"/>
    <s v="Ramirez LLC"/>
    <s v="Multi-tiered maximized orchestration"/>
    <n v="5900"/>
    <n v="6608"/>
    <n v="1.1200000000000001"/>
    <x v="1"/>
    <n v="78"/>
    <n v="84.717948717948715"/>
    <x v="1"/>
    <s v="USD"/>
    <n v="1493960400"/>
    <n v="1494392400"/>
    <x v="483"/>
    <d v="2017-05-10T05:00:00"/>
    <x v="6"/>
  </r>
  <r>
    <n v="518"/>
    <s v="Ramirez Group"/>
    <s v="Open-architected uniform instruction set"/>
    <n v="8800"/>
    <n v="622"/>
    <n v="7.0681818181818179E-2"/>
    <x v="0"/>
    <n v="10"/>
    <n v="62.2"/>
    <x v="1"/>
    <s v="USD"/>
    <n v="1519365600"/>
    <n v="1519538400"/>
    <x v="484"/>
    <d v="2018-02-25T06:00:00"/>
    <x v="6"/>
  </r>
  <r>
    <n v="519"/>
    <s v="Marsh-Coleman"/>
    <s v="Exclusive asymmetric analyzer"/>
    <n v="177700"/>
    <n v="180802"/>
    <n v="1.0174563871693867"/>
    <x v="1"/>
    <n v="1773"/>
    <n v="101.97518330513255"/>
    <x v="1"/>
    <s v="USD"/>
    <n v="1420696800"/>
    <n v="1421906400"/>
    <x v="355"/>
    <d v="2015-01-22T06:00:00"/>
    <x v="4"/>
  </r>
  <r>
    <n v="520"/>
    <s v="Frederick, Jenkins and Collins"/>
    <s v="Organic radical collaboration"/>
    <n v="800"/>
    <n v="3406"/>
    <n v="4.2575000000000003"/>
    <x v="1"/>
    <n v="32"/>
    <n v="106.4375"/>
    <x v="1"/>
    <s v="USD"/>
    <n v="1555650000"/>
    <n v="1555909200"/>
    <x v="485"/>
    <d v="2019-04-22T05:00:00"/>
    <x v="6"/>
  </r>
  <r>
    <n v="521"/>
    <s v="Wilson Ltd"/>
    <s v="Function-based multi-state software"/>
    <n v="7600"/>
    <n v="11061"/>
    <n v="1.4553947368421052"/>
    <x v="1"/>
    <n v="369"/>
    <n v="29.975609756097562"/>
    <x v="1"/>
    <s v="USD"/>
    <n v="1471928400"/>
    <n v="1472446800"/>
    <x v="486"/>
    <d v="2016-08-29T05:00:00"/>
    <x v="1"/>
  </r>
  <r>
    <n v="522"/>
    <s v="Cline, Peterson and Lowery"/>
    <s v="Innovative static budgetary management"/>
    <n v="50500"/>
    <n v="16389"/>
    <n v="0.32453465346534655"/>
    <x v="0"/>
    <n v="191"/>
    <n v="85.806282722513089"/>
    <x v="1"/>
    <s v="USD"/>
    <n v="1341291600"/>
    <n v="1342328400"/>
    <x v="487"/>
    <d v="2012-07-15T05:00:00"/>
    <x v="1"/>
  </r>
  <r>
    <n v="523"/>
    <s v="Underwood, James and Jones"/>
    <s v="Triple-buffered holistic ability"/>
    <n v="900"/>
    <n v="6303"/>
    <n v="7.003333333333333"/>
    <x v="1"/>
    <n v="89"/>
    <n v="70.82022471910112"/>
    <x v="1"/>
    <s v="USD"/>
    <n v="1267682400"/>
    <n v="1268114400"/>
    <x v="488"/>
    <d v="2010-03-09T06:00:00"/>
    <x v="4"/>
  </r>
  <r>
    <n v="524"/>
    <s v="Johnson-Contreras"/>
    <s v="Diverse scalable superstructure"/>
    <n v="96700"/>
    <n v="81136"/>
    <n v="0.83904860392967939"/>
    <x v="0"/>
    <n v="1979"/>
    <n v="40.998484082870135"/>
    <x v="1"/>
    <s v="USD"/>
    <n v="1272258000"/>
    <n v="1273381200"/>
    <x v="489"/>
    <d v="2010-05-09T05:00:00"/>
    <x v="5"/>
  </r>
  <r>
    <n v="525"/>
    <s v="Greene, Lloyd and Sims"/>
    <s v="Balanced leadingedge data-warehouse"/>
    <n v="2100"/>
    <n v="1768"/>
    <n v="0.84190476190476193"/>
    <x v="0"/>
    <n v="63"/>
    <n v="28.063492063492063"/>
    <x v="1"/>
    <s v="USD"/>
    <n v="1290492000"/>
    <n v="1290837600"/>
    <x v="490"/>
    <d v="2010-11-27T06:00:00"/>
    <x v="1"/>
  </r>
  <r>
    <n v="526"/>
    <s v="Smith-Sparks"/>
    <s v="Digitized bandwidth-monitored open architecture"/>
    <n v="8300"/>
    <n v="12944"/>
    <n v="1.5595180722891566"/>
    <x v="1"/>
    <n v="147"/>
    <n v="88.054421768707485"/>
    <x v="1"/>
    <s v="USD"/>
    <n v="1451109600"/>
    <n v="1454306400"/>
    <x v="312"/>
    <d v="2016-02-01T06:00:00"/>
    <x v="0"/>
  </r>
  <r>
    <n v="527"/>
    <s v="Rosario-Smith"/>
    <s v="Enterprise-wide intermediate portal"/>
    <n v="189200"/>
    <n v="188480"/>
    <n v="0.99619450317124736"/>
    <x v="0"/>
    <n v="6080"/>
    <n v="31"/>
    <x v="0"/>
    <s v="CAD"/>
    <n v="1454652000"/>
    <n v="1457762400"/>
    <x v="491"/>
    <d v="2016-03-12T06:00:00"/>
    <x v="6"/>
  </r>
  <r>
    <n v="528"/>
    <s v="Avila, Ford and Welch"/>
    <s v="Focused leadingedge matrix"/>
    <n v="9000"/>
    <n v="7227"/>
    <n v="0.80300000000000005"/>
    <x v="0"/>
    <n v="80"/>
    <n v="90.337500000000006"/>
    <x v="4"/>
    <s v="GBP"/>
    <n v="1385186400"/>
    <n v="1389074400"/>
    <x v="492"/>
    <d v="2014-01-07T06:00:00"/>
    <x v="0"/>
  </r>
  <r>
    <n v="529"/>
    <s v="Gallegos Inc"/>
    <s v="Seamless logistical encryption"/>
    <n v="5100"/>
    <n v="574"/>
    <n v="0.11254901960784314"/>
    <x v="0"/>
    <n v="9"/>
    <n v="63.777777777777779"/>
    <x v="1"/>
    <s v="USD"/>
    <n v="1399698000"/>
    <n v="1402117200"/>
    <x v="493"/>
    <d v="2014-06-07T05:00:00"/>
    <x v="0"/>
  </r>
  <r>
    <n v="530"/>
    <s v="Morrow, Santiago and Soto"/>
    <s v="Stand-alone human-resource workforce"/>
    <n v="105000"/>
    <n v="96328"/>
    <n v="0.91740952380952379"/>
    <x v="0"/>
    <n v="1784"/>
    <n v="53.995515695067262"/>
    <x v="1"/>
    <s v="USD"/>
    <n v="1283230800"/>
    <n v="1284440400"/>
    <x v="494"/>
    <d v="2010-09-14T05:00:00"/>
    <x v="1"/>
  </r>
  <r>
    <n v="531"/>
    <s v="Berry-Richardson"/>
    <s v="Automated zero tolerance implementation"/>
    <n v="186700"/>
    <n v="178338"/>
    <n v="0.95521156936261387"/>
    <x v="2"/>
    <n v="3640"/>
    <n v="48.993956043956047"/>
    <x v="5"/>
    <s v="CHF"/>
    <n v="1384149600"/>
    <n v="1388988000"/>
    <x v="495"/>
    <d v="2014-01-06T06:00:00"/>
    <x v="5"/>
  </r>
  <r>
    <n v="532"/>
    <s v="Cordova-Torres"/>
    <s v="Pre-emptive grid-enabled contingency"/>
    <n v="1600"/>
    <n v="8046"/>
    <n v="5.0287499999999996"/>
    <x v="1"/>
    <n v="126"/>
    <n v="63.857142857142854"/>
    <x v="0"/>
    <s v="CAD"/>
    <n v="1516860000"/>
    <n v="1516946400"/>
    <x v="496"/>
    <d v="2018-01-26T06:00:00"/>
    <x v="4"/>
  </r>
  <r>
    <n v="533"/>
    <s v="Holt, Bernard and Johnson"/>
    <s v="Multi-lateral didactic encoding"/>
    <n v="115600"/>
    <n v="184086"/>
    <n v="1.5924394463667819"/>
    <x v="1"/>
    <n v="2218"/>
    <n v="82.996393146979258"/>
    <x v="4"/>
    <s v="GBP"/>
    <n v="1374642000"/>
    <n v="1377752400"/>
    <x v="497"/>
    <d v="2013-08-29T05:00:00"/>
    <x v="3"/>
  </r>
  <r>
    <n v="534"/>
    <s v="Clark, Mccormick and Mendoza"/>
    <s v="Self-enabling didactic orchestration"/>
    <n v="89100"/>
    <n v="13385"/>
    <n v="0.15022446689113356"/>
    <x v="0"/>
    <n v="243"/>
    <n v="55.08230452674897"/>
    <x v="1"/>
    <s v="USD"/>
    <n v="1534482000"/>
    <n v="1534568400"/>
    <x v="498"/>
    <d v="2018-08-18T05:00:00"/>
    <x v="6"/>
  </r>
  <r>
    <n v="535"/>
    <s v="Garrison LLC"/>
    <s v="Profit-focused 24/7 data-warehouse"/>
    <n v="2600"/>
    <n v="12533"/>
    <n v="4.820384615384615"/>
    <x v="1"/>
    <n v="202"/>
    <n v="62.044554455445542"/>
    <x v="6"/>
    <s v="EUR"/>
    <n v="1528434000"/>
    <n v="1528606800"/>
    <x v="499"/>
    <d v="2018-06-10T05:00:00"/>
    <x v="6"/>
  </r>
  <r>
    <n v="536"/>
    <s v="Shannon-Olson"/>
    <s v="Enhanced methodical middleware"/>
    <n v="9800"/>
    <n v="14697"/>
    <n v="1.4996938775510205"/>
    <x v="1"/>
    <n v="140"/>
    <n v="104.97857142857143"/>
    <x v="6"/>
    <s v="EUR"/>
    <n v="1282626000"/>
    <n v="1284872400"/>
    <x v="500"/>
    <d v="2010-09-19T05:00:00"/>
    <x v="1"/>
  </r>
  <r>
    <n v="537"/>
    <s v="Murillo-Mcfarland"/>
    <s v="Synchronized client-driven projection"/>
    <n v="84400"/>
    <n v="98935"/>
    <n v="1.1722156398104266"/>
    <x v="1"/>
    <n v="1052"/>
    <n v="94.044676806083643"/>
    <x v="3"/>
    <s v="DKK"/>
    <n v="1535605200"/>
    <n v="1537592400"/>
    <x v="501"/>
    <d v="2018-09-22T05:00:00"/>
    <x v="4"/>
  </r>
  <r>
    <n v="538"/>
    <s v="Young, Gilbert and Escobar"/>
    <s v="Networked didactic time-frame"/>
    <n v="151300"/>
    <n v="57034"/>
    <n v="0.37695968274950431"/>
    <x v="0"/>
    <n v="1296"/>
    <n v="44.007716049382715"/>
    <x v="1"/>
    <s v="USD"/>
    <n v="1379826000"/>
    <n v="1381208400"/>
    <x v="502"/>
    <d v="2013-10-08T05:00:00"/>
    <x v="2"/>
  </r>
  <r>
    <n v="539"/>
    <s v="Thomas, Welch and Santana"/>
    <s v="Assimilated exuding toolset"/>
    <n v="9800"/>
    <n v="7120"/>
    <n v="0.72653061224489801"/>
    <x v="0"/>
    <n v="77"/>
    <n v="92.467532467532465"/>
    <x v="1"/>
    <s v="USD"/>
    <n v="1561957200"/>
    <n v="1562475600"/>
    <x v="503"/>
    <d v="2019-07-07T05:00:00"/>
    <x v="5"/>
  </r>
  <r>
    <n v="540"/>
    <s v="Brown-Pena"/>
    <s v="Front-line client-server secured line"/>
    <n v="5300"/>
    <n v="14097"/>
    <n v="2.6598113207547169"/>
    <x v="1"/>
    <n v="247"/>
    <n v="57.072874493927124"/>
    <x v="1"/>
    <s v="USD"/>
    <n v="1525496400"/>
    <n v="1527397200"/>
    <x v="504"/>
    <d v="2018-05-27T05:00:00"/>
    <x v="0"/>
  </r>
  <r>
    <n v="541"/>
    <s v="Holder, Caldwell and Vance"/>
    <s v="Polarized systemic Internet solution"/>
    <n v="178000"/>
    <n v="43086"/>
    <n v="0.24205617977528091"/>
    <x v="0"/>
    <n v="395"/>
    <n v="109.07848101265823"/>
    <x v="6"/>
    <s v="EUR"/>
    <n v="1433912400"/>
    <n v="1436158800"/>
    <x v="505"/>
    <d v="2015-07-06T05:00:00"/>
    <x v="3"/>
  </r>
  <r>
    <n v="542"/>
    <s v="Harrison-Bridges"/>
    <s v="Profit-focused exuding moderator"/>
    <n v="77000"/>
    <n v="1930"/>
    <n v="2.5064935064935064E-2"/>
    <x v="0"/>
    <n v="49"/>
    <n v="39.387755102040813"/>
    <x v="4"/>
    <s v="GBP"/>
    <n v="1453442400"/>
    <n v="1456034400"/>
    <x v="506"/>
    <d v="2016-02-21T06:00:00"/>
    <x v="6"/>
  </r>
  <r>
    <n v="543"/>
    <s v="Johnson, Murphy and Peterson"/>
    <s v="Cross-group high-level moderator"/>
    <n v="84900"/>
    <n v="13864"/>
    <n v="0.1632979976442874"/>
    <x v="0"/>
    <n v="180"/>
    <n v="77.022222222222226"/>
    <x v="1"/>
    <s v="USD"/>
    <n v="1378875600"/>
    <n v="1380171600"/>
    <x v="507"/>
    <d v="2013-09-26T05:00:00"/>
    <x v="3"/>
  </r>
  <r>
    <n v="544"/>
    <s v="Taylor Inc"/>
    <s v="Public-key 3rdgeneration system engine"/>
    <n v="2800"/>
    <n v="7742"/>
    <n v="2.7650000000000001"/>
    <x v="1"/>
    <n v="84"/>
    <n v="92.166666666666671"/>
    <x v="1"/>
    <s v="USD"/>
    <n v="1452232800"/>
    <n v="1453356000"/>
    <x v="508"/>
    <d v="2016-01-21T06:00:00"/>
    <x v="6"/>
  </r>
  <r>
    <n v="545"/>
    <s v="Deleon and Sons"/>
    <s v="Organized value-added access"/>
    <n v="184800"/>
    <n v="164109"/>
    <n v="0.88803571428571426"/>
    <x v="0"/>
    <n v="2690"/>
    <n v="61.007063197026021"/>
    <x v="1"/>
    <s v="USD"/>
    <n v="1577253600"/>
    <n v="1578981600"/>
    <x v="509"/>
    <d v="2020-01-14T06:00:00"/>
    <x v="3"/>
  </r>
  <r>
    <n v="546"/>
    <s v="Benjamin, Paul and Ferguson"/>
    <s v="Cloned global Graphical User Interface"/>
    <n v="4200"/>
    <n v="6870"/>
    <n v="1.6357142857142857"/>
    <x v="1"/>
    <n v="88"/>
    <n v="78.068181818181813"/>
    <x v="1"/>
    <s v="USD"/>
    <n v="1537160400"/>
    <n v="1537419600"/>
    <x v="510"/>
    <d v="2018-09-20T05:00:00"/>
    <x v="5"/>
  </r>
  <r>
    <n v="547"/>
    <s v="Hardin-Dixon"/>
    <s v="Focused solution-oriented matrix"/>
    <n v="1300"/>
    <n v="12597"/>
    <n v="9.69"/>
    <x v="1"/>
    <n v="156"/>
    <n v="80.75"/>
    <x v="1"/>
    <s v="USD"/>
    <n v="1422165600"/>
    <n v="1423202400"/>
    <x v="511"/>
    <d v="2015-02-06T06:00:00"/>
    <x v="2"/>
  </r>
  <r>
    <n v="548"/>
    <s v="York-Pitts"/>
    <s v="Monitored discrete toolset"/>
    <n v="66100"/>
    <n v="179074"/>
    <n v="2.7091376701966716"/>
    <x v="1"/>
    <n v="2985"/>
    <n v="59.991289782244557"/>
    <x v="1"/>
    <s v="USD"/>
    <n v="1459486800"/>
    <n v="1460610000"/>
    <x v="512"/>
    <d v="2016-04-14T05:00:00"/>
    <x v="6"/>
  </r>
  <r>
    <n v="549"/>
    <s v="Jarvis and Sons"/>
    <s v="Business-focused intermediate system engine"/>
    <n v="29500"/>
    <n v="83843"/>
    <n v="2.8421355932203389"/>
    <x v="1"/>
    <n v="762"/>
    <n v="110.03018372703411"/>
    <x v="1"/>
    <s v="USD"/>
    <n v="1369717200"/>
    <n v="1370494800"/>
    <x v="513"/>
    <d v="2013-06-06T05:00:00"/>
    <x v="1"/>
  </r>
  <r>
    <n v="550"/>
    <s v="Morrison-Henderson"/>
    <s v="De-engineered disintermediate encoding"/>
    <n v="100"/>
    <n v="4"/>
    <n v="0.04"/>
    <x v="3"/>
    <n v="1"/>
    <n v="4"/>
    <x v="5"/>
    <s v="CHF"/>
    <n v="1330495200"/>
    <n v="1332306000"/>
    <x v="514"/>
    <d v="2012-03-21T05:00:00"/>
    <x v="3"/>
  </r>
  <r>
    <n v="551"/>
    <s v="Martin-James"/>
    <s v="Streamlined upward-trending analyzer"/>
    <n v="180100"/>
    <n v="105598"/>
    <n v="0.58632981676846196"/>
    <x v="0"/>
    <n v="2779"/>
    <n v="37.99856063332134"/>
    <x v="2"/>
    <s v="AUD"/>
    <n v="1419055200"/>
    <n v="1422511200"/>
    <x v="515"/>
    <d v="2015-01-29T06:00:00"/>
    <x v="0"/>
  </r>
  <r>
    <n v="552"/>
    <s v="Mercer, Solomon and Singleton"/>
    <s v="Distributed human-resource policy"/>
    <n v="9000"/>
    <n v="8866"/>
    <n v="0.98511111111111116"/>
    <x v="0"/>
    <n v="92"/>
    <n v="96.369565217391298"/>
    <x v="1"/>
    <s v="USD"/>
    <n v="1480140000"/>
    <n v="1480312800"/>
    <x v="516"/>
    <d v="2016-11-28T06:00:00"/>
    <x v="0"/>
  </r>
  <r>
    <n v="553"/>
    <s v="Dougherty, Austin and Mills"/>
    <s v="De-engineered 5thgeneration contingency"/>
    <n v="170600"/>
    <n v="75022"/>
    <n v="0.43975381008206332"/>
    <x v="0"/>
    <n v="1028"/>
    <n v="72.978599221789878"/>
    <x v="1"/>
    <s v="USD"/>
    <n v="1293948000"/>
    <n v="1294034400"/>
    <x v="517"/>
    <d v="2011-01-03T06:00:00"/>
    <x v="2"/>
  </r>
  <r>
    <n v="554"/>
    <s v="Ritter PLC"/>
    <s v="Multi-channeled upward-trending application"/>
    <n v="9500"/>
    <n v="14408"/>
    <n v="1.5166315789473683"/>
    <x v="1"/>
    <n v="554"/>
    <n v="26.007220216606498"/>
    <x v="0"/>
    <s v="CAD"/>
    <n v="1482127200"/>
    <n v="1482645600"/>
    <x v="518"/>
    <d v="2016-12-25T06:00:00"/>
    <x v="5"/>
  </r>
  <r>
    <n v="555"/>
    <s v="Anderson Group"/>
    <s v="Organic maximized database"/>
    <n v="6300"/>
    <n v="14089"/>
    <n v="2.2363492063492063"/>
    <x v="1"/>
    <n v="135"/>
    <n v="104.36296296296297"/>
    <x v="3"/>
    <s v="DKK"/>
    <n v="1396414800"/>
    <n v="1399093200"/>
    <x v="519"/>
    <d v="2014-05-03T05:00:00"/>
    <x v="3"/>
  </r>
  <r>
    <n v="556"/>
    <s v="Smith and Sons"/>
    <s v="Grass-roots 24/7 attitude"/>
    <n v="5200"/>
    <n v="12467"/>
    <n v="2.3975"/>
    <x v="1"/>
    <n v="122"/>
    <n v="102.18852459016394"/>
    <x v="1"/>
    <s v="USD"/>
    <n v="1315285200"/>
    <n v="1315890000"/>
    <x v="520"/>
    <d v="2011-09-13T05:00:00"/>
    <x v="1"/>
  </r>
  <r>
    <n v="557"/>
    <s v="Lam-Hamilton"/>
    <s v="Team-oriented global strategy"/>
    <n v="6000"/>
    <n v="11960"/>
    <n v="1.9933333333333334"/>
    <x v="1"/>
    <n v="221"/>
    <n v="54.117647058823529"/>
    <x v="1"/>
    <s v="USD"/>
    <n v="1443762000"/>
    <n v="1444021200"/>
    <x v="521"/>
    <d v="2015-10-05T05:00:00"/>
    <x v="6"/>
  </r>
  <r>
    <n v="558"/>
    <s v="Ho Ltd"/>
    <s v="Enhanced client-driven capacity"/>
    <n v="5800"/>
    <n v="7966"/>
    <n v="1.373448275862069"/>
    <x v="1"/>
    <n v="126"/>
    <n v="63.222222222222221"/>
    <x v="1"/>
    <s v="USD"/>
    <n v="1456293600"/>
    <n v="1460005200"/>
    <x v="522"/>
    <d v="2016-04-07T05:00:00"/>
    <x v="3"/>
  </r>
  <r>
    <n v="559"/>
    <s v="Brown, Estrada and Jensen"/>
    <s v="Exclusive systematic productivity"/>
    <n v="105300"/>
    <n v="106321"/>
    <n v="1.009696106362773"/>
    <x v="1"/>
    <n v="1022"/>
    <n v="104.03228962818004"/>
    <x v="1"/>
    <s v="USD"/>
    <n v="1470114000"/>
    <n v="1470718800"/>
    <x v="523"/>
    <d v="2016-08-09T05:00:00"/>
    <x v="1"/>
  </r>
  <r>
    <n v="560"/>
    <s v="Hunt LLC"/>
    <s v="Re-engineered radical policy"/>
    <n v="20000"/>
    <n v="158832"/>
    <n v="7.9416000000000002"/>
    <x v="1"/>
    <n v="3177"/>
    <n v="49.994334277620396"/>
    <x v="1"/>
    <s v="USD"/>
    <n v="1321596000"/>
    <n v="1325052000"/>
    <x v="524"/>
    <d v="2011-12-28T06:00:00"/>
    <x v="6"/>
  </r>
  <r>
    <n v="561"/>
    <s v="Fowler-Smith"/>
    <s v="Down-sized logistical adapter"/>
    <n v="3000"/>
    <n v="11091"/>
    <n v="3.6970000000000001"/>
    <x v="1"/>
    <n v="198"/>
    <n v="56.015151515151516"/>
    <x v="5"/>
    <s v="CHF"/>
    <n v="1318827600"/>
    <n v="1319000400"/>
    <x v="525"/>
    <d v="2011-10-19T05:00:00"/>
    <x v="5"/>
  </r>
  <r>
    <n v="562"/>
    <s v="Blair Inc"/>
    <s v="Configurable bandwidth-monitored throughput"/>
    <n v="9900"/>
    <n v="1269"/>
    <n v="0.12818181818181817"/>
    <x v="0"/>
    <n v="26"/>
    <n v="48.807692307692307"/>
    <x v="5"/>
    <s v="CHF"/>
    <n v="1552366800"/>
    <n v="1552539600"/>
    <x v="188"/>
    <d v="2019-03-14T05:00:00"/>
    <x v="1"/>
  </r>
  <r>
    <n v="563"/>
    <s v="Kelley, Stanton and Sanchez"/>
    <s v="Optional tangible pricing structure"/>
    <n v="3700"/>
    <n v="5107"/>
    <n v="1.3802702702702703"/>
    <x v="1"/>
    <n v="85"/>
    <n v="60.082352941176474"/>
    <x v="2"/>
    <s v="AUD"/>
    <n v="1542088800"/>
    <n v="1543816800"/>
    <x v="526"/>
    <d v="2018-12-03T06:00:00"/>
    <x v="1"/>
  </r>
  <r>
    <n v="564"/>
    <s v="Hernandez-Macdonald"/>
    <s v="Organic high-level implementation"/>
    <n v="168700"/>
    <n v="141393"/>
    <n v="0.83813278008298753"/>
    <x v="0"/>
    <n v="1790"/>
    <n v="78.990502793296088"/>
    <x v="1"/>
    <s v="USD"/>
    <n v="1426395600"/>
    <n v="1427086800"/>
    <x v="527"/>
    <d v="2015-03-23T05:00:00"/>
    <x v="2"/>
  </r>
  <r>
    <n v="565"/>
    <s v="Joseph LLC"/>
    <s v="Decentralized logistical collaboration"/>
    <n v="94900"/>
    <n v="194166"/>
    <n v="2.0460063224446787"/>
    <x v="1"/>
    <n v="3596"/>
    <n v="53.99499443826474"/>
    <x v="1"/>
    <s v="USD"/>
    <n v="1321336800"/>
    <n v="1323064800"/>
    <x v="528"/>
    <d v="2011-12-05T06:00:00"/>
    <x v="1"/>
  </r>
  <r>
    <n v="566"/>
    <s v="Webb-Smith"/>
    <s v="Advanced content-based installation"/>
    <n v="9300"/>
    <n v="4124"/>
    <n v="0.44344086021505374"/>
    <x v="0"/>
    <n v="37"/>
    <n v="111.45945945945945"/>
    <x v="1"/>
    <s v="USD"/>
    <n v="1456293600"/>
    <n v="1458277200"/>
    <x v="522"/>
    <d v="2016-03-18T05:00:00"/>
    <x v="3"/>
  </r>
  <r>
    <n v="567"/>
    <s v="Johns PLC"/>
    <s v="Distributed high-level open architecture"/>
    <n v="6800"/>
    <n v="14865"/>
    <n v="2.1860294117647059"/>
    <x v="1"/>
    <n v="244"/>
    <n v="60.922131147540981"/>
    <x v="1"/>
    <s v="USD"/>
    <n v="1404968400"/>
    <n v="1405141200"/>
    <x v="529"/>
    <d v="2014-07-12T05:00:00"/>
    <x v="4"/>
  </r>
  <r>
    <n v="568"/>
    <s v="Hardin-Foley"/>
    <s v="Synergized zero tolerance help-desk"/>
    <n v="72400"/>
    <n v="134688"/>
    <n v="1.8603314917127072"/>
    <x v="1"/>
    <n v="5180"/>
    <n v="26.0015444015444"/>
    <x v="1"/>
    <s v="USD"/>
    <n v="1279170000"/>
    <n v="1283058000"/>
    <x v="530"/>
    <d v="2010-08-29T05:00:00"/>
    <x v="4"/>
  </r>
  <r>
    <n v="569"/>
    <s v="Fischer, Fowler and Arnold"/>
    <s v="Extended multi-tasking definition"/>
    <n v="20100"/>
    <n v="47705"/>
    <n v="2.3733830845771142"/>
    <x v="1"/>
    <n v="589"/>
    <n v="80.993208828522924"/>
    <x v="6"/>
    <s v="EUR"/>
    <n v="1294725600"/>
    <n v="1295762400"/>
    <x v="531"/>
    <d v="2011-01-23T06:00:00"/>
    <x v="1"/>
  </r>
  <r>
    <n v="570"/>
    <s v="Martinez-Juarez"/>
    <s v="Realigned uniform knowledge user"/>
    <n v="31200"/>
    <n v="95364"/>
    <n v="3.0565384615384614"/>
    <x v="1"/>
    <n v="2725"/>
    <n v="34.995963302752294"/>
    <x v="1"/>
    <s v="USD"/>
    <n v="1419055200"/>
    <n v="1419573600"/>
    <x v="515"/>
    <d v="2014-12-26T06:00:00"/>
    <x v="0"/>
  </r>
  <r>
    <n v="571"/>
    <s v="Wilson and Sons"/>
    <s v="Monitored grid-enabled model"/>
    <n v="3500"/>
    <n v="3295"/>
    <n v="0.94142857142857139"/>
    <x v="0"/>
    <n v="35"/>
    <n v="94.142857142857139"/>
    <x v="6"/>
    <s v="EUR"/>
    <n v="1434690000"/>
    <n v="1438750800"/>
    <x v="532"/>
    <d v="2015-08-05T05:00:00"/>
    <x v="6"/>
  </r>
  <r>
    <n v="572"/>
    <s v="Clements Group"/>
    <s v="Assimilated actuating policy"/>
    <n v="9000"/>
    <n v="4896"/>
    <n v="0.54400000000000004"/>
    <x v="3"/>
    <n v="94"/>
    <n v="52.085106382978722"/>
    <x v="1"/>
    <s v="USD"/>
    <n v="1443416400"/>
    <n v="1444798800"/>
    <x v="533"/>
    <d v="2015-10-14T05:00:00"/>
    <x v="5"/>
  </r>
  <r>
    <n v="573"/>
    <s v="Valenzuela-Cook"/>
    <s v="Total incremental productivity"/>
    <n v="6700"/>
    <n v="7496"/>
    <n v="1.1188059701492536"/>
    <x v="1"/>
    <n v="300"/>
    <n v="24.986666666666668"/>
    <x v="1"/>
    <s v="USD"/>
    <n v="1399006800"/>
    <n v="1399179600"/>
    <x v="409"/>
    <d v="2014-05-04T05:00:00"/>
    <x v="6"/>
  </r>
  <r>
    <n v="574"/>
    <s v="Parker, Haley and Foster"/>
    <s v="Adaptive local task-force"/>
    <n v="2700"/>
    <n v="9967"/>
    <n v="3.6914814814814814"/>
    <x v="1"/>
    <n v="144"/>
    <n v="69.215277777777771"/>
    <x v="1"/>
    <s v="USD"/>
    <n v="1575698400"/>
    <n v="1576562400"/>
    <x v="534"/>
    <d v="2019-12-17T06:00:00"/>
    <x v="0"/>
  </r>
  <r>
    <n v="575"/>
    <s v="Fuentes LLC"/>
    <s v="Universal zero-defect concept"/>
    <n v="83300"/>
    <n v="52421"/>
    <n v="0.62930372148859548"/>
    <x v="0"/>
    <n v="558"/>
    <n v="93.944444444444443"/>
    <x v="1"/>
    <s v="USD"/>
    <n v="1400562000"/>
    <n v="1400821200"/>
    <x v="53"/>
    <d v="2014-05-23T05:00:00"/>
    <x v="1"/>
  </r>
  <r>
    <n v="576"/>
    <s v="Moran and Sons"/>
    <s v="Object-based bottom-line superstructure"/>
    <n v="9700"/>
    <n v="6298"/>
    <n v="0.6492783505154639"/>
    <x v="0"/>
    <n v="64"/>
    <n v="98.40625"/>
    <x v="1"/>
    <s v="USD"/>
    <n v="1509512400"/>
    <n v="1510984800"/>
    <x v="535"/>
    <d v="2017-11-18T06:00:00"/>
    <x v="3"/>
  </r>
  <r>
    <n v="577"/>
    <s v="Stevens Inc"/>
    <s v="Adaptive 24hour projection"/>
    <n v="8200"/>
    <n v="1546"/>
    <n v="0.18853658536585366"/>
    <x v="3"/>
    <n v="37"/>
    <n v="41.783783783783782"/>
    <x v="1"/>
    <s v="USD"/>
    <n v="1299823200"/>
    <n v="1302066000"/>
    <x v="536"/>
    <d v="2011-04-06T05:00:00"/>
    <x v="6"/>
  </r>
  <r>
    <n v="578"/>
    <s v="Martinez-Johnson"/>
    <s v="Sharable radical toolset"/>
    <n v="96500"/>
    <n v="16168"/>
    <n v="0.1675440414507772"/>
    <x v="0"/>
    <n v="245"/>
    <n v="65.991836734693877"/>
    <x v="1"/>
    <s v="USD"/>
    <n v="1322719200"/>
    <n v="1322978400"/>
    <x v="537"/>
    <d v="2011-12-04T06:00:00"/>
    <x v="4"/>
  </r>
  <r>
    <n v="579"/>
    <s v="Franklin Inc"/>
    <s v="Focused multimedia knowledgebase"/>
    <n v="6200"/>
    <n v="6269"/>
    <n v="1.0111290322580646"/>
    <x v="1"/>
    <n v="87"/>
    <n v="72.05747126436782"/>
    <x v="1"/>
    <s v="USD"/>
    <n v="1312693200"/>
    <n v="1313730000"/>
    <x v="538"/>
    <d v="2011-08-19T05:00:00"/>
    <x v="2"/>
  </r>
  <r>
    <n v="580"/>
    <s v="Perez PLC"/>
    <s v="Seamless 6thgeneration extranet"/>
    <n v="43800"/>
    <n v="149578"/>
    <n v="3.4150228310502282"/>
    <x v="1"/>
    <n v="3116"/>
    <n v="48.003209242618745"/>
    <x v="1"/>
    <s v="USD"/>
    <n v="1393394400"/>
    <n v="1394085600"/>
    <x v="539"/>
    <d v="2014-03-06T06:00:00"/>
    <x v="3"/>
  </r>
  <r>
    <n v="581"/>
    <s v="Sanchez, Cross and Savage"/>
    <s v="Sharable mobile knowledgebase"/>
    <n v="6000"/>
    <n v="3841"/>
    <n v="0.64016666666666666"/>
    <x v="0"/>
    <n v="71"/>
    <n v="54.098591549295776"/>
    <x v="1"/>
    <s v="USD"/>
    <n v="1304053200"/>
    <n v="1305349200"/>
    <x v="540"/>
    <d v="2011-05-14T05:00:00"/>
    <x v="6"/>
  </r>
  <r>
    <n v="582"/>
    <s v="Pineda Ltd"/>
    <s v="Cross-group global system engine"/>
    <n v="8700"/>
    <n v="4531"/>
    <n v="0.5208045977011494"/>
    <x v="0"/>
    <n v="42"/>
    <n v="107.88095238095238"/>
    <x v="1"/>
    <s v="USD"/>
    <n v="1433912400"/>
    <n v="1434344400"/>
    <x v="505"/>
    <d v="2015-06-15T05:00:00"/>
    <x v="3"/>
  </r>
  <r>
    <n v="583"/>
    <s v="Powell and Sons"/>
    <s v="Centralized clear-thinking conglomeration"/>
    <n v="18900"/>
    <n v="60934"/>
    <n v="3.2240211640211642"/>
    <x v="1"/>
    <n v="909"/>
    <n v="67.034103410341032"/>
    <x v="1"/>
    <s v="USD"/>
    <n v="1329717600"/>
    <n v="1331186400"/>
    <x v="541"/>
    <d v="2012-03-08T06:00:00"/>
    <x v="5"/>
  </r>
  <r>
    <n v="584"/>
    <s v="Nunez-Richards"/>
    <s v="De-engineered cohesive system engine"/>
    <n v="86400"/>
    <n v="103255"/>
    <n v="1.1950810185185186"/>
    <x v="1"/>
    <n v="1613"/>
    <n v="64.01425914445133"/>
    <x v="1"/>
    <s v="USD"/>
    <n v="1335330000"/>
    <n v="1336539600"/>
    <x v="542"/>
    <d v="2012-05-09T05:00:00"/>
    <x v="3"/>
  </r>
  <r>
    <n v="585"/>
    <s v="Pugh LLC"/>
    <s v="Reactive analyzing function"/>
    <n v="8900"/>
    <n v="13065"/>
    <n v="1.4679775280898877"/>
    <x v="1"/>
    <n v="136"/>
    <n v="96.066176470588232"/>
    <x v="1"/>
    <s v="USD"/>
    <n v="1268888400"/>
    <n v="1269752400"/>
    <x v="543"/>
    <d v="2010-03-28T05:00:00"/>
    <x v="4"/>
  </r>
  <r>
    <n v="586"/>
    <s v="Rowe-Wong"/>
    <s v="Robust hybrid budgetary management"/>
    <n v="700"/>
    <n v="6654"/>
    <n v="9.5057142857142853"/>
    <x v="1"/>
    <n v="130"/>
    <n v="51.184615384615384"/>
    <x v="1"/>
    <s v="USD"/>
    <n v="1289973600"/>
    <n v="1291615200"/>
    <x v="544"/>
    <d v="2010-12-06T06:00:00"/>
    <x v="3"/>
  </r>
  <r>
    <n v="587"/>
    <s v="Williams-Santos"/>
    <s v="Open-source analyzing monitoring"/>
    <n v="9400"/>
    <n v="6852"/>
    <n v="0.72893617021276591"/>
    <x v="0"/>
    <n v="156"/>
    <n v="43.92307692307692"/>
    <x v="0"/>
    <s v="CAD"/>
    <n v="1547877600"/>
    <n v="1552366800"/>
    <x v="35"/>
    <d v="2019-03-12T05:00:00"/>
    <x v="0"/>
  </r>
  <r>
    <n v="588"/>
    <s v="Weber Inc"/>
    <s v="Up-sized discrete firmware"/>
    <n v="157600"/>
    <n v="124517"/>
    <n v="0.7900824873096447"/>
    <x v="0"/>
    <n v="1368"/>
    <n v="91.021198830409361"/>
    <x v="4"/>
    <s v="GBP"/>
    <n v="1269493200"/>
    <n v="1272171600"/>
    <x v="152"/>
    <d v="2010-04-25T05:00:00"/>
    <x v="4"/>
  </r>
  <r>
    <n v="589"/>
    <s v="Avery, Brown and Parker"/>
    <s v="Exclusive intangible extranet"/>
    <n v="7900"/>
    <n v="5113"/>
    <n v="0.64721518987341775"/>
    <x v="0"/>
    <n v="102"/>
    <n v="50.127450980392155"/>
    <x v="1"/>
    <s v="USD"/>
    <n v="1436072400"/>
    <n v="1436677200"/>
    <x v="545"/>
    <d v="2015-07-12T05:00:00"/>
    <x v="2"/>
  </r>
  <r>
    <n v="590"/>
    <s v="Cox Group"/>
    <s v="Synergized analyzing process improvement"/>
    <n v="7100"/>
    <n v="5824"/>
    <n v="0.82028169014084507"/>
    <x v="0"/>
    <n v="86"/>
    <n v="67.720930232558146"/>
    <x v="2"/>
    <s v="AUD"/>
    <n v="1419141600"/>
    <n v="1420092000"/>
    <x v="546"/>
    <d v="2015-01-01T06:00:00"/>
    <x v="2"/>
  </r>
  <r>
    <n v="591"/>
    <s v="Jensen LLC"/>
    <s v="Realigned dedicated system engine"/>
    <n v="600"/>
    <n v="6226"/>
    <n v="10.376666666666667"/>
    <x v="1"/>
    <n v="102"/>
    <n v="61.03921568627451"/>
    <x v="1"/>
    <s v="USD"/>
    <n v="1279083600"/>
    <n v="1279947600"/>
    <x v="547"/>
    <d v="2010-07-24T05:00:00"/>
    <x v="3"/>
  </r>
  <r>
    <n v="592"/>
    <s v="Brown Inc"/>
    <s v="Object-based bandwidth-monitored concept"/>
    <n v="156800"/>
    <n v="20243"/>
    <n v="0.12910076530612244"/>
    <x v="0"/>
    <n v="253"/>
    <n v="80.011857707509876"/>
    <x v="1"/>
    <s v="USD"/>
    <n v="1401426000"/>
    <n v="1402203600"/>
    <x v="548"/>
    <d v="2014-06-08T05:00:00"/>
    <x v="6"/>
  </r>
  <r>
    <n v="593"/>
    <s v="Hale-Hayes"/>
    <s v="Ameliorated client-driven open system"/>
    <n v="121600"/>
    <n v="188288"/>
    <n v="1.5484210526315789"/>
    <x v="1"/>
    <n v="4006"/>
    <n v="47.001497753369947"/>
    <x v="1"/>
    <s v="USD"/>
    <n v="1395810000"/>
    <n v="1396933200"/>
    <x v="549"/>
    <d v="2014-04-08T05:00:00"/>
    <x v="3"/>
  </r>
  <r>
    <n v="594"/>
    <s v="Mcbride PLC"/>
    <s v="Upgradable leadingedge Local Area Network"/>
    <n v="157300"/>
    <n v="11167"/>
    <n v="7.0991735537190084E-2"/>
    <x v="0"/>
    <n v="157"/>
    <n v="71.127388535031841"/>
    <x v="1"/>
    <s v="USD"/>
    <n v="1467003600"/>
    <n v="1467262800"/>
    <x v="550"/>
    <d v="2016-06-30T05:00:00"/>
    <x v="5"/>
  </r>
  <r>
    <n v="595"/>
    <s v="Harris-Jennings"/>
    <s v="Customizable intermediate data-warehouse"/>
    <n v="70300"/>
    <n v="146595"/>
    <n v="2.0852773826458035"/>
    <x v="1"/>
    <n v="1629"/>
    <n v="89.99079189686924"/>
    <x v="1"/>
    <s v="USD"/>
    <n v="1268715600"/>
    <n v="1270530000"/>
    <x v="551"/>
    <d v="2010-04-06T05:00:00"/>
    <x v="1"/>
  </r>
  <r>
    <n v="596"/>
    <s v="Becker-Scott"/>
    <s v="Managed optimizing archive"/>
    <n v="7900"/>
    <n v="7875"/>
    <n v="0.99683544303797467"/>
    <x v="0"/>
    <n v="183"/>
    <n v="43.032786885245905"/>
    <x v="1"/>
    <s v="USD"/>
    <n v="1457157600"/>
    <n v="1457762400"/>
    <x v="552"/>
    <d v="2016-03-12T06:00:00"/>
    <x v="0"/>
  </r>
  <r>
    <n v="597"/>
    <s v="Todd, Freeman and Henry"/>
    <s v="Diverse systematic projection"/>
    <n v="73800"/>
    <n v="148779"/>
    <n v="2.0159756097560977"/>
    <x v="1"/>
    <n v="2188"/>
    <n v="67.997714808043881"/>
    <x v="1"/>
    <s v="USD"/>
    <n v="1573970400"/>
    <n v="1575525600"/>
    <x v="462"/>
    <d v="2019-12-05T06:00:00"/>
    <x v="2"/>
  </r>
  <r>
    <n v="598"/>
    <s v="Martinez, Garza and Young"/>
    <s v="Up-sized web-enabled info-mediaries"/>
    <n v="108500"/>
    <n v="175868"/>
    <n v="1.6209032258064515"/>
    <x v="1"/>
    <n v="2409"/>
    <n v="73.004566210045667"/>
    <x v="6"/>
    <s v="EUR"/>
    <n v="1276578000"/>
    <n v="1279083600"/>
    <x v="553"/>
    <d v="2010-07-14T05:00:00"/>
    <x v="1"/>
  </r>
  <r>
    <n v="599"/>
    <s v="Smith-Ramos"/>
    <s v="Persevering optimizing Graphical User Interface"/>
    <n v="140300"/>
    <n v="5112"/>
    <n v="3.6436208125445471E-2"/>
    <x v="0"/>
    <n v="82"/>
    <n v="62.341463414634148"/>
    <x v="3"/>
    <s v="DKK"/>
    <n v="1423720800"/>
    <n v="1424412000"/>
    <x v="554"/>
    <d v="2015-02-20T06:00:00"/>
    <x v="4"/>
  </r>
  <r>
    <n v="600"/>
    <s v="Brown-George"/>
    <s v="Cross-platform tertiary array"/>
    <n v="100"/>
    <n v="5"/>
    <n v="0.05"/>
    <x v="0"/>
    <n v="1"/>
    <n v="5"/>
    <x v="4"/>
    <s v="GBP"/>
    <n v="1375160400"/>
    <n v="1376197200"/>
    <x v="555"/>
    <d v="2013-08-11T05:00:00"/>
    <x v="1"/>
  </r>
  <r>
    <n v="601"/>
    <s v="Waters and Sons"/>
    <s v="Inverse neutral structure"/>
    <n v="6300"/>
    <n v="13018"/>
    <n v="2.0663492063492064"/>
    <x v="1"/>
    <n v="194"/>
    <n v="67.103092783505161"/>
    <x v="1"/>
    <s v="USD"/>
    <n v="1401426000"/>
    <n v="1402894800"/>
    <x v="548"/>
    <d v="2014-06-16T05:00:00"/>
    <x v="6"/>
  </r>
  <r>
    <n v="602"/>
    <s v="Brown Ltd"/>
    <s v="Quality-focused system-worthy support"/>
    <n v="71100"/>
    <n v="91176"/>
    <n v="1.2823628691983122"/>
    <x v="1"/>
    <n v="1140"/>
    <n v="79.978947368421046"/>
    <x v="1"/>
    <s v="USD"/>
    <n v="1433480400"/>
    <n v="1434430800"/>
    <x v="62"/>
    <d v="2015-06-16T05:00:00"/>
    <x v="6"/>
  </r>
  <r>
    <n v="603"/>
    <s v="Christian, Yates and Greer"/>
    <s v="Vision-oriented 5thgeneration array"/>
    <n v="5300"/>
    <n v="6342"/>
    <n v="1.1966037735849056"/>
    <x v="1"/>
    <n v="102"/>
    <n v="62.176470588235297"/>
    <x v="1"/>
    <s v="USD"/>
    <n v="1555563600"/>
    <n v="1557896400"/>
    <x v="556"/>
    <d v="2019-05-15T05:00:00"/>
    <x v="4"/>
  </r>
  <r>
    <n v="604"/>
    <s v="Cole, Hernandez and Rodriguez"/>
    <s v="Cross-platform logistical circuit"/>
    <n v="88700"/>
    <n v="151438"/>
    <n v="1.7073055242390078"/>
    <x v="1"/>
    <n v="2857"/>
    <n v="53.005950297514879"/>
    <x v="1"/>
    <s v="USD"/>
    <n v="1295676000"/>
    <n v="1297490400"/>
    <x v="557"/>
    <d v="2011-02-12T06:00:00"/>
    <x v="0"/>
  </r>
  <r>
    <n v="605"/>
    <s v="Ortiz, Valenzuela and Collins"/>
    <s v="Profound solution-oriented matrix"/>
    <n v="3300"/>
    <n v="6178"/>
    <n v="1.8721212121212121"/>
    <x v="1"/>
    <n v="107"/>
    <n v="57.738317757009348"/>
    <x v="1"/>
    <s v="USD"/>
    <n v="1443848400"/>
    <n v="1447394400"/>
    <x v="27"/>
    <d v="2015-11-13T06:00:00"/>
    <x v="0"/>
  </r>
  <r>
    <n v="606"/>
    <s v="Valencia PLC"/>
    <s v="Extended asynchronous initiative"/>
    <n v="3400"/>
    <n v="6405"/>
    <n v="1.8838235294117647"/>
    <x v="1"/>
    <n v="160"/>
    <n v="40.03125"/>
    <x v="4"/>
    <s v="GBP"/>
    <n v="1457330400"/>
    <n v="1458277200"/>
    <x v="558"/>
    <d v="2016-03-18T05:00:00"/>
    <x v="5"/>
  </r>
  <r>
    <n v="607"/>
    <s v="Gordon, Mendez and Johnson"/>
    <s v="Fundamental needs-based frame"/>
    <n v="137600"/>
    <n v="180667"/>
    <n v="1.3129869186046512"/>
    <x v="1"/>
    <n v="2230"/>
    <n v="81.016591928251117"/>
    <x v="1"/>
    <s v="USD"/>
    <n v="1395550800"/>
    <n v="1395723600"/>
    <x v="559"/>
    <d v="2014-03-25T05:00:00"/>
    <x v="2"/>
  </r>
  <r>
    <n v="608"/>
    <s v="Johnson Group"/>
    <s v="Compatible full-range leverage"/>
    <n v="3900"/>
    <n v="11075"/>
    <n v="2.8397435897435899"/>
    <x v="1"/>
    <n v="316"/>
    <n v="35.047468354430379"/>
    <x v="1"/>
    <s v="USD"/>
    <n v="1551852000"/>
    <n v="1552197600"/>
    <x v="426"/>
    <d v="2019-03-10T06:00:00"/>
    <x v="3"/>
  </r>
  <r>
    <n v="609"/>
    <s v="Rose-Fuller"/>
    <s v="Upgradable holistic system engine"/>
    <n v="10000"/>
    <n v="12042"/>
    <n v="1.2041999999999999"/>
    <x v="1"/>
    <n v="117"/>
    <n v="102.92307692307692"/>
    <x v="1"/>
    <s v="USD"/>
    <n v="1547618400"/>
    <n v="1549087200"/>
    <x v="560"/>
    <d v="2019-02-02T06:00:00"/>
    <x v="3"/>
  </r>
  <r>
    <n v="610"/>
    <s v="Hughes, Mendez and Patterson"/>
    <s v="Stand-alone multi-state data-warehouse"/>
    <n v="42800"/>
    <n v="179356"/>
    <n v="4.1905607476635511"/>
    <x v="1"/>
    <n v="6406"/>
    <n v="27.998126756166094"/>
    <x v="1"/>
    <s v="USD"/>
    <n v="1355637600"/>
    <n v="1356847200"/>
    <x v="561"/>
    <d v="2012-12-30T06:00:00"/>
    <x v="2"/>
  </r>
  <r>
    <n v="611"/>
    <s v="Brady, Cortez and Rodriguez"/>
    <s v="Multi-lateral maximized core"/>
    <n v="8200"/>
    <n v="1136"/>
    <n v="0.13853658536585367"/>
    <x v="3"/>
    <n v="15"/>
    <n v="75.733333333333334"/>
    <x v="1"/>
    <s v="USD"/>
    <n v="1374728400"/>
    <n v="1375765200"/>
    <x v="562"/>
    <d v="2013-08-06T05:00:00"/>
    <x v="4"/>
  </r>
  <r>
    <n v="612"/>
    <s v="Wang, Nguyen and Horton"/>
    <s v="Innovative holistic hub"/>
    <n v="6200"/>
    <n v="8645"/>
    <n v="1.3943548387096774"/>
    <x v="1"/>
    <n v="192"/>
    <n v="45.026041666666664"/>
    <x v="1"/>
    <s v="USD"/>
    <n v="1287810000"/>
    <n v="1289800800"/>
    <x v="563"/>
    <d v="2010-11-15T06:00:00"/>
    <x v="0"/>
  </r>
  <r>
    <n v="613"/>
    <s v="Santos, Williams and Brown"/>
    <s v="Reverse-engineered 24/7 methodology"/>
    <n v="1100"/>
    <n v="1914"/>
    <n v="1.74"/>
    <x v="1"/>
    <n v="26"/>
    <n v="73.615384615384613"/>
    <x v="0"/>
    <s v="CAD"/>
    <n v="1503723600"/>
    <n v="1504501200"/>
    <x v="564"/>
    <d v="2017-09-04T05:00:00"/>
    <x v="0"/>
  </r>
  <r>
    <n v="614"/>
    <s v="Barnett and Sons"/>
    <s v="Business-focused dynamic info-mediaries"/>
    <n v="26500"/>
    <n v="41205"/>
    <n v="1.5549056603773586"/>
    <x v="1"/>
    <n v="723"/>
    <n v="56.991701244813278"/>
    <x v="1"/>
    <s v="USD"/>
    <n v="1484114400"/>
    <n v="1485669600"/>
    <x v="565"/>
    <d v="2017-01-29T06:00:00"/>
    <x v="3"/>
  </r>
  <r>
    <n v="615"/>
    <s v="Petersen-Rodriguez"/>
    <s v="Digitized clear-thinking installation"/>
    <n v="8500"/>
    <n v="14488"/>
    <n v="1.7044705882352942"/>
    <x v="1"/>
    <n v="170"/>
    <n v="85.223529411764702"/>
    <x v="6"/>
    <s v="EUR"/>
    <n v="1461906000"/>
    <n v="1462770000"/>
    <x v="566"/>
    <d v="2016-05-09T05:00:00"/>
    <x v="6"/>
  </r>
  <r>
    <n v="616"/>
    <s v="Burnett-Mora"/>
    <s v="Quality-focused 24/7 superstructure"/>
    <n v="6400"/>
    <n v="12129"/>
    <n v="1.8951562500000001"/>
    <x v="1"/>
    <n v="238"/>
    <n v="50.962184873949582"/>
    <x v="4"/>
    <s v="GBP"/>
    <n v="1379653200"/>
    <n v="1379739600"/>
    <x v="567"/>
    <d v="2013-09-21T05:00:00"/>
    <x v="6"/>
  </r>
  <r>
    <n v="617"/>
    <s v="King LLC"/>
    <s v="Multi-channeled local intranet"/>
    <n v="1400"/>
    <n v="3496"/>
    <n v="2.4971428571428573"/>
    <x v="1"/>
    <n v="55"/>
    <n v="63.563636363636363"/>
    <x v="1"/>
    <s v="USD"/>
    <n v="1401858000"/>
    <n v="1402722000"/>
    <x v="568"/>
    <d v="2014-06-14T05:00:00"/>
    <x v="3"/>
  </r>
  <r>
    <n v="618"/>
    <s v="Miller Ltd"/>
    <s v="Open-architected mobile emulation"/>
    <n v="198600"/>
    <n v="97037"/>
    <n v="0.48860523665659616"/>
    <x v="0"/>
    <n v="1198"/>
    <n v="80.999165275459092"/>
    <x v="1"/>
    <s v="USD"/>
    <n v="1367470800"/>
    <n v="1369285200"/>
    <x v="569"/>
    <d v="2013-05-23T05:00:00"/>
    <x v="4"/>
  </r>
  <r>
    <n v="619"/>
    <s v="Case LLC"/>
    <s v="Ameliorated foreground methodology"/>
    <n v="195900"/>
    <n v="55757"/>
    <n v="0.28461970393057684"/>
    <x v="0"/>
    <n v="648"/>
    <n v="86.044753086419746"/>
    <x v="1"/>
    <s v="USD"/>
    <n v="1304658000"/>
    <n v="1304744400"/>
    <x v="570"/>
    <d v="2011-05-07T05:00:00"/>
    <x v="6"/>
  </r>
  <r>
    <n v="620"/>
    <s v="Swanson, Wilson and Baker"/>
    <s v="Synergized well-modulated project"/>
    <n v="4300"/>
    <n v="11525"/>
    <n v="2.6802325581395348"/>
    <x v="1"/>
    <n v="128"/>
    <n v="90.0390625"/>
    <x v="2"/>
    <s v="AUD"/>
    <n v="1467954000"/>
    <n v="1468299600"/>
    <x v="571"/>
    <d v="2016-07-12T05:00:00"/>
    <x v="6"/>
  </r>
  <r>
    <n v="621"/>
    <s v="Dean, Fox and Phillips"/>
    <s v="Extended context-sensitive forecast"/>
    <n v="25600"/>
    <n v="158669"/>
    <n v="6.1980078125000002"/>
    <x v="1"/>
    <n v="2144"/>
    <n v="74.006063432835816"/>
    <x v="1"/>
    <s v="USD"/>
    <n v="1473742800"/>
    <n v="1474174800"/>
    <x v="572"/>
    <d v="2016-09-18T05:00:00"/>
    <x v="1"/>
  </r>
  <r>
    <n v="622"/>
    <s v="Smith-Smith"/>
    <s v="Total leadingedge neural-net"/>
    <n v="189000"/>
    <n v="5916"/>
    <n v="3.1301587301587303E-2"/>
    <x v="0"/>
    <n v="64"/>
    <n v="92.4375"/>
    <x v="1"/>
    <s v="USD"/>
    <n v="1523768400"/>
    <n v="1526014800"/>
    <x v="573"/>
    <d v="2018-05-11T05:00:00"/>
    <x v="2"/>
  </r>
  <r>
    <n v="623"/>
    <s v="Smith, Scott and Rodriguez"/>
    <s v="Organic actuating protocol"/>
    <n v="94300"/>
    <n v="150806"/>
    <n v="1.5992152704135738"/>
    <x v="1"/>
    <n v="2693"/>
    <n v="55.999257333828446"/>
    <x v="4"/>
    <s v="GBP"/>
    <n v="1437022800"/>
    <n v="1437454800"/>
    <x v="574"/>
    <d v="2015-07-21T05:00:00"/>
    <x v="4"/>
  </r>
  <r>
    <n v="624"/>
    <s v="White, Robertson and Roberts"/>
    <s v="Down-sized national software"/>
    <n v="5100"/>
    <n v="14249"/>
    <n v="2.793921568627451"/>
    <x v="1"/>
    <n v="432"/>
    <n v="32.983796296296298"/>
    <x v="1"/>
    <s v="USD"/>
    <n v="1422165600"/>
    <n v="1422684000"/>
    <x v="511"/>
    <d v="2015-01-31T06:00:00"/>
    <x v="2"/>
  </r>
  <r>
    <n v="625"/>
    <s v="Martinez Inc"/>
    <s v="Organic upward-trending Graphical User Interface"/>
    <n v="7500"/>
    <n v="5803"/>
    <n v="0.77373333333333338"/>
    <x v="0"/>
    <n v="62"/>
    <n v="93.596774193548384"/>
    <x v="1"/>
    <s v="USD"/>
    <n v="1580104800"/>
    <n v="1581314400"/>
    <x v="575"/>
    <d v="2020-02-10T06:00:00"/>
    <x v="5"/>
  </r>
  <r>
    <n v="626"/>
    <s v="Tucker, Mccoy and Marquez"/>
    <s v="Synergistic tertiary budgetary management"/>
    <n v="6400"/>
    <n v="13205"/>
    <n v="2.0632812500000002"/>
    <x v="1"/>
    <n v="189"/>
    <n v="69.867724867724874"/>
    <x v="1"/>
    <s v="USD"/>
    <n v="1285650000"/>
    <n v="1286427600"/>
    <x v="576"/>
    <d v="2010-10-07T05:00:00"/>
    <x v="1"/>
  </r>
  <r>
    <n v="627"/>
    <s v="Martin, Lee and Armstrong"/>
    <s v="Open-architected incremental ability"/>
    <n v="1600"/>
    <n v="11108"/>
    <n v="6.9424999999999999"/>
    <x v="1"/>
    <n v="154"/>
    <n v="72.129870129870127"/>
    <x v="4"/>
    <s v="GBP"/>
    <n v="1276664400"/>
    <n v="1278738000"/>
    <x v="577"/>
    <d v="2010-07-10T05:00:00"/>
    <x v="3"/>
  </r>
  <r>
    <n v="628"/>
    <s v="Dunn, Moreno and Green"/>
    <s v="Intuitive object-oriented task-force"/>
    <n v="1900"/>
    <n v="2884"/>
    <n v="1.5178947368421052"/>
    <x v="1"/>
    <n v="96"/>
    <n v="30.041666666666668"/>
    <x v="1"/>
    <s v="USD"/>
    <n v="1286168400"/>
    <n v="1286427600"/>
    <x v="578"/>
    <d v="2010-10-07T05:00:00"/>
    <x v="5"/>
  </r>
  <r>
    <n v="629"/>
    <s v="Jackson, Martinez and Ray"/>
    <s v="Multi-tiered executive toolset"/>
    <n v="85900"/>
    <n v="55476"/>
    <n v="0.64582072176949945"/>
    <x v="0"/>
    <n v="750"/>
    <n v="73.968000000000004"/>
    <x v="1"/>
    <s v="USD"/>
    <n v="1467781200"/>
    <n v="1467954000"/>
    <x v="579"/>
    <d v="2016-07-08T05:00:00"/>
    <x v="3"/>
  </r>
  <r>
    <n v="630"/>
    <s v="Patterson-Johnson"/>
    <s v="Grass-roots directional workforce"/>
    <n v="9500"/>
    <n v="5973"/>
    <n v="0.62873684210526315"/>
    <x v="3"/>
    <n v="87"/>
    <n v="68.65517241379311"/>
    <x v="1"/>
    <s v="USD"/>
    <n v="1556686800"/>
    <n v="1557637200"/>
    <x v="580"/>
    <d v="2019-05-12T05:00:00"/>
    <x v="3"/>
  </r>
  <r>
    <n v="631"/>
    <s v="Carlson-Hernandez"/>
    <s v="Quality-focused real-time solution"/>
    <n v="59200"/>
    <n v="183756"/>
    <n v="3.1039864864864866"/>
    <x v="1"/>
    <n v="3063"/>
    <n v="59.992164544564154"/>
    <x v="1"/>
    <s v="USD"/>
    <n v="1553576400"/>
    <n v="1553922000"/>
    <x v="581"/>
    <d v="2019-03-30T05:00:00"/>
    <x v="1"/>
  </r>
  <r>
    <n v="632"/>
    <s v="Parker PLC"/>
    <s v="Reduced interactive matrix"/>
    <n v="72100"/>
    <n v="30902"/>
    <n v="0.42859916782246882"/>
    <x v="2"/>
    <n v="278"/>
    <n v="111.15827338129496"/>
    <x v="1"/>
    <s v="USD"/>
    <n v="1414904400"/>
    <n v="1416463200"/>
    <x v="582"/>
    <d v="2014-11-20T06:00:00"/>
    <x v="2"/>
  </r>
  <r>
    <n v="633"/>
    <s v="Yu and Sons"/>
    <s v="Adaptive context-sensitive architecture"/>
    <n v="6700"/>
    <n v="5569"/>
    <n v="0.83119402985074631"/>
    <x v="0"/>
    <n v="105"/>
    <n v="53.038095238095238"/>
    <x v="1"/>
    <s v="USD"/>
    <n v="1446876000"/>
    <n v="1447221600"/>
    <x v="336"/>
    <d v="2015-11-11T06:00:00"/>
    <x v="0"/>
  </r>
  <r>
    <n v="634"/>
    <s v="Taylor, Johnson and Hernandez"/>
    <s v="Polarized incremental portal"/>
    <n v="118200"/>
    <n v="92824"/>
    <n v="0.78531302876480547"/>
    <x v="3"/>
    <n v="1658"/>
    <n v="55.985524728588658"/>
    <x v="1"/>
    <s v="USD"/>
    <n v="1490418000"/>
    <n v="1491627600"/>
    <x v="583"/>
    <d v="2017-04-08T05:00:00"/>
    <x v="0"/>
  </r>
  <r>
    <n v="635"/>
    <s v="Mack Ltd"/>
    <s v="Reactive regional access"/>
    <n v="139000"/>
    <n v="158590"/>
    <n v="1.1409352517985611"/>
    <x v="1"/>
    <n v="2266"/>
    <n v="69.986760812003524"/>
    <x v="1"/>
    <s v="USD"/>
    <n v="1360389600"/>
    <n v="1363150800"/>
    <x v="584"/>
    <d v="2013-03-13T05:00:00"/>
    <x v="0"/>
  </r>
  <r>
    <n v="636"/>
    <s v="Lamb-Sanders"/>
    <s v="Stand-alone reciprocal frame"/>
    <n v="197700"/>
    <n v="127591"/>
    <n v="0.64537683358624176"/>
    <x v="0"/>
    <n v="2604"/>
    <n v="48.998079877112133"/>
    <x v="3"/>
    <s v="DKK"/>
    <n v="1326866400"/>
    <n v="1330754400"/>
    <x v="585"/>
    <d v="2012-03-03T06:00:00"/>
    <x v="3"/>
  </r>
  <r>
    <n v="637"/>
    <s v="Williams-Ramirez"/>
    <s v="Open-architected 24/7 throughput"/>
    <n v="8500"/>
    <n v="6750"/>
    <n v="0.79411764705882348"/>
    <x v="0"/>
    <n v="65"/>
    <n v="103.84615384615384"/>
    <x v="1"/>
    <s v="USD"/>
    <n v="1479103200"/>
    <n v="1479794400"/>
    <x v="586"/>
    <d v="2016-11-22T06:00:00"/>
    <x v="5"/>
  </r>
  <r>
    <n v="638"/>
    <s v="Weaver Ltd"/>
    <s v="Monitored 24/7 approach"/>
    <n v="81600"/>
    <n v="9318"/>
    <n v="0.11419117647058824"/>
    <x v="0"/>
    <n v="94"/>
    <n v="99.127659574468083"/>
    <x v="1"/>
    <s v="USD"/>
    <n v="1280206800"/>
    <n v="1281243600"/>
    <x v="587"/>
    <d v="2010-08-08T05:00:00"/>
    <x v="1"/>
  </r>
  <r>
    <n v="639"/>
    <s v="Barnes-Williams"/>
    <s v="Upgradable explicit forecast"/>
    <n v="8600"/>
    <n v="4832"/>
    <n v="0.56186046511627907"/>
    <x v="2"/>
    <n v="45"/>
    <n v="107.37777777777778"/>
    <x v="1"/>
    <s v="USD"/>
    <n v="1532754000"/>
    <n v="1532754000"/>
    <x v="588"/>
    <d v="2018-07-28T05:00:00"/>
    <x v="0"/>
  </r>
  <r>
    <n v="640"/>
    <s v="Richardson, Woodward and Hansen"/>
    <s v="Pre-emptive context-sensitive support"/>
    <n v="119800"/>
    <n v="19769"/>
    <n v="0.16501669449081802"/>
    <x v="0"/>
    <n v="257"/>
    <n v="76.922178988326849"/>
    <x v="1"/>
    <s v="USD"/>
    <n v="1453096800"/>
    <n v="1453356000"/>
    <x v="589"/>
    <d v="2016-01-21T06:00:00"/>
    <x v="5"/>
  </r>
  <r>
    <n v="641"/>
    <s v="Hunt, Barker and Baker"/>
    <s v="Business-focused leadingedge instruction set"/>
    <n v="9400"/>
    <n v="11277"/>
    <n v="1.1996808510638297"/>
    <x v="1"/>
    <n v="194"/>
    <n v="58.128865979381445"/>
    <x v="5"/>
    <s v="CHF"/>
    <n v="1487570400"/>
    <n v="1489986000"/>
    <x v="590"/>
    <d v="2017-03-20T05:00:00"/>
    <x v="5"/>
  </r>
  <r>
    <n v="642"/>
    <s v="Ramos, Moreno and Lewis"/>
    <s v="Extended multi-state knowledge user"/>
    <n v="9200"/>
    <n v="13382"/>
    <n v="1.4545652173913044"/>
    <x v="1"/>
    <n v="129"/>
    <n v="103.73643410852713"/>
    <x v="0"/>
    <s v="CAD"/>
    <n v="1545026400"/>
    <n v="1545804000"/>
    <x v="591"/>
    <d v="2018-12-26T06:00:00"/>
    <x v="5"/>
  </r>
  <r>
    <n v="643"/>
    <s v="Harris Inc"/>
    <s v="Future-proofed modular groupware"/>
    <n v="14900"/>
    <n v="32986"/>
    <n v="2.2138255033557046"/>
    <x v="1"/>
    <n v="375"/>
    <n v="87.962666666666664"/>
    <x v="1"/>
    <s v="USD"/>
    <n v="1488348000"/>
    <n v="1489899600"/>
    <x v="592"/>
    <d v="2017-03-19T05:00:00"/>
    <x v="3"/>
  </r>
  <r>
    <n v="644"/>
    <s v="Peters-Nelson"/>
    <s v="Distributed real-time algorithm"/>
    <n v="169400"/>
    <n v="81984"/>
    <n v="0.48396694214876035"/>
    <x v="0"/>
    <n v="2928"/>
    <n v="28"/>
    <x v="0"/>
    <s v="CAD"/>
    <n v="1545112800"/>
    <n v="1546495200"/>
    <x v="593"/>
    <d v="2019-01-03T06:00:00"/>
    <x v="1"/>
  </r>
  <r>
    <n v="645"/>
    <s v="Ferguson, Murphy and Bright"/>
    <s v="Multi-lateral heuristic throughput"/>
    <n v="192100"/>
    <n v="178483"/>
    <n v="0.92911504424778757"/>
    <x v="0"/>
    <n v="4697"/>
    <n v="37.999361294443261"/>
    <x v="1"/>
    <s v="USD"/>
    <n v="1537938000"/>
    <n v="1539752400"/>
    <x v="594"/>
    <d v="2018-10-17T05:00:00"/>
    <x v="3"/>
  </r>
  <r>
    <n v="646"/>
    <s v="Robinson Group"/>
    <s v="Switchable reciprocal middleware"/>
    <n v="98700"/>
    <n v="87448"/>
    <n v="0.88599797365754818"/>
    <x v="0"/>
    <n v="2915"/>
    <n v="29.999313893653515"/>
    <x v="1"/>
    <s v="USD"/>
    <n v="1363150800"/>
    <n v="1364101200"/>
    <x v="595"/>
    <d v="2013-03-24T05:00:00"/>
    <x v="3"/>
  </r>
  <r>
    <n v="647"/>
    <s v="Jordan-Wolfe"/>
    <s v="Inverse multimedia Graphic Interface"/>
    <n v="4500"/>
    <n v="1863"/>
    <n v="0.41399999999999998"/>
    <x v="0"/>
    <n v="18"/>
    <n v="103.5"/>
    <x v="1"/>
    <s v="USD"/>
    <n v="1523250000"/>
    <n v="1525323600"/>
    <x v="596"/>
    <d v="2018-05-03T05:00:00"/>
    <x v="5"/>
  </r>
  <r>
    <n v="648"/>
    <s v="Vargas-Cox"/>
    <s v="Vision-oriented local contingency"/>
    <n v="98600"/>
    <n v="62174"/>
    <n v="0.63056795131845844"/>
    <x v="3"/>
    <n v="723"/>
    <n v="85.994467496542185"/>
    <x v="1"/>
    <s v="USD"/>
    <n v="1499317200"/>
    <n v="1500872400"/>
    <x v="597"/>
    <d v="2017-07-24T05:00:00"/>
    <x v="4"/>
  </r>
  <r>
    <n v="649"/>
    <s v="Yang and Sons"/>
    <s v="Reactive 6thgeneration hub"/>
    <n v="121700"/>
    <n v="59003"/>
    <n v="0.48482333607230893"/>
    <x v="0"/>
    <n v="602"/>
    <n v="98.011627906976742"/>
    <x v="5"/>
    <s v="CHF"/>
    <n v="1287550800"/>
    <n v="1288501200"/>
    <x v="598"/>
    <d v="2010-10-31T05:00:00"/>
    <x v="3"/>
  </r>
  <r>
    <n v="650"/>
    <s v="Wilson, Wilson and Mathis"/>
    <s v="Optional asymmetric success"/>
    <n v="100"/>
    <n v="2"/>
    <n v="0.02"/>
    <x v="0"/>
    <n v="1"/>
    <n v="2"/>
    <x v="1"/>
    <s v="USD"/>
    <n v="1404795600"/>
    <n v="1407128400"/>
    <x v="599"/>
    <d v="2014-08-04T05:00:00"/>
    <x v="1"/>
  </r>
  <r>
    <n v="651"/>
    <s v="Wang, Koch and Weaver"/>
    <s v="Digitized analyzing capacity"/>
    <n v="196700"/>
    <n v="174039"/>
    <n v="0.88479410269445857"/>
    <x v="0"/>
    <n v="3868"/>
    <n v="44.994570837642193"/>
    <x v="6"/>
    <s v="EUR"/>
    <n v="1393048800"/>
    <n v="1394344800"/>
    <x v="600"/>
    <d v="2014-03-09T06:00:00"/>
    <x v="0"/>
  </r>
  <r>
    <n v="652"/>
    <s v="Cisneros Ltd"/>
    <s v="Vision-oriented regional hub"/>
    <n v="10000"/>
    <n v="12684"/>
    <n v="1.2684"/>
    <x v="1"/>
    <n v="409"/>
    <n v="31.012224938875306"/>
    <x v="1"/>
    <s v="USD"/>
    <n v="1470373200"/>
    <n v="1474088400"/>
    <x v="601"/>
    <d v="2016-09-17T05:00:00"/>
    <x v="6"/>
  </r>
  <r>
    <n v="653"/>
    <s v="Williams-Jones"/>
    <s v="Monitored incremental info-mediaries"/>
    <n v="600"/>
    <n v="14033"/>
    <n v="23.388333333333332"/>
    <x v="1"/>
    <n v="234"/>
    <n v="59.970085470085472"/>
    <x v="1"/>
    <s v="USD"/>
    <n v="1460091600"/>
    <n v="1460264400"/>
    <x v="602"/>
    <d v="2016-04-10T05:00:00"/>
    <x v="6"/>
  </r>
  <r>
    <n v="654"/>
    <s v="Roberts, Hinton and Williams"/>
    <s v="Programmable static middleware"/>
    <n v="35000"/>
    <n v="177936"/>
    <n v="5.0838857142857146"/>
    <x v="1"/>
    <n v="3016"/>
    <n v="58.9973474801061"/>
    <x v="1"/>
    <s v="USD"/>
    <n v="1440392400"/>
    <n v="1440824400"/>
    <x v="335"/>
    <d v="2015-08-29T05:00:00"/>
    <x v="5"/>
  </r>
  <r>
    <n v="655"/>
    <s v="Gonzalez, Williams and Benson"/>
    <s v="Multi-layered bottom-line encryption"/>
    <n v="6900"/>
    <n v="13212"/>
    <n v="1.9147826086956521"/>
    <x v="1"/>
    <n v="264"/>
    <n v="50.045454545454547"/>
    <x v="1"/>
    <s v="USD"/>
    <n v="1488434400"/>
    <n v="1489554000"/>
    <x v="603"/>
    <d v="2017-03-15T05:00:00"/>
    <x v="4"/>
  </r>
  <r>
    <n v="656"/>
    <s v="Hobbs, Brown and Lee"/>
    <s v="Vision-oriented systematic Graphical User Interface"/>
    <n v="118400"/>
    <n v="49879"/>
    <n v="0.42127533783783783"/>
    <x v="0"/>
    <n v="504"/>
    <n v="98.966269841269835"/>
    <x v="2"/>
    <s v="AUD"/>
    <n v="1514440800"/>
    <n v="1514872800"/>
    <x v="604"/>
    <d v="2018-01-02T06:00:00"/>
    <x v="4"/>
  </r>
  <r>
    <n v="657"/>
    <s v="Russo, Kim and Mccoy"/>
    <s v="Balanced optimal hardware"/>
    <n v="10000"/>
    <n v="824"/>
    <n v="8.2400000000000001E-2"/>
    <x v="0"/>
    <n v="14"/>
    <n v="58.857142857142854"/>
    <x v="1"/>
    <s v="USD"/>
    <n v="1514354400"/>
    <n v="1515736800"/>
    <x v="605"/>
    <d v="2018-01-12T06:00:00"/>
    <x v="3"/>
  </r>
  <r>
    <n v="658"/>
    <s v="Howell, Myers and Olson"/>
    <s v="Self-enabling mission-critical success"/>
    <n v="52600"/>
    <n v="31594"/>
    <n v="0.60064638783269964"/>
    <x v="3"/>
    <n v="390"/>
    <n v="81.010256410256417"/>
    <x v="1"/>
    <s v="USD"/>
    <n v="1440910800"/>
    <n v="1442898000"/>
    <x v="606"/>
    <d v="2015-09-22T05:00:00"/>
    <x v="2"/>
  </r>
  <r>
    <n v="659"/>
    <s v="Bailey and Sons"/>
    <s v="Grass-roots dynamic emulation"/>
    <n v="120700"/>
    <n v="57010"/>
    <n v="0.47232808616404309"/>
    <x v="0"/>
    <n v="750"/>
    <n v="76.013333333333335"/>
    <x v="4"/>
    <s v="GBP"/>
    <n v="1296108000"/>
    <n v="1296194400"/>
    <x v="65"/>
    <d v="2011-01-28T06:00:00"/>
    <x v="4"/>
  </r>
  <r>
    <n v="660"/>
    <s v="Jensen-Brown"/>
    <s v="Fundamental disintermediate matrix"/>
    <n v="9100"/>
    <n v="7438"/>
    <n v="0.81736263736263737"/>
    <x v="0"/>
    <n v="77"/>
    <n v="96.597402597402592"/>
    <x v="1"/>
    <s v="USD"/>
    <n v="1440133200"/>
    <n v="1440910800"/>
    <x v="607"/>
    <d v="2015-08-30T05:00:00"/>
    <x v="6"/>
  </r>
  <r>
    <n v="661"/>
    <s v="Smith Group"/>
    <s v="Right-sized secondary challenge"/>
    <n v="106800"/>
    <n v="57872"/>
    <n v="0.54187265917603"/>
    <x v="0"/>
    <n v="752"/>
    <n v="76.957446808510639"/>
    <x v="3"/>
    <s v="DKK"/>
    <n v="1332910800"/>
    <n v="1335502800"/>
    <x v="608"/>
    <d v="2012-04-27T05:00:00"/>
    <x v="3"/>
  </r>
  <r>
    <n v="662"/>
    <s v="Murphy-Farrell"/>
    <s v="Implemented exuding software"/>
    <n v="9100"/>
    <n v="8906"/>
    <n v="0.97868131868131869"/>
    <x v="0"/>
    <n v="131"/>
    <n v="67.984732824427482"/>
    <x v="1"/>
    <s v="USD"/>
    <n v="1544335200"/>
    <n v="1544680800"/>
    <x v="609"/>
    <d v="2018-12-13T06:00:00"/>
    <x v="2"/>
  </r>
  <r>
    <n v="663"/>
    <s v="Everett-Wolfe"/>
    <s v="Total optimizing software"/>
    <n v="10000"/>
    <n v="7724"/>
    <n v="0.77239999999999998"/>
    <x v="0"/>
    <n v="87"/>
    <n v="88.781609195402297"/>
    <x v="1"/>
    <s v="USD"/>
    <n v="1286427600"/>
    <n v="1288414800"/>
    <x v="610"/>
    <d v="2010-10-30T05:00:00"/>
    <x v="4"/>
  </r>
  <r>
    <n v="664"/>
    <s v="Young PLC"/>
    <s v="Optional maximized attitude"/>
    <n v="79400"/>
    <n v="26571"/>
    <n v="0.33464735516372796"/>
    <x v="0"/>
    <n v="1063"/>
    <n v="24.99623706491063"/>
    <x v="1"/>
    <s v="USD"/>
    <n v="1329717600"/>
    <n v="1330581600"/>
    <x v="541"/>
    <d v="2012-03-01T06:00:00"/>
    <x v="5"/>
  </r>
  <r>
    <n v="665"/>
    <s v="Park-Goodman"/>
    <s v="Customer-focused impactful extranet"/>
    <n v="5100"/>
    <n v="12219"/>
    <n v="2.3958823529411766"/>
    <x v="1"/>
    <n v="272"/>
    <n v="44.922794117647058"/>
    <x v="1"/>
    <s v="USD"/>
    <n v="1310187600"/>
    <n v="1311397200"/>
    <x v="611"/>
    <d v="2011-07-23T05:00:00"/>
    <x v="0"/>
  </r>
  <r>
    <n v="666"/>
    <s v="York, Barr and Grant"/>
    <s v="Cloned bottom-line success"/>
    <n v="3100"/>
    <n v="1985"/>
    <n v="0.64032258064516134"/>
    <x v="3"/>
    <n v="25"/>
    <n v="79.400000000000006"/>
    <x v="1"/>
    <s v="USD"/>
    <n v="1377838800"/>
    <n v="1378357200"/>
    <x v="612"/>
    <d v="2013-09-05T05:00:00"/>
    <x v="6"/>
  </r>
  <r>
    <n v="667"/>
    <s v="Little Ltd"/>
    <s v="Decentralized bandwidth-monitored ability"/>
    <n v="6900"/>
    <n v="12155"/>
    <n v="1.7615942028985507"/>
    <x v="1"/>
    <n v="419"/>
    <n v="29.009546539379475"/>
    <x v="1"/>
    <s v="USD"/>
    <n v="1410325200"/>
    <n v="1411102800"/>
    <x v="613"/>
    <d v="2014-09-19T05:00:00"/>
    <x v="3"/>
  </r>
  <r>
    <n v="668"/>
    <s v="Brown and Sons"/>
    <s v="Programmable leadingedge budgetary management"/>
    <n v="27500"/>
    <n v="5593"/>
    <n v="0.20338181818181819"/>
    <x v="0"/>
    <n v="76"/>
    <n v="73.59210526315789"/>
    <x v="1"/>
    <s v="USD"/>
    <n v="1343797200"/>
    <n v="1344834000"/>
    <x v="614"/>
    <d v="2012-08-13T05:00:00"/>
    <x v="3"/>
  </r>
  <r>
    <n v="669"/>
    <s v="Payne, Garrett and Thomas"/>
    <s v="Upgradable bi-directional concept"/>
    <n v="48800"/>
    <n v="175020"/>
    <n v="3.5864754098360656"/>
    <x v="1"/>
    <n v="1621"/>
    <n v="107.97038864898211"/>
    <x v="6"/>
    <s v="EUR"/>
    <n v="1498453200"/>
    <n v="1499230800"/>
    <x v="615"/>
    <d v="2017-07-05T05:00:00"/>
    <x v="5"/>
  </r>
  <r>
    <n v="670"/>
    <s v="Robinson Group"/>
    <s v="Re-contextualized homogeneous flexibility"/>
    <n v="16200"/>
    <n v="75955"/>
    <n v="4.6885802469135802"/>
    <x v="1"/>
    <n v="1101"/>
    <n v="68.987284287011803"/>
    <x v="1"/>
    <s v="USD"/>
    <n v="1456380000"/>
    <n v="1457416800"/>
    <x v="90"/>
    <d v="2016-03-08T06:00:00"/>
    <x v="4"/>
  </r>
  <r>
    <n v="671"/>
    <s v="Robinson-Kelly"/>
    <s v="Monitored bi-directional standardization"/>
    <n v="97600"/>
    <n v="119127"/>
    <n v="1.220563524590164"/>
    <x v="1"/>
    <n v="1073"/>
    <n v="111.02236719478098"/>
    <x v="1"/>
    <s v="USD"/>
    <n v="1280552400"/>
    <n v="1280898000"/>
    <x v="616"/>
    <d v="2010-08-04T05:00:00"/>
    <x v="0"/>
  </r>
  <r>
    <n v="672"/>
    <s v="Kelly-Colon"/>
    <s v="Stand-alone grid-enabled leverage"/>
    <n v="197900"/>
    <n v="110689"/>
    <n v="0.55931783729156137"/>
    <x v="0"/>
    <n v="4428"/>
    <n v="24.997515808491418"/>
    <x v="2"/>
    <s v="AUD"/>
    <n v="1521608400"/>
    <n v="1522472400"/>
    <x v="617"/>
    <d v="2018-03-31T05:00:00"/>
    <x v="3"/>
  </r>
  <r>
    <n v="673"/>
    <s v="Turner, Scott and Gentry"/>
    <s v="Assimilated regional groupware"/>
    <n v="5600"/>
    <n v="2445"/>
    <n v="0.43660714285714286"/>
    <x v="0"/>
    <n v="58"/>
    <n v="42.155172413793103"/>
    <x v="6"/>
    <s v="EUR"/>
    <n v="1460696400"/>
    <n v="1462510800"/>
    <x v="618"/>
    <d v="2016-05-06T05:00:00"/>
    <x v="6"/>
  </r>
  <r>
    <n v="674"/>
    <s v="Sanchez Ltd"/>
    <s v="Up-sized 24hour instruction set"/>
    <n v="170700"/>
    <n v="57250"/>
    <n v="0.33538371411833628"/>
    <x v="3"/>
    <n v="1218"/>
    <n v="47.003284072249592"/>
    <x v="1"/>
    <s v="USD"/>
    <n v="1313730000"/>
    <n v="1317790800"/>
    <x v="619"/>
    <d v="2011-10-05T05:00:00"/>
    <x v="6"/>
  </r>
  <r>
    <n v="675"/>
    <s v="Giles-Smith"/>
    <s v="Right-sized web-enabled intranet"/>
    <n v="9700"/>
    <n v="11929"/>
    <n v="1.2297938144329896"/>
    <x v="1"/>
    <n v="331"/>
    <n v="36.0392749244713"/>
    <x v="1"/>
    <s v="USD"/>
    <n v="1568178000"/>
    <n v="1568782800"/>
    <x v="620"/>
    <d v="2019-09-18T05:00:00"/>
    <x v="3"/>
  </r>
  <r>
    <n v="676"/>
    <s v="Thompson-Moreno"/>
    <s v="Expanded needs-based orchestration"/>
    <n v="62300"/>
    <n v="118214"/>
    <n v="1.8974959871589085"/>
    <x v="1"/>
    <n v="1170"/>
    <n v="101.03760683760684"/>
    <x v="1"/>
    <s v="USD"/>
    <n v="1348635600"/>
    <n v="1349413200"/>
    <x v="621"/>
    <d v="2012-10-05T05:00:00"/>
    <x v="3"/>
  </r>
  <r>
    <n v="677"/>
    <s v="Murphy-Fox"/>
    <s v="Organic system-worthy orchestration"/>
    <n v="5300"/>
    <n v="4432"/>
    <n v="0.83622641509433959"/>
    <x v="0"/>
    <n v="111"/>
    <n v="39.927927927927925"/>
    <x v="1"/>
    <s v="USD"/>
    <n v="1468126800"/>
    <n v="1472446800"/>
    <x v="622"/>
    <d v="2016-08-29T05:00:00"/>
    <x v="2"/>
  </r>
  <r>
    <n v="678"/>
    <s v="Rodriguez-Patterson"/>
    <s v="Inverse static standardization"/>
    <n v="99500"/>
    <n v="17879"/>
    <n v="0.17968844221105529"/>
    <x v="3"/>
    <n v="215"/>
    <n v="83.158139534883716"/>
    <x v="1"/>
    <s v="USD"/>
    <n v="1547877600"/>
    <n v="1548050400"/>
    <x v="35"/>
    <d v="2019-01-21T06:00:00"/>
    <x v="0"/>
  </r>
  <r>
    <n v="679"/>
    <s v="Davis Ltd"/>
    <s v="Synchronized motivating solution"/>
    <n v="1400"/>
    <n v="14511"/>
    <n v="10.365"/>
    <x v="1"/>
    <n v="363"/>
    <n v="39.97520661157025"/>
    <x v="1"/>
    <s v="USD"/>
    <n v="1571374800"/>
    <n v="1571806800"/>
    <x v="623"/>
    <d v="2019-10-23T05:00:00"/>
    <x v="6"/>
  </r>
  <r>
    <n v="680"/>
    <s v="Nelson-Valdez"/>
    <s v="Open-source 4thgeneration open system"/>
    <n v="145600"/>
    <n v="141822"/>
    <n v="0.97405219780219776"/>
    <x v="0"/>
    <n v="2955"/>
    <n v="47.993908629441627"/>
    <x v="1"/>
    <s v="USD"/>
    <n v="1576303200"/>
    <n v="1576476000"/>
    <x v="624"/>
    <d v="2019-12-16T06:00:00"/>
    <x v="0"/>
  </r>
  <r>
    <n v="681"/>
    <s v="Kelly PLC"/>
    <s v="Decentralized context-sensitive superstructure"/>
    <n v="184100"/>
    <n v="159037"/>
    <n v="0.86386203150461705"/>
    <x v="0"/>
    <n v="1657"/>
    <n v="95.978877489438744"/>
    <x v="1"/>
    <s v="USD"/>
    <n v="1324447200"/>
    <n v="1324965600"/>
    <x v="625"/>
    <d v="2011-12-27T06:00:00"/>
    <x v="3"/>
  </r>
  <r>
    <n v="682"/>
    <s v="Nguyen and Sons"/>
    <s v="Compatible 5thgeneration concept"/>
    <n v="5400"/>
    <n v="8109"/>
    <n v="1.5016666666666667"/>
    <x v="1"/>
    <n v="103"/>
    <n v="78.728155339805824"/>
    <x v="1"/>
    <s v="USD"/>
    <n v="1386741600"/>
    <n v="1387519200"/>
    <x v="626"/>
    <d v="2013-12-20T06:00:00"/>
    <x v="3"/>
  </r>
  <r>
    <n v="683"/>
    <s v="Jones PLC"/>
    <s v="Virtual systemic intranet"/>
    <n v="2300"/>
    <n v="8244"/>
    <n v="3.5843478260869563"/>
    <x v="1"/>
    <n v="147"/>
    <n v="56.081632653061227"/>
    <x v="1"/>
    <s v="USD"/>
    <n v="1537074000"/>
    <n v="1537246800"/>
    <x v="627"/>
    <d v="2018-09-18T05:00:00"/>
    <x v="2"/>
  </r>
  <r>
    <n v="684"/>
    <s v="Gilmore LLC"/>
    <s v="Optimized systemic algorithm"/>
    <n v="1400"/>
    <n v="7600"/>
    <n v="5.4285714285714288"/>
    <x v="1"/>
    <n v="110"/>
    <n v="69.090909090909093"/>
    <x v="0"/>
    <s v="CAD"/>
    <n v="1277787600"/>
    <n v="1279515600"/>
    <x v="628"/>
    <d v="2010-07-19T05:00:00"/>
    <x v="1"/>
  </r>
  <r>
    <n v="685"/>
    <s v="Lee-Cobb"/>
    <s v="Customizable homogeneous firmware"/>
    <n v="140000"/>
    <n v="94501"/>
    <n v="0.67500714285714281"/>
    <x v="0"/>
    <n v="926"/>
    <n v="102.05291576673866"/>
    <x v="0"/>
    <s v="CAD"/>
    <n v="1440306000"/>
    <n v="1442379600"/>
    <x v="629"/>
    <d v="2015-09-16T05:00:00"/>
    <x v="2"/>
  </r>
  <r>
    <n v="686"/>
    <s v="Jones, Wiley and Robbins"/>
    <s v="Front-line cohesive extranet"/>
    <n v="7500"/>
    <n v="14381"/>
    <n v="1.9174666666666667"/>
    <x v="1"/>
    <n v="134"/>
    <n v="107.32089552238806"/>
    <x v="1"/>
    <s v="USD"/>
    <n v="1522126800"/>
    <n v="1523077200"/>
    <x v="630"/>
    <d v="2018-04-07T05:00:00"/>
    <x v="1"/>
  </r>
  <r>
    <n v="687"/>
    <s v="Martin, Gates and Holt"/>
    <s v="Distributed holistic neural-net"/>
    <n v="1500"/>
    <n v="13980"/>
    <n v="9.32"/>
    <x v="1"/>
    <n v="269"/>
    <n v="51.970260223048328"/>
    <x v="1"/>
    <s v="USD"/>
    <n v="1489298400"/>
    <n v="1489554000"/>
    <x v="631"/>
    <d v="2017-03-15T05:00:00"/>
    <x v="2"/>
  </r>
  <r>
    <n v="688"/>
    <s v="Bowen, Davies and Burns"/>
    <s v="Devolved client-server monitoring"/>
    <n v="2900"/>
    <n v="12449"/>
    <n v="4.2927586206896553"/>
    <x v="1"/>
    <n v="175"/>
    <n v="71.137142857142862"/>
    <x v="1"/>
    <s v="USD"/>
    <n v="1547100000"/>
    <n v="1548482400"/>
    <x v="632"/>
    <d v="2019-01-26T06:00:00"/>
    <x v="4"/>
  </r>
  <r>
    <n v="689"/>
    <s v="Nguyen Inc"/>
    <s v="Seamless directional capacity"/>
    <n v="7300"/>
    <n v="7348"/>
    <n v="1.0065753424657535"/>
    <x v="1"/>
    <n v="69"/>
    <n v="106.49275362318841"/>
    <x v="1"/>
    <s v="USD"/>
    <n v="1383022800"/>
    <n v="1384063200"/>
    <x v="633"/>
    <d v="2013-11-10T06:00:00"/>
    <x v="1"/>
  </r>
  <r>
    <n v="690"/>
    <s v="Walsh-Watts"/>
    <s v="Polarized actuating implementation"/>
    <n v="3600"/>
    <n v="8158"/>
    <n v="2.266111111111111"/>
    <x v="1"/>
    <n v="190"/>
    <n v="42.93684210526316"/>
    <x v="1"/>
    <s v="USD"/>
    <n v="1322373600"/>
    <n v="1322892000"/>
    <x v="634"/>
    <d v="2011-12-03T06:00:00"/>
    <x v="2"/>
  </r>
  <r>
    <n v="691"/>
    <s v="Ray, Li and Li"/>
    <s v="Front-line disintermediate hub"/>
    <n v="5000"/>
    <n v="7119"/>
    <n v="1.4238"/>
    <x v="1"/>
    <n v="237"/>
    <n v="30.037974683544302"/>
    <x v="1"/>
    <s v="USD"/>
    <n v="1349240400"/>
    <n v="1350709200"/>
    <x v="635"/>
    <d v="2012-10-20T05:00:00"/>
    <x v="3"/>
  </r>
  <r>
    <n v="692"/>
    <s v="Murray Ltd"/>
    <s v="Decentralized 4thgeneration challenge"/>
    <n v="6000"/>
    <n v="5438"/>
    <n v="0.90633333333333332"/>
    <x v="0"/>
    <n v="77"/>
    <n v="70.623376623376629"/>
    <x v="4"/>
    <s v="GBP"/>
    <n v="1562648400"/>
    <n v="1564203600"/>
    <x v="636"/>
    <d v="2019-07-27T05:00:00"/>
    <x v="1"/>
  </r>
  <r>
    <n v="693"/>
    <s v="Bradford-Silva"/>
    <s v="Reverse-engineered composite hierarchy"/>
    <n v="180400"/>
    <n v="115396"/>
    <n v="0.63966740576496672"/>
    <x v="0"/>
    <n v="1748"/>
    <n v="66.016018306636155"/>
    <x v="1"/>
    <s v="USD"/>
    <n v="1508216400"/>
    <n v="1509685200"/>
    <x v="637"/>
    <d v="2017-11-03T05:00:00"/>
    <x v="1"/>
  </r>
  <r>
    <n v="694"/>
    <s v="Mora-Bradley"/>
    <s v="Programmable tangible ability"/>
    <n v="9100"/>
    <n v="7656"/>
    <n v="0.84131868131868137"/>
    <x v="0"/>
    <n v="79"/>
    <n v="96.911392405063296"/>
    <x v="1"/>
    <s v="USD"/>
    <n v="1511762400"/>
    <n v="1514959200"/>
    <x v="638"/>
    <d v="2018-01-03T06:00:00"/>
    <x v="5"/>
  </r>
  <r>
    <n v="695"/>
    <s v="Cardenas, Thompson and Carey"/>
    <s v="Configurable full-range emulation"/>
    <n v="9200"/>
    <n v="12322"/>
    <n v="1.3393478260869565"/>
    <x v="1"/>
    <n v="196"/>
    <n v="62.867346938775512"/>
    <x v="6"/>
    <s v="EUR"/>
    <n v="1447480800"/>
    <n v="1448863200"/>
    <x v="639"/>
    <d v="2015-11-30T06:00:00"/>
    <x v="0"/>
  </r>
  <r>
    <n v="696"/>
    <s v="Lopez, Reid and Johnson"/>
    <s v="Total real-time hardware"/>
    <n v="164100"/>
    <n v="96888"/>
    <n v="0.59042047531992692"/>
    <x v="0"/>
    <n v="889"/>
    <n v="108.98537682789652"/>
    <x v="1"/>
    <s v="USD"/>
    <n v="1429506000"/>
    <n v="1429592400"/>
    <x v="640"/>
    <d v="2015-04-21T05:00:00"/>
    <x v="5"/>
  </r>
  <r>
    <n v="697"/>
    <s v="Fox-Williams"/>
    <s v="Profound system-worthy functionalities"/>
    <n v="128900"/>
    <n v="196960"/>
    <n v="1.5280062063615205"/>
    <x v="1"/>
    <n v="7295"/>
    <n v="26.999314599040439"/>
    <x v="1"/>
    <s v="USD"/>
    <n v="1522472400"/>
    <n v="1522645200"/>
    <x v="641"/>
    <d v="2018-04-02T05:00:00"/>
    <x v="0"/>
  </r>
  <r>
    <n v="698"/>
    <s v="Taylor, Wood and Taylor"/>
    <s v="Cloned hybrid focus group"/>
    <n v="42100"/>
    <n v="188057"/>
    <n v="4.466912114014252"/>
    <x v="1"/>
    <n v="2893"/>
    <n v="65.004147943311438"/>
    <x v="0"/>
    <s v="CAD"/>
    <n v="1322114400"/>
    <n v="1323324000"/>
    <x v="642"/>
    <d v="2011-12-08T06:00:00"/>
    <x v="4"/>
  </r>
  <r>
    <n v="699"/>
    <s v="King Inc"/>
    <s v="Ergonomic dedicated focus group"/>
    <n v="7400"/>
    <n v="6245"/>
    <n v="0.8439189189189189"/>
    <x v="0"/>
    <n v="56"/>
    <n v="111.51785714285714"/>
    <x v="1"/>
    <s v="USD"/>
    <n v="1561438800"/>
    <n v="1561525200"/>
    <x v="230"/>
    <d v="2019-06-26T05:00:00"/>
    <x v="1"/>
  </r>
  <r>
    <n v="700"/>
    <s v="Cole, Petty and Cameron"/>
    <s v="Realigned zero administration paradigm"/>
    <n v="100"/>
    <n v="3"/>
    <n v="0.03"/>
    <x v="0"/>
    <n v="1"/>
    <n v="3"/>
    <x v="1"/>
    <s v="USD"/>
    <n v="1264399200"/>
    <n v="1265695200"/>
    <x v="67"/>
    <d v="2010-02-09T06:00:00"/>
    <x v="5"/>
  </r>
  <r>
    <n v="701"/>
    <s v="Mcclain LLC"/>
    <s v="Open-source multi-tasking methodology"/>
    <n v="52000"/>
    <n v="91014"/>
    <n v="1.7502692307692307"/>
    <x v="1"/>
    <n v="820"/>
    <n v="110.99268292682927"/>
    <x v="1"/>
    <s v="USD"/>
    <n v="1301202000"/>
    <n v="1301806800"/>
    <x v="643"/>
    <d v="2011-04-03T05:00:00"/>
    <x v="2"/>
  </r>
  <r>
    <n v="702"/>
    <s v="Sims-Gross"/>
    <s v="Object-based attitude-oriented analyzer"/>
    <n v="8700"/>
    <n v="4710"/>
    <n v="0.54137931034482756"/>
    <x v="0"/>
    <n v="83"/>
    <n v="56.746987951807228"/>
    <x v="1"/>
    <s v="USD"/>
    <n v="1374469200"/>
    <n v="1374901200"/>
    <x v="644"/>
    <d v="2013-07-27T05:00:00"/>
    <x v="5"/>
  </r>
  <r>
    <n v="703"/>
    <s v="Perez Group"/>
    <s v="Cross-platform tertiary hub"/>
    <n v="63400"/>
    <n v="197728"/>
    <n v="3.1187381703470032"/>
    <x v="1"/>
    <n v="2038"/>
    <n v="97.020608439646708"/>
    <x v="1"/>
    <s v="USD"/>
    <n v="1334984400"/>
    <n v="1336453200"/>
    <x v="645"/>
    <d v="2012-05-08T05:00:00"/>
    <x v="0"/>
  </r>
  <r>
    <n v="704"/>
    <s v="Haynes-Williams"/>
    <s v="Seamless clear-thinking artificial intelligence"/>
    <n v="8700"/>
    <n v="10682"/>
    <n v="1.2278160919540231"/>
    <x v="1"/>
    <n v="116"/>
    <n v="92.08620689655173"/>
    <x v="1"/>
    <s v="USD"/>
    <n v="1467608400"/>
    <n v="1468904400"/>
    <x v="646"/>
    <d v="2016-07-19T05:00:00"/>
    <x v="5"/>
  </r>
  <r>
    <n v="705"/>
    <s v="Ford LLC"/>
    <s v="Centralized tangible success"/>
    <n v="169700"/>
    <n v="168048"/>
    <n v="0.99026517383618151"/>
    <x v="0"/>
    <n v="2025"/>
    <n v="82.986666666666665"/>
    <x v="4"/>
    <s v="GBP"/>
    <n v="1386741600"/>
    <n v="1387087200"/>
    <x v="626"/>
    <d v="2013-12-15T06:00:00"/>
    <x v="3"/>
  </r>
  <r>
    <n v="706"/>
    <s v="Moreno Ltd"/>
    <s v="Customer-focused multimedia methodology"/>
    <n v="108400"/>
    <n v="138586"/>
    <n v="1.278468634686347"/>
    <x v="1"/>
    <n v="1345"/>
    <n v="103.03791821561339"/>
    <x v="2"/>
    <s v="AUD"/>
    <n v="1546754400"/>
    <n v="1547445600"/>
    <x v="647"/>
    <d v="2019-01-14T06:00:00"/>
    <x v="2"/>
  </r>
  <r>
    <n v="707"/>
    <s v="Moore, Cook and Wright"/>
    <s v="Visionary maximized Local Area Network"/>
    <n v="7300"/>
    <n v="11579"/>
    <n v="1.5861643835616439"/>
    <x v="1"/>
    <n v="168"/>
    <n v="68.922619047619051"/>
    <x v="1"/>
    <s v="USD"/>
    <n v="1544248800"/>
    <n v="1547359200"/>
    <x v="159"/>
    <d v="2019-01-13T06:00:00"/>
    <x v="0"/>
  </r>
  <r>
    <n v="708"/>
    <s v="Ortega LLC"/>
    <s v="Secured bifurcated intranet"/>
    <n v="1700"/>
    <n v="12020"/>
    <n v="7.0705882352941174"/>
    <x v="1"/>
    <n v="137"/>
    <n v="87.737226277372258"/>
    <x v="5"/>
    <s v="CHF"/>
    <n v="1495429200"/>
    <n v="1496293200"/>
    <x v="648"/>
    <d v="2017-06-01T05:00:00"/>
    <x v="5"/>
  </r>
  <r>
    <n v="709"/>
    <s v="Silva, Walker and Martin"/>
    <s v="Grass-roots 4thgeneration product"/>
    <n v="9800"/>
    <n v="13954"/>
    <n v="1.4238775510204082"/>
    <x v="1"/>
    <n v="186"/>
    <n v="75.021505376344081"/>
    <x v="6"/>
    <s v="EUR"/>
    <n v="1334811600"/>
    <n v="1335416400"/>
    <x v="267"/>
    <d v="2012-04-26T05:00:00"/>
    <x v="4"/>
  </r>
  <r>
    <n v="710"/>
    <s v="Huynh, Gallegos and Mills"/>
    <s v="Reduced next generation info-mediaries"/>
    <n v="4300"/>
    <n v="6358"/>
    <n v="1.4786046511627906"/>
    <x v="1"/>
    <n v="125"/>
    <n v="50.863999999999997"/>
    <x v="1"/>
    <s v="USD"/>
    <n v="1531544400"/>
    <n v="1532149200"/>
    <x v="649"/>
    <d v="2018-07-21T05:00:00"/>
    <x v="0"/>
  </r>
  <r>
    <n v="711"/>
    <s v="Anderson LLC"/>
    <s v="Customizable full-range artificial intelligence"/>
    <n v="6200"/>
    <n v="1260"/>
    <n v="0.20322580645161289"/>
    <x v="0"/>
    <n v="14"/>
    <n v="90"/>
    <x v="6"/>
    <s v="EUR"/>
    <n v="1453615200"/>
    <n v="1453788000"/>
    <x v="248"/>
    <d v="2016-01-26T06:00:00"/>
    <x v="2"/>
  </r>
  <r>
    <n v="712"/>
    <s v="Garza-Bryant"/>
    <s v="Programmable leadingedge contingency"/>
    <n v="800"/>
    <n v="14725"/>
    <n v="18.40625"/>
    <x v="1"/>
    <n v="202"/>
    <n v="72.896039603960389"/>
    <x v="1"/>
    <s v="USD"/>
    <n v="1467954000"/>
    <n v="1471496400"/>
    <x v="571"/>
    <d v="2016-08-18T05:00:00"/>
    <x v="6"/>
  </r>
  <r>
    <n v="713"/>
    <s v="Mays LLC"/>
    <s v="Multi-layered global groupware"/>
    <n v="6900"/>
    <n v="11174"/>
    <n v="1.6194202898550725"/>
    <x v="1"/>
    <n v="103"/>
    <n v="108.48543689320388"/>
    <x v="1"/>
    <s v="USD"/>
    <n v="1471842000"/>
    <n v="1472878800"/>
    <x v="650"/>
    <d v="2016-09-03T05:00:00"/>
    <x v="5"/>
  </r>
  <r>
    <n v="714"/>
    <s v="Evans-Jones"/>
    <s v="Switchable methodical superstructure"/>
    <n v="38500"/>
    <n v="182036"/>
    <n v="4.7282077922077921"/>
    <x v="1"/>
    <n v="1785"/>
    <n v="101.98095238095237"/>
    <x v="1"/>
    <s v="USD"/>
    <n v="1408424400"/>
    <n v="1408510800"/>
    <x v="1"/>
    <d v="2014-08-20T05:00:00"/>
    <x v="1"/>
  </r>
  <r>
    <n v="715"/>
    <s v="Fischer, Torres and Walker"/>
    <s v="Expanded even-keeled portal"/>
    <n v="118000"/>
    <n v="28870"/>
    <n v="0.24466101694915254"/>
    <x v="0"/>
    <n v="656"/>
    <n v="44.009146341463413"/>
    <x v="1"/>
    <s v="USD"/>
    <n v="1281157200"/>
    <n v="1281589200"/>
    <x v="651"/>
    <d v="2010-08-12T05:00:00"/>
    <x v="0"/>
  </r>
  <r>
    <n v="716"/>
    <s v="Tapia, Kramer and Hicks"/>
    <s v="Advanced modular moderator"/>
    <n v="2000"/>
    <n v="10353"/>
    <n v="5.1764999999999999"/>
    <x v="1"/>
    <n v="157"/>
    <n v="65.942675159235662"/>
    <x v="1"/>
    <s v="USD"/>
    <n v="1373432400"/>
    <n v="1375851600"/>
    <x v="652"/>
    <d v="2013-08-07T05:00:00"/>
    <x v="3"/>
  </r>
  <r>
    <n v="717"/>
    <s v="Barnes, Wilcox and Riley"/>
    <s v="Reverse-engineered well-modulated ability"/>
    <n v="5600"/>
    <n v="13868"/>
    <n v="2.4764285714285714"/>
    <x v="1"/>
    <n v="555"/>
    <n v="24.987387387387386"/>
    <x v="1"/>
    <s v="USD"/>
    <n v="1313989200"/>
    <n v="1315803600"/>
    <x v="653"/>
    <d v="2011-09-12T05:00:00"/>
    <x v="5"/>
  </r>
  <r>
    <n v="718"/>
    <s v="Reyes PLC"/>
    <s v="Expanded optimal pricing structure"/>
    <n v="8300"/>
    <n v="8317"/>
    <n v="1.0020481927710843"/>
    <x v="1"/>
    <n v="297"/>
    <n v="28.003367003367003"/>
    <x v="1"/>
    <s v="USD"/>
    <n v="1371445200"/>
    <n v="1373691600"/>
    <x v="654"/>
    <d v="2013-07-13T05:00:00"/>
    <x v="5"/>
  </r>
  <r>
    <n v="719"/>
    <s v="Pace, Simpson and Watkins"/>
    <s v="Down-sized uniform ability"/>
    <n v="6900"/>
    <n v="10557"/>
    <n v="1.53"/>
    <x v="1"/>
    <n v="123"/>
    <n v="85.829268292682926"/>
    <x v="1"/>
    <s v="USD"/>
    <n v="1338267600"/>
    <n v="1339218000"/>
    <x v="655"/>
    <d v="2012-06-09T05:00:00"/>
    <x v="1"/>
  </r>
  <r>
    <n v="720"/>
    <s v="Valenzuela, Davidson and Castro"/>
    <s v="Multi-layered upward-trending conglomeration"/>
    <n v="8700"/>
    <n v="3227"/>
    <n v="0.37091954022988505"/>
    <x v="3"/>
    <n v="38"/>
    <n v="84.921052631578945"/>
    <x v="3"/>
    <s v="DKK"/>
    <n v="1519192800"/>
    <n v="1520402400"/>
    <x v="656"/>
    <d v="2018-03-07T06:00:00"/>
    <x v="3"/>
  </r>
  <r>
    <n v="721"/>
    <s v="Dominguez-Owens"/>
    <s v="Open-architected systematic intranet"/>
    <n v="123600"/>
    <n v="5429"/>
    <n v="4.3923948220064728E-2"/>
    <x v="3"/>
    <n v="60"/>
    <n v="90.483333333333334"/>
    <x v="1"/>
    <s v="USD"/>
    <n v="1522818000"/>
    <n v="1523336400"/>
    <x v="657"/>
    <d v="2018-04-10T05:00:00"/>
    <x v="3"/>
  </r>
  <r>
    <n v="722"/>
    <s v="Thomas-Simmons"/>
    <s v="Proactive 24hour frame"/>
    <n v="48500"/>
    <n v="75906"/>
    <n v="1.5650721649484536"/>
    <x v="1"/>
    <n v="3036"/>
    <n v="25.00197628458498"/>
    <x v="1"/>
    <s v="USD"/>
    <n v="1509948000"/>
    <n v="1512280800"/>
    <x v="265"/>
    <d v="2017-12-03T06:00:00"/>
    <x v="5"/>
  </r>
  <r>
    <n v="723"/>
    <s v="Beck-Knight"/>
    <s v="Exclusive fresh-thinking model"/>
    <n v="4900"/>
    <n v="13250"/>
    <n v="2.704081632653061"/>
    <x v="1"/>
    <n v="144"/>
    <n v="92.013888888888886"/>
    <x v="2"/>
    <s v="AUD"/>
    <n v="1456898400"/>
    <n v="1458709200"/>
    <x v="658"/>
    <d v="2016-03-23T05:00:00"/>
    <x v="3"/>
  </r>
  <r>
    <n v="724"/>
    <s v="Mccoy Ltd"/>
    <s v="Business-focused encompassing intranet"/>
    <n v="8400"/>
    <n v="11261"/>
    <n v="1.3405952380952382"/>
    <x v="1"/>
    <n v="121"/>
    <n v="93.066115702479337"/>
    <x v="4"/>
    <s v="GBP"/>
    <n v="1413954000"/>
    <n v="1414126800"/>
    <x v="659"/>
    <d v="2014-10-24T05:00:00"/>
    <x v="3"/>
  </r>
  <r>
    <n v="725"/>
    <s v="Dawson-Tyler"/>
    <s v="Optional 6thgeneration access"/>
    <n v="193200"/>
    <n v="97369"/>
    <n v="0.50398033126293995"/>
    <x v="0"/>
    <n v="1596"/>
    <n v="61.008145363408524"/>
    <x v="1"/>
    <s v="USD"/>
    <n v="1416031200"/>
    <n v="1416204000"/>
    <x v="660"/>
    <d v="2014-11-17T06:00:00"/>
    <x v="0"/>
  </r>
  <r>
    <n v="726"/>
    <s v="Johns-Thomas"/>
    <s v="Realigned web-enabled functionalities"/>
    <n v="54300"/>
    <n v="48227"/>
    <n v="0.88815837937384901"/>
    <x v="3"/>
    <n v="524"/>
    <n v="92.036259541984734"/>
    <x v="1"/>
    <s v="USD"/>
    <n v="1287982800"/>
    <n v="1288501200"/>
    <x v="661"/>
    <d v="2010-10-31T05:00:00"/>
    <x v="5"/>
  </r>
  <r>
    <n v="727"/>
    <s v="Quinn, Cruz and Schmidt"/>
    <s v="Enterprise-wide multimedia software"/>
    <n v="8900"/>
    <n v="14685"/>
    <n v="1.65"/>
    <x v="1"/>
    <n v="181"/>
    <n v="81.132596685082873"/>
    <x v="1"/>
    <s v="USD"/>
    <n v="1547964000"/>
    <n v="1552971600"/>
    <x v="4"/>
    <d v="2019-03-19T05:00:00"/>
    <x v="2"/>
  </r>
  <r>
    <n v="728"/>
    <s v="Stewart Inc"/>
    <s v="Versatile mission-critical knowledgebase"/>
    <n v="4200"/>
    <n v="735"/>
    <n v="0.17499999999999999"/>
    <x v="0"/>
    <n v="10"/>
    <n v="73.5"/>
    <x v="1"/>
    <s v="USD"/>
    <n v="1464152400"/>
    <n v="1465102800"/>
    <x v="662"/>
    <d v="2016-06-05T05:00:00"/>
    <x v="3"/>
  </r>
  <r>
    <n v="729"/>
    <s v="Moore Group"/>
    <s v="Multi-lateral object-oriented open system"/>
    <n v="5600"/>
    <n v="10397"/>
    <n v="1.8566071428571429"/>
    <x v="1"/>
    <n v="122"/>
    <n v="85.221311475409834"/>
    <x v="1"/>
    <s v="USD"/>
    <n v="1359957600"/>
    <n v="1360130400"/>
    <x v="663"/>
    <d v="2013-02-06T06:00:00"/>
    <x v="5"/>
  </r>
  <r>
    <n v="730"/>
    <s v="Carson PLC"/>
    <s v="Visionary system-worthy attitude"/>
    <n v="28800"/>
    <n v="118847"/>
    <n v="4.1266319444444441"/>
    <x v="1"/>
    <n v="1071"/>
    <n v="110.96825396825396"/>
    <x v="0"/>
    <s v="CAD"/>
    <n v="1432357200"/>
    <n v="1432875600"/>
    <x v="664"/>
    <d v="2015-05-29T05:00:00"/>
    <x v="0"/>
  </r>
  <r>
    <n v="731"/>
    <s v="Cruz, Hall and Mason"/>
    <s v="Synergized content-based hierarchy"/>
    <n v="8000"/>
    <n v="7220"/>
    <n v="0.90249999999999997"/>
    <x v="3"/>
    <n v="219"/>
    <n v="32.968036529680369"/>
    <x v="1"/>
    <s v="USD"/>
    <n v="1500786000"/>
    <n v="1500872400"/>
    <x v="665"/>
    <d v="2017-07-24T05:00:00"/>
    <x v="2"/>
  </r>
  <r>
    <n v="732"/>
    <s v="Glass, Baker and Jones"/>
    <s v="Business-focused 24hour access"/>
    <n v="117000"/>
    <n v="107622"/>
    <n v="0.91984615384615387"/>
    <x v="0"/>
    <n v="1121"/>
    <n v="96.005352363960753"/>
    <x v="1"/>
    <s v="USD"/>
    <n v="1490158800"/>
    <n v="1492146000"/>
    <x v="666"/>
    <d v="2017-04-14T05:00:00"/>
    <x v="3"/>
  </r>
  <r>
    <n v="733"/>
    <s v="Marquez-Kerr"/>
    <s v="Automated hybrid orchestration"/>
    <n v="15800"/>
    <n v="83267"/>
    <n v="5.2700632911392402"/>
    <x v="1"/>
    <n v="980"/>
    <n v="84.96632653061225"/>
    <x v="1"/>
    <s v="USD"/>
    <n v="1406178000"/>
    <n v="1407301200"/>
    <x v="43"/>
    <d v="2014-08-06T05:00:00"/>
    <x v="4"/>
  </r>
  <r>
    <n v="734"/>
    <s v="Stone PLC"/>
    <s v="Exclusive 5thgeneration leverage"/>
    <n v="4200"/>
    <n v="13404"/>
    <n v="3.1914285714285713"/>
    <x v="1"/>
    <n v="536"/>
    <n v="25.007462686567163"/>
    <x v="1"/>
    <s v="USD"/>
    <n v="1485583200"/>
    <n v="1486620000"/>
    <x v="667"/>
    <d v="2017-02-09T06:00:00"/>
    <x v="0"/>
  </r>
  <r>
    <n v="735"/>
    <s v="Caldwell PLC"/>
    <s v="Grass-roots zero administration alliance"/>
    <n v="37100"/>
    <n v="131404"/>
    <n v="3.5418867924528303"/>
    <x v="1"/>
    <n v="1991"/>
    <n v="65.998995479658461"/>
    <x v="1"/>
    <s v="USD"/>
    <n v="1459314000"/>
    <n v="1459918800"/>
    <x v="668"/>
    <d v="2016-04-06T05:00:00"/>
    <x v="3"/>
  </r>
  <r>
    <n v="736"/>
    <s v="Silva-Hawkins"/>
    <s v="Proactive heuristic orchestration"/>
    <n v="7700"/>
    <n v="2533"/>
    <n v="0.32896103896103895"/>
    <x v="3"/>
    <n v="29"/>
    <n v="87.34482758620689"/>
    <x v="1"/>
    <s v="USD"/>
    <n v="1424412000"/>
    <n v="1424757600"/>
    <x v="669"/>
    <d v="2015-02-24T06:00:00"/>
    <x v="6"/>
  </r>
  <r>
    <n v="737"/>
    <s v="Gardner Inc"/>
    <s v="Function-based systematic Graphical User Interface"/>
    <n v="3700"/>
    <n v="5028"/>
    <n v="1.358918918918919"/>
    <x v="1"/>
    <n v="180"/>
    <n v="27.933333333333334"/>
    <x v="1"/>
    <s v="USD"/>
    <n v="1478844000"/>
    <n v="1479880800"/>
    <x v="670"/>
    <d v="2016-11-23T06:00:00"/>
    <x v="6"/>
  </r>
  <r>
    <n v="738"/>
    <s v="Garcia Group"/>
    <s v="Extended zero administration software"/>
    <n v="74700"/>
    <n v="1557"/>
    <n v="2.0843373493975904E-2"/>
    <x v="0"/>
    <n v="15"/>
    <n v="103.8"/>
    <x v="1"/>
    <s v="USD"/>
    <n v="1416117600"/>
    <n v="1418018400"/>
    <x v="671"/>
    <d v="2014-12-08T06:00:00"/>
    <x v="2"/>
  </r>
  <r>
    <n v="739"/>
    <s v="Meyer-Avila"/>
    <s v="Multi-tiered discrete support"/>
    <n v="10000"/>
    <n v="6100"/>
    <n v="0.61"/>
    <x v="0"/>
    <n v="191"/>
    <n v="31.937172774869111"/>
    <x v="1"/>
    <s v="USD"/>
    <n v="1340946000"/>
    <n v="1341032400"/>
    <x v="672"/>
    <d v="2012-06-30T05:00:00"/>
    <x v="6"/>
  </r>
  <r>
    <n v="740"/>
    <s v="Nelson, Smith and Graham"/>
    <s v="Phased system-worthy conglomeration"/>
    <n v="5300"/>
    <n v="1592"/>
    <n v="0.30037735849056602"/>
    <x v="0"/>
    <n v="16"/>
    <n v="99.5"/>
    <x v="1"/>
    <s v="USD"/>
    <n v="1486101600"/>
    <n v="1486360800"/>
    <x v="673"/>
    <d v="2017-02-06T06:00:00"/>
    <x v="6"/>
  </r>
  <r>
    <n v="741"/>
    <s v="Garcia Ltd"/>
    <s v="Balanced mobile alliance"/>
    <n v="1200"/>
    <n v="14150"/>
    <n v="11.791666666666666"/>
    <x v="1"/>
    <n v="130"/>
    <n v="108.84615384615384"/>
    <x v="1"/>
    <s v="USD"/>
    <n v="1274590800"/>
    <n v="1274677200"/>
    <x v="674"/>
    <d v="2010-05-24T05:00:00"/>
    <x v="2"/>
  </r>
  <r>
    <n v="742"/>
    <s v="West-Stevens"/>
    <s v="Reactive solution-oriented groupware"/>
    <n v="1200"/>
    <n v="13513"/>
    <n v="11.260833333333334"/>
    <x v="1"/>
    <n v="122"/>
    <n v="110.76229508196721"/>
    <x v="1"/>
    <s v="USD"/>
    <n v="1263880800"/>
    <n v="1267509600"/>
    <x v="675"/>
    <d v="2010-03-02T06:00:00"/>
    <x v="1"/>
  </r>
  <r>
    <n v="743"/>
    <s v="Clark-Conrad"/>
    <s v="Exclusive bandwidth-monitored orchestration"/>
    <n v="3900"/>
    <n v="504"/>
    <n v="0.12923076923076923"/>
    <x v="0"/>
    <n v="17"/>
    <n v="29.647058823529413"/>
    <x v="1"/>
    <s v="USD"/>
    <n v="1445403600"/>
    <n v="1445922000"/>
    <x v="676"/>
    <d v="2015-10-27T05:00:00"/>
    <x v="3"/>
  </r>
  <r>
    <n v="744"/>
    <s v="Fitzgerald Group"/>
    <s v="Intuitive exuding initiative"/>
    <n v="2000"/>
    <n v="14240"/>
    <n v="7.12"/>
    <x v="1"/>
    <n v="140"/>
    <n v="101.71428571428571"/>
    <x v="1"/>
    <s v="USD"/>
    <n v="1533877200"/>
    <n v="1534050000"/>
    <x v="342"/>
    <d v="2018-08-12T05:00:00"/>
    <x v="6"/>
  </r>
  <r>
    <n v="745"/>
    <s v="Hill, Mccann and Moore"/>
    <s v="Streamlined needs-based knowledge user"/>
    <n v="6900"/>
    <n v="2091"/>
    <n v="0.30304347826086958"/>
    <x v="0"/>
    <n v="34"/>
    <n v="61.5"/>
    <x v="1"/>
    <s v="USD"/>
    <n v="1275195600"/>
    <n v="1277528400"/>
    <x v="677"/>
    <d v="2010-06-26T05:00:00"/>
    <x v="2"/>
  </r>
  <r>
    <n v="746"/>
    <s v="Edwards LLC"/>
    <s v="Automated system-worthy structure"/>
    <n v="55800"/>
    <n v="118580"/>
    <n v="2.1250896057347672"/>
    <x v="1"/>
    <n v="3388"/>
    <n v="35"/>
    <x v="1"/>
    <s v="USD"/>
    <n v="1318136400"/>
    <n v="1318568400"/>
    <x v="678"/>
    <d v="2011-10-14T05:00:00"/>
    <x v="2"/>
  </r>
  <r>
    <n v="747"/>
    <s v="Greer and Sons"/>
    <s v="Secured clear-thinking intranet"/>
    <n v="4900"/>
    <n v="11214"/>
    <n v="2.2885714285714287"/>
    <x v="1"/>
    <n v="280"/>
    <n v="40.049999999999997"/>
    <x v="1"/>
    <s v="USD"/>
    <n v="1283403600"/>
    <n v="1284354000"/>
    <x v="679"/>
    <d v="2010-09-13T05:00:00"/>
    <x v="4"/>
  </r>
  <r>
    <n v="748"/>
    <s v="Martinez PLC"/>
    <s v="Cloned actuating architecture"/>
    <n v="194900"/>
    <n v="68137"/>
    <n v="0.34959979476654696"/>
    <x v="3"/>
    <n v="614"/>
    <n v="110.97231270358306"/>
    <x v="1"/>
    <s v="USD"/>
    <n v="1267423200"/>
    <n v="1269579600"/>
    <x v="680"/>
    <d v="2010-03-26T05:00:00"/>
    <x v="5"/>
  </r>
  <r>
    <n v="749"/>
    <s v="Hunter-Logan"/>
    <s v="Down-sized needs-based task-force"/>
    <n v="8600"/>
    <n v="13527"/>
    <n v="1.5729069767441861"/>
    <x v="1"/>
    <n v="366"/>
    <n v="36.959016393442624"/>
    <x v="6"/>
    <s v="EUR"/>
    <n v="1412744400"/>
    <n v="1413781200"/>
    <x v="681"/>
    <d v="2014-10-20T05:00:00"/>
    <x v="3"/>
  </r>
  <r>
    <n v="750"/>
    <s v="Ramos and Sons"/>
    <s v="Extended responsive Internet solution"/>
    <n v="100"/>
    <n v="1"/>
    <n v="0.01"/>
    <x v="0"/>
    <n v="1"/>
    <n v="1"/>
    <x v="4"/>
    <s v="GBP"/>
    <n v="1277960400"/>
    <n v="1280120400"/>
    <x v="682"/>
    <d v="2010-07-26T05:00:00"/>
    <x v="4"/>
  </r>
  <r>
    <n v="751"/>
    <s v="Lane-Barber"/>
    <s v="Universal value-added moderator"/>
    <n v="3600"/>
    <n v="8363"/>
    <n v="2.3230555555555554"/>
    <x v="1"/>
    <n v="270"/>
    <n v="30.974074074074075"/>
    <x v="1"/>
    <s v="USD"/>
    <n v="1458190800"/>
    <n v="1459486800"/>
    <x v="683"/>
    <d v="2016-04-01T05:00:00"/>
    <x v="4"/>
  </r>
  <r>
    <n v="752"/>
    <s v="Lowery Group"/>
    <s v="Sharable motivating emulation"/>
    <n v="5800"/>
    <n v="5362"/>
    <n v="0.92448275862068963"/>
    <x v="3"/>
    <n v="114"/>
    <n v="47.035087719298247"/>
    <x v="1"/>
    <s v="USD"/>
    <n v="1280984400"/>
    <n v="1282539600"/>
    <x v="684"/>
    <d v="2010-08-23T05:00:00"/>
    <x v="4"/>
  </r>
  <r>
    <n v="753"/>
    <s v="Guerrero-Griffin"/>
    <s v="Networked web-enabled product"/>
    <n v="4700"/>
    <n v="12065"/>
    <n v="2.5670212765957445"/>
    <x v="1"/>
    <n v="137"/>
    <n v="88.065693430656935"/>
    <x v="1"/>
    <s v="USD"/>
    <n v="1274590800"/>
    <n v="1275886800"/>
    <x v="674"/>
    <d v="2010-06-07T05:00:00"/>
    <x v="2"/>
  </r>
  <r>
    <n v="754"/>
    <s v="Perez, Reed and Lee"/>
    <s v="Advanced dedicated encoding"/>
    <n v="70400"/>
    <n v="118603"/>
    <n v="1.6847017045454546"/>
    <x v="1"/>
    <n v="3205"/>
    <n v="37.005616224648989"/>
    <x v="1"/>
    <s v="USD"/>
    <n v="1351400400"/>
    <n v="1355983200"/>
    <x v="685"/>
    <d v="2012-12-20T06:00:00"/>
    <x v="2"/>
  </r>
  <r>
    <n v="755"/>
    <s v="Chen, Pollard and Clarke"/>
    <s v="Stand-alone multi-state project"/>
    <n v="4500"/>
    <n v="7496"/>
    <n v="1.6657777777777778"/>
    <x v="1"/>
    <n v="288"/>
    <n v="26.027777777777779"/>
    <x v="3"/>
    <s v="DKK"/>
    <n v="1514354400"/>
    <n v="1515391200"/>
    <x v="605"/>
    <d v="2018-01-08T06:00:00"/>
    <x v="3"/>
  </r>
  <r>
    <n v="756"/>
    <s v="Serrano, Gallagher and Griffith"/>
    <s v="Customizable bi-directional monitoring"/>
    <n v="1300"/>
    <n v="10037"/>
    <n v="7.7207692307692311"/>
    <x v="1"/>
    <n v="148"/>
    <n v="67.817567567567565"/>
    <x v="1"/>
    <s v="USD"/>
    <n v="1421733600"/>
    <n v="1422252000"/>
    <x v="686"/>
    <d v="2015-01-26T06:00:00"/>
    <x v="1"/>
  </r>
  <r>
    <n v="757"/>
    <s v="Callahan-Gilbert"/>
    <s v="Profit-focused motivating function"/>
    <n v="1400"/>
    <n v="5696"/>
    <n v="4.0685714285714285"/>
    <x v="1"/>
    <n v="114"/>
    <n v="49.964912280701753"/>
    <x v="1"/>
    <s v="USD"/>
    <n v="1305176400"/>
    <n v="1305522000"/>
    <x v="687"/>
    <d v="2011-05-16T05:00:00"/>
    <x v="4"/>
  </r>
  <r>
    <n v="758"/>
    <s v="Logan-Miranda"/>
    <s v="Proactive systemic firmware"/>
    <n v="29600"/>
    <n v="167005"/>
    <n v="5.6420608108108112"/>
    <x v="1"/>
    <n v="1518"/>
    <n v="110.01646903820817"/>
    <x v="0"/>
    <s v="CAD"/>
    <n v="1414126800"/>
    <n v="1414904400"/>
    <x v="688"/>
    <d v="2014-11-02T05:00:00"/>
    <x v="6"/>
  </r>
  <r>
    <n v="759"/>
    <s v="Rodriguez PLC"/>
    <s v="Grass-roots upward-trending installation"/>
    <n v="167500"/>
    <n v="114615"/>
    <n v="0.6842686567164179"/>
    <x v="0"/>
    <n v="1274"/>
    <n v="89.964678178963894"/>
    <x v="1"/>
    <s v="USD"/>
    <n v="1517810400"/>
    <n v="1520402400"/>
    <x v="689"/>
    <d v="2018-03-07T06:00:00"/>
    <x v="5"/>
  </r>
  <r>
    <n v="760"/>
    <s v="Smith-Kennedy"/>
    <s v="Virtual heuristic hub"/>
    <n v="48300"/>
    <n v="16592"/>
    <n v="0.34351966873706002"/>
    <x v="0"/>
    <n v="210"/>
    <n v="79.009523809523813"/>
    <x v="6"/>
    <s v="EUR"/>
    <n v="1564635600"/>
    <n v="1567141200"/>
    <x v="690"/>
    <d v="2019-08-30T05:00:00"/>
    <x v="4"/>
  </r>
  <r>
    <n v="761"/>
    <s v="Mitchell-Lee"/>
    <s v="Customizable leadingedge model"/>
    <n v="2200"/>
    <n v="14420"/>
    <n v="6.5545454545454547"/>
    <x v="1"/>
    <n v="166"/>
    <n v="86.867469879518069"/>
    <x v="1"/>
    <s v="USD"/>
    <n v="1500699600"/>
    <n v="1501131600"/>
    <x v="691"/>
    <d v="2017-07-27T05:00:00"/>
    <x v="0"/>
  </r>
  <r>
    <n v="762"/>
    <s v="Davis Ltd"/>
    <s v="Upgradable uniform service-desk"/>
    <n v="3500"/>
    <n v="6204"/>
    <n v="1.7725714285714285"/>
    <x v="1"/>
    <n v="100"/>
    <n v="62.04"/>
    <x v="2"/>
    <s v="AUD"/>
    <n v="1354082400"/>
    <n v="1355032800"/>
    <x v="692"/>
    <d v="2012-12-09T06:00:00"/>
    <x v="3"/>
  </r>
  <r>
    <n v="763"/>
    <s v="Rowland PLC"/>
    <s v="Inverse client-driven product"/>
    <n v="5600"/>
    <n v="6338"/>
    <n v="1.1317857142857144"/>
    <x v="1"/>
    <n v="235"/>
    <n v="26.970212765957445"/>
    <x v="1"/>
    <s v="USD"/>
    <n v="1336453200"/>
    <n v="1339477200"/>
    <x v="693"/>
    <d v="2012-06-12T05:00:00"/>
    <x v="1"/>
  </r>
  <r>
    <n v="764"/>
    <s v="Shaffer-Mason"/>
    <s v="Managed bandwidth-monitored system engine"/>
    <n v="1100"/>
    <n v="8010"/>
    <n v="7.2818181818181822"/>
    <x v="1"/>
    <n v="148"/>
    <n v="54.121621621621621"/>
    <x v="1"/>
    <s v="USD"/>
    <n v="1305262800"/>
    <n v="1305954000"/>
    <x v="694"/>
    <d v="2011-05-21T05:00:00"/>
    <x v="6"/>
  </r>
  <r>
    <n v="765"/>
    <s v="Matthews LLC"/>
    <s v="Advanced transitional help-desk"/>
    <n v="3900"/>
    <n v="8125"/>
    <n v="2.0833333333333335"/>
    <x v="1"/>
    <n v="198"/>
    <n v="41.035353535353536"/>
    <x v="1"/>
    <s v="USD"/>
    <n v="1492232400"/>
    <n v="1494392400"/>
    <x v="695"/>
    <d v="2017-05-10T05:00:00"/>
    <x v="0"/>
  </r>
  <r>
    <n v="766"/>
    <s v="Montgomery-Castro"/>
    <s v="De-engineered disintermediate encryption"/>
    <n v="43800"/>
    <n v="13653"/>
    <n v="0.31171232876712329"/>
    <x v="0"/>
    <n v="248"/>
    <n v="55.052419354838712"/>
    <x v="2"/>
    <s v="AUD"/>
    <n v="1537333200"/>
    <n v="1537419600"/>
    <x v="123"/>
    <d v="2018-09-20T05:00:00"/>
    <x v="3"/>
  </r>
  <r>
    <n v="767"/>
    <s v="Hale, Pearson and Jenkins"/>
    <s v="Upgradable attitude-oriented project"/>
    <n v="97200"/>
    <n v="55372"/>
    <n v="0.56967078189300413"/>
    <x v="0"/>
    <n v="513"/>
    <n v="107.93762183235867"/>
    <x v="1"/>
    <s v="USD"/>
    <n v="1444107600"/>
    <n v="1447999200"/>
    <x v="696"/>
    <d v="2015-11-20T06:00:00"/>
    <x v="1"/>
  </r>
  <r>
    <n v="768"/>
    <s v="Ramirez-Calderon"/>
    <s v="Fundamental zero tolerance alliance"/>
    <n v="4800"/>
    <n v="11088"/>
    <n v="2.31"/>
    <x v="1"/>
    <n v="150"/>
    <n v="73.92"/>
    <x v="1"/>
    <s v="USD"/>
    <n v="1386741600"/>
    <n v="1388037600"/>
    <x v="626"/>
    <d v="2013-12-26T06:00:00"/>
    <x v="3"/>
  </r>
  <r>
    <n v="769"/>
    <s v="Johnson-Morales"/>
    <s v="Devolved 24hour forecast"/>
    <n v="125600"/>
    <n v="109106"/>
    <n v="0.86867834394904464"/>
    <x v="0"/>
    <n v="3410"/>
    <n v="31.995894428152493"/>
    <x v="1"/>
    <s v="USD"/>
    <n v="1376542800"/>
    <n v="1378789200"/>
    <x v="697"/>
    <d v="2013-09-10T05:00:00"/>
    <x v="4"/>
  </r>
  <r>
    <n v="770"/>
    <s v="Mathis-Rodriguez"/>
    <s v="User-centric attitude-oriented intranet"/>
    <n v="4300"/>
    <n v="11642"/>
    <n v="2.7074418604651163"/>
    <x v="1"/>
    <n v="216"/>
    <n v="53.898148148148145"/>
    <x v="6"/>
    <s v="EUR"/>
    <n v="1397451600"/>
    <n v="1398056400"/>
    <x v="698"/>
    <d v="2014-04-21T05:00:00"/>
    <x v="5"/>
  </r>
  <r>
    <n v="771"/>
    <s v="Smith, Mack and Williams"/>
    <s v="Self-enabling 5thgeneration paradigm"/>
    <n v="5600"/>
    <n v="2769"/>
    <n v="0.49446428571428569"/>
    <x v="3"/>
    <n v="26"/>
    <n v="106.5"/>
    <x v="1"/>
    <s v="USD"/>
    <n v="1548482400"/>
    <n v="1550815200"/>
    <x v="699"/>
    <d v="2019-02-22T06:00:00"/>
    <x v="0"/>
  </r>
  <r>
    <n v="772"/>
    <s v="Johnson-Pace"/>
    <s v="Persistent 3rdgeneration moratorium"/>
    <n v="149600"/>
    <n v="169586"/>
    <n v="1.1335962566844919"/>
    <x v="1"/>
    <n v="5139"/>
    <n v="32.999805409612762"/>
    <x v="1"/>
    <s v="USD"/>
    <n v="1549692000"/>
    <n v="1550037600"/>
    <x v="700"/>
    <d v="2019-02-13T06:00:00"/>
    <x v="0"/>
  </r>
  <r>
    <n v="773"/>
    <s v="Meza, Kirby and Patel"/>
    <s v="Cross-platform empowering project"/>
    <n v="53100"/>
    <n v="101185"/>
    <n v="1.9055555555555554"/>
    <x v="1"/>
    <n v="2353"/>
    <n v="43.00254993625159"/>
    <x v="1"/>
    <s v="USD"/>
    <n v="1492059600"/>
    <n v="1492923600"/>
    <x v="701"/>
    <d v="2017-04-23T05:00:00"/>
    <x v="4"/>
  </r>
  <r>
    <n v="774"/>
    <s v="Gonzalez-Snow"/>
    <s v="Polarized user-facing interface"/>
    <n v="5000"/>
    <n v="6775"/>
    <n v="1.355"/>
    <x v="1"/>
    <n v="78"/>
    <n v="86.858974358974365"/>
    <x v="6"/>
    <s v="EUR"/>
    <n v="1463979600"/>
    <n v="1467522000"/>
    <x v="702"/>
    <d v="2016-07-03T05:00:00"/>
    <x v="5"/>
  </r>
  <r>
    <n v="775"/>
    <s v="Murphy LLC"/>
    <s v="Customer-focused non-volatile framework"/>
    <n v="9400"/>
    <n v="968"/>
    <n v="0.10297872340425532"/>
    <x v="0"/>
    <n v="10"/>
    <n v="96.8"/>
    <x v="1"/>
    <s v="USD"/>
    <n v="1415253600"/>
    <n v="1416117600"/>
    <x v="703"/>
    <d v="2014-11-16T06:00:00"/>
    <x v="4"/>
  </r>
  <r>
    <n v="776"/>
    <s v="Taylor-Rowe"/>
    <s v="Synchronized multimedia frame"/>
    <n v="110800"/>
    <n v="72623"/>
    <n v="0.65544223826714798"/>
    <x v="0"/>
    <n v="2201"/>
    <n v="32.995456610631528"/>
    <x v="1"/>
    <s v="USD"/>
    <n v="1562216400"/>
    <n v="1563771600"/>
    <x v="704"/>
    <d v="2019-07-22T05:00:00"/>
    <x v="4"/>
  </r>
  <r>
    <n v="777"/>
    <s v="Henderson Ltd"/>
    <s v="Open-architected stable algorithm"/>
    <n v="93800"/>
    <n v="45987"/>
    <n v="0.49026652452025588"/>
    <x v="0"/>
    <n v="676"/>
    <n v="68.028106508875737"/>
    <x v="1"/>
    <s v="USD"/>
    <n v="1316754000"/>
    <n v="1319259600"/>
    <x v="431"/>
    <d v="2011-10-22T05:00:00"/>
    <x v="6"/>
  </r>
  <r>
    <n v="778"/>
    <s v="Moss-Guzman"/>
    <s v="Cross-platform optimizing website"/>
    <n v="1300"/>
    <n v="10243"/>
    <n v="7.8792307692307695"/>
    <x v="1"/>
    <n v="174"/>
    <n v="58.867816091954026"/>
    <x v="5"/>
    <s v="CHF"/>
    <n v="1313211600"/>
    <n v="1313643600"/>
    <x v="705"/>
    <d v="2011-08-18T05:00:00"/>
    <x v="0"/>
  </r>
  <r>
    <n v="779"/>
    <s v="Webb Group"/>
    <s v="Public-key actuating projection"/>
    <n v="108700"/>
    <n v="87293"/>
    <n v="0.80306347746090156"/>
    <x v="0"/>
    <n v="831"/>
    <n v="105.04572803850782"/>
    <x v="1"/>
    <s v="USD"/>
    <n v="1439528400"/>
    <n v="1440306000"/>
    <x v="706"/>
    <d v="2015-08-23T05:00:00"/>
    <x v="6"/>
  </r>
  <r>
    <n v="780"/>
    <s v="Brooks-Rodriguez"/>
    <s v="Implemented intangible instruction set"/>
    <n v="5100"/>
    <n v="5421"/>
    <n v="1.0629411764705883"/>
    <x v="1"/>
    <n v="164"/>
    <n v="33.054878048780488"/>
    <x v="1"/>
    <s v="USD"/>
    <n v="1469163600"/>
    <n v="1470805200"/>
    <x v="707"/>
    <d v="2016-08-10T05:00:00"/>
    <x v="6"/>
  </r>
  <r>
    <n v="781"/>
    <s v="Thomas Ltd"/>
    <s v="Cross-group interactive architecture"/>
    <n v="8700"/>
    <n v="4414"/>
    <n v="0.50735632183908042"/>
    <x v="3"/>
    <n v="56"/>
    <n v="78.821428571428569"/>
    <x v="5"/>
    <s v="CHF"/>
    <n v="1288501200"/>
    <n v="1292911200"/>
    <x v="708"/>
    <d v="2010-12-21T06:00:00"/>
    <x v="2"/>
  </r>
  <r>
    <n v="782"/>
    <s v="Williams and Sons"/>
    <s v="Centralized asymmetric framework"/>
    <n v="5100"/>
    <n v="10981"/>
    <n v="2.153137254901961"/>
    <x v="1"/>
    <n v="161"/>
    <n v="68.204968944099377"/>
    <x v="1"/>
    <s v="USD"/>
    <n v="1298959200"/>
    <n v="1301374800"/>
    <x v="709"/>
    <d v="2011-03-29T05:00:00"/>
    <x v="1"/>
  </r>
  <r>
    <n v="783"/>
    <s v="Vega, Chan and Carney"/>
    <s v="Down-sized systematic utilization"/>
    <n v="7400"/>
    <n v="10451"/>
    <n v="1.4122972972972974"/>
    <x v="1"/>
    <n v="138"/>
    <n v="75.731884057971016"/>
    <x v="1"/>
    <s v="USD"/>
    <n v="1387260000"/>
    <n v="1387864800"/>
    <x v="710"/>
    <d v="2013-12-24T06:00:00"/>
    <x v="1"/>
  </r>
  <r>
    <n v="784"/>
    <s v="Byrd Group"/>
    <s v="Profound fault-tolerant model"/>
    <n v="88900"/>
    <n v="102535"/>
    <n v="1.1533745781777278"/>
    <x v="1"/>
    <n v="3308"/>
    <n v="30.996070133010882"/>
    <x v="1"/>
    <s v="USD"/>
    <n v="1457244000"/>
    <n v="1458190800"/>
    <x v="711"/>
    <d v="2016-03-17T05:00:00"/>
    <x v="2"/>
  </r>
  <r>
    <n v="785"/>
    <s v="Peterson, Fletcher and Sanchez"/>
    <s v="Multi-channeled bi-directional moratorium"/>
    <n v="6700"/>
    <n v="12939"/>
    <n v="1.9311940298507462"/>
    <x v="1"/>
    <n v="127"/>
    <n v="101.88188976377953"/>
    <x v="2"/>
    <s v="AUD"/>
    <n v="1556341200"/>
    <n v="1559278800"/>
    <x v="157"/>
    <d v="2019-05-31T05:00:00"/>
    <x v="0"/>
  </r>
  <r>
    <n v="786"/>
    <s v="Smith-Brown"/>
    <s v="Object-based content-based ability"/>
    <n v="1500"/>
    <n v="10946"/>
    <n v="7.2973333333333334"/>
    <x v="1"/>
    <n v="207"/>
    <n v="52.879227053140099"/>
    <x v="6"/>
    <s v="EUR"/>
    <n v="1522126800"/>
    <n v="1522731600"/>
    <x v="630"/>
    <d v="2018-04-03T05:00:00"/>
    <x v="1"/>
  </r>
  <r>
    <n v="787"/>
    <s v="Vance-Glover"/>
    <s v="Progressive coherent secured line"/>
    <n v="61200"/>
    <n v="60994"/>
    <n v="0.99663398692810456"/>
    <x v="0"/>
    <n v="859"/>
    <n v="71.005820721769496"/>
    <x v="0"/>
    <s v="CAD"/>
    <n v="1305954000"/>
    <n v="1306731600"/>
    <x v="712"/>
    <d v="2011-05-30T05:00:00"/>
    <x v="0"/>
  </r>
  <r>
    <n v="788"/>
    <s v="Joyce PLC"/>
    <s v="Synchronized directional capability"/>
    <n v="3600"/>
    <n v="3174"/>
    <n v="0.88166666666666671"/>
    <x v="2"/>
    <n v="31"/>
    <n v="102.38709677419355"/>
    <x v="1"/>
    <s v="USD"/>
    <n v="1350709200"/>
    <n v="1352527200"/>
    <x v="93"/>
    <d v="2012-11-10T06:00:00"/>
    <x v="0"/>
  </r>
  <r>
    <n v="789"/>
    <s v="Kennedy-Miller"/>
    <s v="Cross-platform composite migration"/>
    <n v="9000"/>
    <n v="3351"/>
    <n v="0.37233333333333335"/>
    <x v="0"/>
    <n v="45"/>
    <n v="74.466666666666669"/>
    <x v="1"/>
    <s v="USD"/>
    <n v="1401166800"/>
    <n v="1404363600"/>
    <x v="713"/>
    <d v="2014-07-03T05:00:00"/>
    <x v="1"/>
  </r>
  <r>
    <n v="790"/>
    <s v="White-Obrien"/>
    <s v="Operative local pricing structure"/>
    <n v="185900"/>
    <n v="56774"/>
    <n v="0.30540075309306081"/>
    <x v="3"/>
    <n v="1113"/>
    <n v="51.009883198562441"/>
    <x v="1"/>
    <s v="USD"/>
    <n v="1266127200"/>
    <n v="1266645600"/>
    <x v="714"/>
    <d v="2010-02-20T06:00:00"/>
    <x v="2"/>
  </r>
  <r>
    <n v="791"/>
    <s v="Stafford, Hess and Raymond"/>
    <s v="Optional web-enabled extranet"/>
    <n v="2100"/>
    <n v="540"/>
    <n v="0.25714285714285712"/>
    <x v="0"/>
    <n v="6"/>
    <n v="90"/>
    <x v="1"/>
    <s v="USD"/>
    <n v="1481436000"/>
    <n v="1482818400"/>
    <x v="715"/>
    <d v="2016-12-27T06:00:00"/>
    <x v="2"/>
  </r>
  <r>
    <n v="792"/>
    <s v="Jordan, Schneider and Hall"/>
    <s v="Reduced 6thgeneration intranet"/>
    <n v="2000"/>
    <n v="680"/>
    <n v="0.34"/>
    <x v="0"/>
    <n v="7"/>
    <n v="97.142857142857139"/>
    <x v="1"/>
    <s v="USD"/>
    <n v="1372222800"/>
    <n v="1374642000"/>
    <x v="716"/>
    <d v="2013-07-24T05:00:00"/>
    <x v="3"/>
  </r>
  <r>
    <n v="793"/>
    <s v="Rodriguez, Cox and Rodriguez"/>
    <s v="Networked disintermediate leverage"/>
    <n v="1100"/>
    <n v="13045"/>
    <n v="11.859090909090909"/>
    <x v="1"/>
    <n v="181"/>
    <n v="72.071823204419886"/>
    <x v="5"/>
    <s v="CHF"/>
    <n v="1372136400"/>
    <n v="1372482000"/>
    <x v="448"/>
    <d v="2013-06-29T05:00:00"/>
    <x v="1"/>
  </r>
  <r>
    <n v="794"/>
    <s v="Welch Inc"/>
    <s v="Optional optimal website"/>
    <n v="6600"/>
    <n v="8276"/>
    <n v="1.2539393939393939"/>
    <x v="1"/>
    <n v="110"/>
    <n v="75.236363636363635"/>
    <x v="1"/>
    <s v="USD"/>
    <n v="1513922400"/>
    <n v="1514959200"/>
    <x v="717"/>
    <d v="2018-01-03T06:00:00"/>
    <x v="6"/>
  </r>
  <r>
    <n v="795"/>
    <s v="Vasquez Inc"/>
    <s v="Stand-alone asynchronous functionalities"/>
    <n v="7100"/>
    <n v="1022"/>
    <n v="0.14394366197183098"/>
    <x v="0"/>
    <n v="31"/>
    <n v="32.967741935483872"/>
    <x v="1"/>
    <s v="USD"/>
    <n v="1477976400"/>
    <n v="1478235600"/>
    <x v="718"/>
    <d v="2016-11-04T05:00:00"/>
    <x v="1"/>
  </r>
  <r>
    <n v="796"/>
    <s v="Freeman-Ferguson"/>
    <s v="Profound full-range open system"/>
    <n v="7800"/>
    <n v="4275"/>
    <n v="0.54807692307692313"/>
    <x v="0"/>
    <n v="78"/>
    <n v="54.807692307692307"/>
    <x v="1"/>
    <s v="USD"/>
    <n v="1407474000"/>
    <n v="1408078800"/>
    <x v="719"/>
    <d v="2014-08-15T05:00:00"/>
    <x v="6"/>
  </r>
  <r>
    <n v="797"/>
    <s v="Houston, Moore and Rogers"/>
    <s v="Optional tangible utilization"/>
    <n v="7600"/>
    <n v="8332"/>
    <n v="1.0963157894736841"/>
    <x v="1"/>
    <n v="185"/>
    <n v="45.037837837837834"/>
    <x v="1"/>
    <s v="USD"/>
    <n v="1546149600"/>
    <n v="1548136800"/>
    <x v="720"/>
    <d v="2019-01-22T06:00:00"/>
    <x v="2"/>
  </r>
  <r>
    <n v="798"/>
    <s v="Small-Fuentes"/>
    <s v="Seamless maximized product"/>
    <n v="3400"/>
    <n v="6408"/>
    <n v="1.8847058823529412"/>
    <x v="1"/>
    <n v="121"/>
    <n v="52.958677685950413"/>
    <x v="1"/>
    <s v="USD"/>
    <n v="1338440400"/>
    <n v="1340859600"/>
    <x v="721"/>
    <d v="2012-06-28T05:00:00"/>
    <x v="4"/>
  </r>
  <r>
    <n v="799"/>
    <s v="Reid-Day"/>
    <s v="Devolved tertiary time-frame"/>
    <n v="84500"/>
    <n v="73522"/>
    <n v="0.87008284023668636"/>
    <x v="0"/>
    <n v="1225"/>
    <n v="60.017959183673469"/>
    <x v="4"/>
    <s v="GBP"/>
    <n v="1454133600"/>
    <n v="1454479200"/>
    <x v="722"/>
    <d v="2016-02-03T06:00:00"/>
    <x v="0"/>
  </r>
  <r>
    <n v="800"/>
    <s v="Wallace LLC"/>
    <s v="Centralized regional function"/>
    <n v="100"/>
    <n v="1"/>
    <n v="0.01"/>
    <x v="0"/>
    <n v="1"/>
    <n v="1"/>
    <x v="5"/>
    <s v="CHF"/>
    <n v="1434085200"/>
    <n v="1434430800"/>
    <x v="139"/>
    <d v="2015-06-16T05:00:00"/>
    <x v="6"/>
  </r>
  <r>
    <n v="801"/>
    <s v="Olson-Bishop"/>
    <s v="User-friendly high-level initiative"/>
    <n v="2300"/>
    <n v="4667"/>
    <n v="2.0291304347826089"/>
    <x v="1"/>
    <n v="106"/>
    <n v="44.028301886792455"/>
    <x v="1"/>
    <s v="USD"/>
    <n v="1577772000"/>
    <n v="1579672800"/>
    <x v="723"/>
    <d v="2020-01-22T06:00:00"/>
    <x v="1"/>
  </r>
  <r>
    <n v="802"/>
    <s v="Rodriguez, Anderson and Porter"/>
    <s v="Reverse-engineered zero-defect infrastructure"/>
    <n v="6200"/>
    <n v="12216"/>
    <n v="1.9703225806451612"/>
    <x v="1"/>
    <n v="142"/>
    <n v="86.028169014084511"/>
    <x v="1"/>
    <s v="USD"/>
    <n v="1562216400"/>
    <n v="1562389200"/>
    <x v="704"/>
    <d v="2019-07-06T05:00:00"/>
    <x v="4"/>
  </r>
  <r>
    <n v="803"/>
    <s v="Perez, Brown and Meyers"/>
    <s v="Stand-alone background customer loyalty"/>
    <n v="6100"/>
    <n v="6527"/>
    <n v="1.07"/>
    <x v="1"/>
    <n v="233"/>
    <n v="28.012875536480685"/>
    <x v="1"/>
    <s v="USD"/>
    <n v="1548568800"/>
    <n v="1551506400"/>
    <x v="724"/>
    <d v="2019-03-02T06:00:00"/>
    <x v="2"/>
  </r>
  <r>
    <n v="804"/>
    <s v="English-Mccullough"/>
    <s v="Business-focused discrete software"/>
    <n v="2600"/>
    <n v="6987"/>
    <n v="2.6873076923076922"/>
    <x v="1"/>
    <n v="218"/>
    <n v="32.050458715596328"/>
    <x v="1"/>
    <s v="USD"/>
    <n v="1514872800"/>
    <n v="1516600800"/>
    <x v="725"/>
    <d v="2018-01-22T06:00:00"/>
    <x v="1"/>
  </r>
  <r>
    <n v="805"/>
    <s v="Smith-Nguyen"/>
    <s v="Advanced intermediate Graphic Interface"/>
    <n v="9700"/>
    <n v="4932"/>
    <n v="0.50845360824742269"/>
    <x v="0"/>
    <n v="67"/>
    <n v="73.611940298507463"/>
    <x v="2"/>
    <s v="AUD"/>
    <n v="1416031200"/>
    <n v="1420437600"/>
    <x v="660"/>
    <d v="2015-01-05T06:00:00"/>
    <x v="0"/>
  </r>
  <r>
    <n v="806"/>
    <s v="Harmon-Madden"/>
    <s v="Adaptive holistic hub"/>
    <n v="700"/>
    <n v="8262"/>
    <n v="11.802857142857142"/>
    <x v="1"/>
    <n v="76"/>
    <n v="108.71052631578948"/>
    <x v="1"/>
    <s v="USD"/>
    <n v="1330927200"/>
    <n v="1332997200"/>
    <x v="726"/>
    <d v="2012-03-29T05:00:00"/>
    <x v="5"/>
  </r>
  <r>
    <n v="807"/>
    <s v="Walker-Taylor"/>
    <s v="Automated uniform concept"/>
    <n v="700"/>
    <n v="1848"/>
    <n v="2.64"/>
    <x v="1"/>
    <n v="43"/>
    <n v="42.97674418604651"/>
    <x v="1"/>
    <s v="USD"/>
    <n v="1571115600"/>
    <n v="1574920800"/>
    <x v="727"/>
    <d v="2019-11-28T06:00:00"/>
    <x v="1"/>
  </r>
  <r>
    <n v="808"/>
    <s v="Harris, Medina and Mitchell"/>
    <s v="Enhanced regional flexibility"/>
    <n v="5200"/>
    <n v="1583"/>
    <n v="0.30442307692307691"/>
    <x v="0"/>
    <n v="19"/>
    <n v="83.315789473684205"/>
    <x v="1"/>
    <s v="USD"/>
    <n v="1463461200"/>
    <n v="1464930000"/>
    <x v="728"/>
    <d v="2016-06-03T05:00:00"/>
    <x v="1"/>
  </r>
  <r>
    <n v="809"/>
    <s v="Williams and Sons"/>
    <s v="Public-key bottom-line algorithm"/>
    <n v="140800"/>
    <n v="88536"/>
    <n v="0.62880681818181816"/>
    <x v="0"/>
    <n v="2108"/>
    <n v="42"/>
    <x v="5"/>
    <s v="CHF"/>
    <n v="1344920400"/>
    <n v="1345006800"/>
    <x v="729"/>
    <d v="2012-08-15T05:00:00"/>
    <x v="1"/>
  </r>
  <r>
    <n v="810"/>
    <s v="Ball-Fisher"/>
    <s v="Multi-layered intangible instruction set"/>
    <n v="6400"/>
    <n v="12360"/>
    <n v="1.9312499999999999"/>
    <x v="1"/>
    <n v="221"/>
    <n v="55.927601809954751"/>
    <x v="1"/>
    <s v="USD"/>
    <n v="1511848800"/>
    <n v="1512712800"/>
    <x v="730"/>
    <d v="2017-12-08T06:00:00"/>
    <x v="1"/>
  </r>
  <r>
    <n v="811"/>
    <s v="Page, Holt and Mack"/>
    <s v="Fundamental methodical emulation"/>
    <n v="92500"/>
    <n v="71320"/>
    <n v="0.77102702702702708"/>
    <x v="0"/>
    <n v="679"/>
    <n v="105.03681885125184"/>
    <x v="1"/>
    <s v="USD"/>
    <n v="1452319200"/>
    <n v="1452492000"/>
    <x v="731"/>
    <d v="2016-01-11T06:00:00"/>
    <x v="0"/>
  </r>
  <r>
    <n v="812"/>
    <s v="Landry Group"/>
    <s v="Expanded value-added hardware"/>
    <n v="59700"/>
    <n v="134640"/>
    <n v="2.2552763819095478"/>
    <x v="1"/>
    <n v="2805"/>
    <n v="48"/>
    <x v="0"/>
    <s v="CAD"/>
    <n v="1523854800"/>
    <n v="1524286800"/>
    <x v="78"/>
    <d v="2018-04-21T05:00:00"/>
    <x v="5"/>
  </r>
  <r>
    <n v="813"/>
    <s v="Buckley Group"/>
    <s v="Diverse high-level attitude"/>
    <n v="3200"/>
    <n v="7661"/>
    <n v="2.3940625"/>
    <x v="1"/>
    <n v="68"/>
    <n v="112.66176470588235"/>
    <x v="1"/>
    <s v="USD"/>
    <n v="1346043600"/>
    <n v="1346907600"/>
    <x v="732"/>
    <d v="2012-09-06T05:00:00"/>
    <x v="5"/>
  </r>
  <r>
    <n v="814"/>
    <s v="Vincent PLC"/>
    <s v="Visionary 24hour analyzer"/>
    <n v="3200"/>
    <n v="2950"/>
    <n v="0.921875"/>
    <x v="0"/>
    <n v="36"/>
    <n v="81.944444444444443"/>
    <x v="3"/>
    <s v="DKK"/>
    <n v="1464325200"/>
    <n v="1464498000"/>
    <x v="733"/>
    <d v="2016-05-29T05:00:00"/>
    <x v="6"/>
  </r>
  <r>
    <n v="815"/>
    <s v="Watson-Douglas"/>
    <s v="Centralized bandwidth-monitored leverage"/>
    <n v="9000"/>
    <n v="11721"/>
    <n v="1.3023333333333333"/>
    <x v="1"/>
    <n v="183"/>
    <n v="64.049180327868854"/>
    <x v="0"/>
    <s v="CAD"/>
    <n v="1511935200"/>
    <n v="1514181600"/>
    <x v="734"/>
    <d v="2017-12-25T06:00:00"/>
    <x v="3"/>
  </r>
  <r>
    <n v="816"/>
    <s v="Jones, Casey and Jones"/>
    <s v="Ergonomic mission-critical moratorium"/>
    <n v="2300"/>
    <n v="14150"/>
    <n v="6.1521739130434785"/>
    <x v="1"/>
    <n v="133"/>
    <n v="106.39097744360902"/>
    <x v="1"/>
    <s v="USD"/>
    <n v="1392012000"/>
    <n v="1392184800"/>
    <x v="406"/>
    <d v="2014-02-12T06:00:00"/>
    <x v="5"/>
  </r>
  <r>
    <n v="817"/>
    <s v="Alvarez-Bauer"/>
    <s v="Front-line intermediate moderator"/>
    <n v="51300"/>
    <n v="189192"/>
    <n v="3.687953216374269"/>
    <x v="1"/>
    <n v="2489"/>
    <n v="76.011249497790274"/>
    <x v="6"/>
    <s v="EUR"/>
    <n v="1556946000"/>
    <n v="1559365200"/>
    <x v="735"/>
    <d v="2019-06-01T05:00:00"/>
    <x v="0"/>
  </r>
  <r>
    <n v="818"/>
    <s v="Martinez LLC"/>
    <s v="Automated local secured line"/>
    <n v="700"/>
    <n v="7664"/>
    <n v="10.948571428571428"/>
    <x v="1"/>
    <n v="69"/>
    <n v="111.07246376811594"/>
    <x v="1"/>
    <s v="USD"/>
    <n v="1548050400"/>
    <n v="1549173600"/>
    <x v="736"/>
    <d v="2019-02-03T06:00:00"/>
    <x v="5"/>
  </r>
  <r>
    <n v="819"/>
    <s v="Buck-Khan"/>
    <s v="Integrated bandwidth-monitored alliance"/>
    <n v="8900"/>
    <n v="4509"/>
    <n v="0.50662921348314605"/>
    <x v="0"/>
    <n v="47"/>
    <n v="95.936170212765958"/>
    <x v="1"/>
    <s v="USD"/>
    <n v="1353736800"/>
    <n v="1355032800"/>
    <x v="737"/>
    <d v="2012-12-09T06:00:00"/>
    <x v="0"/>
  </r>
  <r>
    <n v="820"/>
    <s v="Valdez, Williams and Meyer"/>
    <s v="Cross-group heuristic forecast"/>
    <n v="1500"/>
    <n v="12009"/>
    <n v="8.0060000000000002"/>
    <x v="1"/>
    <n v="279"/>
    <n v="43.043010752688176"/>
    <x v="4"/>
    <s v="GBP"/>
    <n v="1532840400"/>
    <n v="1533963600"/>
    <x v="192"/>
    <d v="2018-08-11T05:00:00"/>
    <x v="2"/>
  </r>
  <r>
    <n v="821"/>
    <s v="Alvarez-Andrews"/>
    <s v="Extended impactful secured line"/>
    <n v="4900"/>
    <n v="14273"/>
    <n v="2.9128571428571428"/>
    <x v="1"/>
    <n v="210"/>
    <n v="67.966666666666669"/>
    <x v="1"/>
    <s v="USD"/>
    <n v="1488261600"/>
    <n v="1489381200"/>
    <x v="738"/>
    <d v="2017-03-13T05:00:00"/>
    <x v="1"/>
  </r>
  <r>
    <n v="822"/>
    <s v="Stewart and Sons"/>
    <s v="Distributed optimizing protocol"/>
    <n v="54000"/>
    <n v="188982"/>
    <n v="3.4996666666666667"/>
    <x v="1"/>
    <n v="2100"/>
    <n v="89.991428571428571"/>
    <x v="1"/>
    <s v="USD"/>
    <n v="1393567200"/>
    <n v="1395032400"/>
    <x v="739"/>
    <d v="2014-03-17T05:00:00"/>
    <x v="6"/>
  </r>
  <r>
    <n v="823"/>
    <s v="Dyer Inc"/>
    <s v="Secured well-modulated system engine"/>
    <n v="4100"/>
    <n v="14640"/>
    <n v="3.5707317073170732"/>
    <x v="1"/>
    <n v="252"/>
    <n v="58.095238095238095"/>
    <x v="1"/>
    <s v="USD"/>
    <n v="1410325200"/>
    <n v="1412485200"/>
    <x v="613"/>
    <d v="2014-10-05T05:00:00"/>
    <x v="3"/>
  </r>
  <r>
    <n v="824"/>
    <s v="Anderson, Williams and Cox"/>
    <s v="Streamlined national benchmark"/>
    <n v="85000"/>
    <n v="107516"/>
    <n v="1.2648941176470587"/>
    <x v="1"/>
    <n v="1280"/>
    <n v="83.996875000000003"/>
    <x v="1"/>
    <s v="USD"/>
    <n v="1276923600"/>
    <n v="1279688400"/>
    <x v="740"/>
    <d v="2010-07-21T05:00:00"/>
    <x v="0"/>
  </r>
  <r>
    <n v="825"/>
    <s v="Solomon PLC"/>
    <s v="Open-architected 24/7 infrastructure"/>
    <n v="3600"/>
    <n v="13950"/>
    <n v="3.875"/>
    <x v="1"/>
    <n v="157"/>
    <n v="88.853503184713375"/>
    <x v="4"/>
    <s v="GBP"/>
    <n v="1500958800"/>
    <n v="1501995600"/>
    <x v="145"/>
    <d v="2017-08-06T05:00:00"/>
    <x v="1"/>
  </r>
  <r>
    <n v="826"/>
    <s v="Miller-Hubbard"/>
    <s v="Digitized 6thgeneration Local Area Network"/>
    <n v="2800"/>
    <n v="12797"/>
    <n v="4.5703571428571426"/>
    <x v="1"/>
    <n v="194"/>
    <n v="65.963917525773198"/>
    <x v="1"/>
    <s v="USD"/>
    <n v="1292220000"/>
    <n v="1294639200"/>
    <x v="741"/>
    <d v="2011-01-10T06:00:00"/>
    <x v="5"/>
  </r>
  <r>
    <n v="827"/>
    <s v="Miranda, Martinez and Lowery"/>
    <s v="Innovative actuating artificial intelligence"/>
    <n v="2300"/>
    <n v="6134"/>
    <n v="2.6669565217391304"/>
    <x v="1"/>
    <n v="82"/>
    <n v="74.804878048780495"/>
    <x v="2"/>
    <s v="AUD"/>
    <n v="1304398800"/>
    <n v="1305435600"/>
    <x v="742"/>
    <d v="2011-05-15T05:00:00"/>
    <x v="1"/>
  </r>
  <r>
    <n v="828"/>
    <s v="Munoz, Cherry and Bell"/>
    <s v="Cross-platform reciprocal budgetary management"/>
    <n v="7100"/>
    <n v="4899"/>
    <n v="0.69"/>
    <x v="0"/>
    <n v="70"/>
    <n v="69.98571428571428"/>
    <x v="1"/>
    <s v="USD"/>
    <n v="1535432400"/>
    <n v="1537592400"/>
    <x v="202"/>
    <d v="2018-09-22T05:00:00"/>
    <x v="1"/>
  </r>
  <r>
    <n v="829"/>
    <s v="Baker-Higgins"/>
    <s v="Vision-oriented scalable portal"/>
    <n v="9600"/>
    <n v="4929"/>
    <n v="0.51343749999999999"/>
    <x v="0"/>
    <n v="154"/>
    <n v="32.006493506493506"/>
    <x v="1"/>
    <s v="USD"/>
    <n v="1433826000"/>
    <n v="1435122000"/>
    <x v="743"/>
    <d v="2015-06-24T05:00:00"/>
    <x v="1"/>
  </r>
  <r>
    <n v="830"/>
    <s v="Johnson, Turner and Carroll"/>
    <s v="Persevering zero administration knowledge user"/>
    <n v="121600"/>
    <n v="1424"/>
    <n v="1.1710526315789473E-2"/>
    <x v="0"/>
    <n v="22"/>
    <n v="64.727272727272734"/>
    <x v="1"/>
    <s v="USD"/>
    <n v="1514959200"/>
    <n v="1520056800"/>
    <x v="744"/>
    <d v="2018-03-03T06:00:00"/>
    <x v="3"/>
  </r>
  <r>
    <n v="831"/>
    <s v="Ward PLC"/>
    <s v="Front-line bottom-line Graphic Interface"/>
    <n v="97100"/>
    <n v="105817"/>
    <n v="1.089773429454171"/>
    <x v="1"/>
    <n v="4233"/>
    <n v="24.998110087408456"/>
    <x v="1"/>
    <s v="USD"/>
    <n v="1332738000"/>
    <n v="1335675600"/>
    <x v="745"/>
    <d v="2012-04-29T05:00:00"/>
    <x v="5"/>
  </r>
  <r>
    <n v="832"/>
    <s v="Bradley, Beck and Mayo"/>
    <s v="Synergized fault-tolerant hierarchy"/>
    <n v="43200"/>
    <n v="136156"/>
    <n v="3.1517592592592591"/>
    <x v="1"/>
    <n v="1297"/>
    <n v="104.97764070932922"/>
    <x v="3"/>
    <s v="DKK"/>
    <n v="1445490000"/>
    <n v="1448431200"/>
    <x v="746"/>
    <d v="2015-11-25T06:00:00"/>
    <x v="4"/>
  </r>
  <r>
    <n v="833"/>
    <s v="Levine, Martin and Hernandez"/>
    <s v="Expanded asynchronous groupware"/>
    <n v="6800"/>
    <n v="10723"/>
    <n v="1.5769117647058823"/>
    <x v="1"/>
    <n v="165"/>
    <n v="64.987878787878785"/>
    <x v="3"/>
    <s v="DKK"/>
    <n v="1297663200"/>
    <n v="1298613600"/>
    <x v="747"/>
    <d v="2011-02-25T06:00:00"/>
    <x v="5"/>
  </r>
  <r>
    <n v="834"/>
    <s v="Gallegos, Wagner and Gaines"/>
    <s v="Expanded fault-tolerant emulation"/>
    <n v="7300"/>
    <n v="11228"/>
    <n v="1.5380821917808218"/>
    <x v="1"/>
    <n v="119"/>
    <n v="94.352941176470594"/>
    <x v="1"/>
    <s v="USD"/>
    <n v="1371963600"/>
    <n v="1372482000"/>
    <x v="362"/>
    <d v="2013-06-29T05:00:00"/>
    <x v="2"/>
  </r>
  <r>
    <n v="835"/>
    <s v="Hodges, Smith and Kelly"/>
    <s v="Future-proofed 24hour model"/>
    <n v="86200"/>
    <n v="77355"/>
    <n v="0.89738979118329465"/>
    <x v="0"/>
    <n v="1758"/>
    <n v="44.001706484641637"/>
    <x v="1"/>
    <s v="USD"/>
    <n v="1425103200"/>
    <n v="1425621600"/>
    <x v="748"/>
    <d v="2015-03-06T06:00:00"/>
    <x v="0"/>
  </r>
  <r>
    <n v="836"/>
    <s v="Macias Inc"/>
    <s v="Optimized didactic intranet"/>
    <n v="8100"/>
    <n v="6086"/>
    <n v="0.75135802469135804"/>
    <x v="0"/>
    <n v="94"/>
    <n v="64.744680851063833"/>
    <x v="1"/>
    <s v="USD"/>
    <n v="1265349600"/>
    <n v="1266300000"/>
    <x v="749"/>
    <d v="2010-02-16T06:00:00"/>
    <x v="6"/>
  </r>
  <r>
    <n v="837"/>
    <s v="Cook-Ortiz"/>
    <s v="Right-sized dedicated standardization"/>
    <n v="17700"/>
    <n v="150960"/>
    <n v="8.5288135593220336"/>
    <x v="1"/>
    <n v="1797"/>
    <n v="84.00667779632721"/>
    <x v="1"/>
    <s v="USD"/>
    <n v="1301202000"/>
    <n v="1305867600"/>
    <x v="643"/>
    <d v="2011-05-20T05:00:00"/>
    <x v="2"/>
  </r>
  <r>
    <n v="838"/>
    <s v="Jordan-Fischer"/>
    <s v="Vision-oriented high-level extranet"/>
    <n v="6400"/>
    <n v="8890"/>
    <n v="1.3890625000000001"/>
    <x v="1"/>
    <n v="261"/>
    <n v="34.061302681992338"/>
    <x v="1"/>
    <s v="USD"/>
    <n v="1538024400"/>
    <n v="1538802000"/>
    <x v="750"/>
    <d v="2018-10-06T05:00:00"/>
    <x v="4"/>
  </r>
  <r>
    <n v="839"/>
    <s v="Pierce-Ramirez"/>
    <s v="Organized scalable initiative"/>
    <n v="7700"/>
    <n v="14644"/>
    <n v="1.9018181818181819"/>
    <x v="1"/>
    <n v="157"/>
    <n v="93.273885350318466"/>
    <x v="1"/>
    <s v="USD"/>
    <n v="1395032400"/>
    <n v="1398920400"/>
    <x v="751"/>
    <d v="2014-05-01T05:00:00"/>
    <x v="5"/>
  </r>
  <r>
    <n v="840"/>
    <s v="Howell and Sons"/>
    <s v="Enhanced regional moderator"/>
    <n v="116300"/>
    <n v="116583"/>
    <n v="1.0024333619948409"/>
    <x v="1"/>
    <n v="3533"/>
    <n v="32.998301726577978"/>
    <x v="1"/>
    <s v="USD"/>
    <n v="1405486800"/>
    <n v="1405659600"/>
    <x v="752"/>
    <d v="2014-07-18T05:00:00"/>
    <x v="3"/>
  </r>
  <r>
    <n v="841"/>
    <s v="Garcia, Dunn and Richardson"/>
    <s v="Automated even-keeled emulation"/>
    <n v="9100"/>
    <n v="12991"/>
    <n v="1.4275824175824177"/>
    <x v="1"/>
    <n v="155"/>
    <n v="83.812903225806451"/>
    <x v="1"/>
    <s v="USD"/>
    <n v="1455861600"/>
    <n v="1457244000"/>
    <x v="753"/>
    <d v="2016-03-06T06:00:00"/>
    <x v="6"/>
  </r>
  <r>
    <n v="842"/>
    <s v="Lawson and Sons"/>
    <s v="Reverse-engineered multi-tasking product"/>
    <n v="1500"/>
    <n v="8447"/>
    <n v="5.6313333333333331"/>
    <x v="1"/>
    <n v="132"/>
    <n v="63.992424242424242"/>
    <x v="6"/>
    <s v="EUR"/>
    <n v="1529038800"/>
    <n v="1529298000"/>
    <x v="754"/>
    <d v="2018-06-18T05:00:00"/>
    <x v="6"/>
  </r>
  <r>
    <n v="843"/>
    <s v="Porter-Hicks"/>
    <s v="De-engineered next generation parallelism"/>
    <n v="8800"/>
    <n v="2703"/>
    <n v="0.30715909090909088"/>
    <x v="0"/>
    <n v="33"/>
    <n v="81.909090909090907"/>
    <x v="1"/>
    <s v="USD"/>
    <n v="1535259600"/>
    <n v="1535778000"/>
    <x v="755"/>
    <d v="2018-09-01T05:00:00"/>
    <x v="2"/>
  </r>
  <r>
    <n v="844"/>
    <s v="Rodriguez-Hansen"/>
    <s v="Intuitive cohesive groupware"/>
    <n v="8800"/>
    <n v="8747"/>
    <n v="0.99397727272727276"/>
    <x v="3"/>
    <n v="94"/>
    <n v="93.053191489361708"/>
    <x v="1"/>
    <s v="USD"/>
    <n v="1327212000"/>
    <n v="1327471200"/>
    <x v="756"/>
    <d v="2012-01-25T06:00:00"/>
    <x v="2"/>
  </r>
  <r>
    <n v="845"/>
    <s v="Williams LLC"/>
    <s v="Up-sized high-level access"/>
    <n v="69900"/>
    <n v="138087"/>
    <n v="1.9754935622317598"/>
    <x v="1"/>
    <n v="1354"/>
    <n v="101.98449039881831"/>
    <x v="4"/>
    <s v="GBP"/>
    <n v="1526360400"/>
    <n v="1529557200"/>
    <x v="757"/>
    <d v="2018-06-21T05:00:00"/>
    <x v="1"/>
  </r>
  <r>
    <n v="846"/>
    <s v="Cooper, Stanley and Bryant"/>
    <s v="Phased empowering success"/>
    <n v="1000"/>
    <n v="5085"/>
    <n v="5.085"/>
    <x v="1"/>
    <n v="48"/>
    <n v="105.9375"/>
    <x v="1"/>
    <s v="USD"/>
    <n v="1532149200"/>
    <n v="1535259600"/>
    <x v="758"/>
    <d v="2018-08-26T05:00:00"/>
    <x v="0"/>
  </r>
  <r>
    <n v="847"/>
    <s v="Miller, Glenn and Adams"/>
    <s v="Distributed actuating project"/>
    <n v="4700"/>
    <n v="11174"/>
    <n v="2.3774468085106384"/>
    <x v="1"/>
    <n v="110"/>
    <n v="101.58181818181818"/>
    <x v="1"/>
    <s v="USD"/>
    <n v="1515304800"/>
    <n v="1515564000"/>
    <x v="759"/>
    <d v="2018-01-10T06:00:00"/>
    <x v="2"/>
  </r>
  <r>
    <n v="848"/>
    <s v="Cole, Salazar and Moreno"/>
    <s v="Robust motivating orchestration"/>
    <n v="3200"/>
    <n v="10831"/>
    <n v="3.3846875000000001"/>
    <x v="1"/>
    <n v="172"/>
    <n v="62.970930232558139"/>
    <x v="1"/>
    <s v="USD"/>
    <n v="1276318800"/>
    <n v="1277096400"/>
    <x v="760"/>
    <d v="2010-06-21T05:00:00"/>
    <x v="0"/>
  </r>
  <r>
    <n v="849"/>
    <s v="Jones-Ryan"/>
    <s v="Vision-oriented uniform instruction set"/>
    <n v="6700"/>
    <n v="8917"/>
    <n v="1.3308955223880596"/>
    <x v="1"/>
    <n v="307"/>
    <n v="29.045602605863191"/>
    <x v="1"/>
    <s v="USD"/>
    <n v="1328767200"/>
    <n v="1329026400"/>
    <x v="761"/>
    <d v="2012-02-12T06:00:00"/>
    <x v="4"/>
  </r>
  <r>
    <n v="850"/>
    <s v="Hood, Perez and Meadows"/>
    <s v="Cross-group upward-trending hierarchy"/>
    <n v="100"/>
    <n v="1"/>
    <n v="0.01"/>
    <x v="0"/>
    <n v="1"/>
    <n v="1"/>
    <x v="1"/>
    <s v="USD"/>
    <n v="1321682400"/>
    <n v="1322978400"/>
    <x v="762"/>
    <d v="2011-12-04T06:00:00"/>
    <x v="0"/>
  </r>
  <r>
    <n v="851"/>
    <s v="Bright and Sons"/>
    <s v="Object-based needs-based info-mediaries"/>
    <n v="6000"/>
    <n v="12468"/>
    <n v="2.0779999999999998"/>
    <x v="1"/>
    <n v="160"/>
    <n v="77.924999999999997"/>
    <x v="1"/>
    <s v="USD"/>
    <n v="1335934800"/>
    <n v="1338786000"/>
    <x v="444"/>
    <d v="2012-06-04T05:00:00"/>
    <x v="3"/>
  </r>
  <r>
    <n v="852"/>
    <s v="Brady Ltd"/>
    <s v="Open-source reciprocal standardization"/>
    <n v="4900"/>
    <n v="2505"/>
    <n v="0.51122448979591839"/>
    <x v="0"/>
    <n v="31"/>
    <n v="80.806451612903231"/>
    <x v="1"/>
    <s v="USD"/>
    <n v="1310792400"/>
    <n v="1311656400"/>
    <x v="763"/>
    <d v="2011-07-26T05:00:00"/>
    <x v="0"/>
  </r>
  <r>
    <n v="853"/>
    <s v="Collier LLC"/>
    <s v="Secured well-modulated projection"/>
    <n v="17100"/>
    <n v="111502"/>
    <n v="6.5205847953216374"/>
    <x v="1"/>
    <n v="1467"/>
    <n v="76.006816632583508"/>
    <x v="0"/>
    <s v="CAD"/>
    <n v="1308546000"/>
    <n v="1308978000"/>
    <x v="764"/>
    <d v="2011-06-25T05:00:00"/>
    <x v="5"/>
  </r>
  <r>
    <n v="854"/>
    <s v="Campbell, Thomas and Obrien"/>
    <s v="Multi-channeled secondary middleware"/>
    <n v="171000"/>
    <n v="194309"/>
    <n v="1.1363099415204678"/>
    <x v="1"/>
    <n v="2662"/>
    <n v="72.993613824192337"/>
    <x v="0"/>
    <s v="CAD"/>
    <n v="1574056800"/>
    <n v="1576389600"/>
    <x v="765"/>
    <d v="2019-12-15T06:00:00"/>
    <x v="5"/>
  </r>
  <r>
    <n v="855"/>
    <s v="Moses-Terry"/>
    <s v="Horizontal clear-thinking framework"/>
    <n v="23400"/>
    <n v="23956"/>
    <n v="1.0237606837606839"/>
    <x v="1"/>
    <n v="452"/>
    <n v="53"/>
    <x v="2"/>
    <s v="AUD"/>
    <n v="1308373200"/>
    <n v="1311051600"/>
    <x v="766"/>
    <d v="2011-07-19T05:00:00"/>
    <x v="0"/>
  </r>
  <r>
    <n v="856"/>
    <s v="Williams and Sons"/>
    <s v="Profound composite core"/>
    <n v="2400"/>
    <n v="8558"/>
    <n v="3.5658333333333334"/>
    <x v="1"/>
    <n v="158"/>
    <n v="54.164556962025316"/>
    <x v="1"/>
    <s v="USD"/>
    <n v="1335243600"/>
    <n v="1336712400"/>
    <x v="767"/>
    <d v="2012-05-11T05:00:00"/>
    <x v="1"/>
  </r>
  <r>
    <n v="857"/>
    <s v="Miranda, Gray and Hale"/>
    <s v="Programmable disintermediate matrices"/>
    <n v="5300"/>
    <n v="7413"/>
    <n v="1.3986792452830188"/>
    <x v="1"/>
    <n v="225"/>
    <n v="32.946666666666665"/>
    <x v="5"/>
    <s v="CHF"/>
    <n v="1328421600"/>
    <n v="1330408800"/>
    <x v="768"/>
    <d v="2012-02-28T06:00:00"/>
    <x v="2"/>
  </r>
  <r>
    <n v="858"/>
    <s v="Ayala, Crawford and Taylor"/>
    <s v="Realigned 5thgeneration knowledge user"/>
    <n v="4000"/>
    <n v="2778"/>
    <n v="0.69450000000000001"/>
    <x v="0"/>
    <n v="35"/>
    <n v="79.371428571428567"/>
    <x v="1"/>
    <s v="USD"/>
    <n v="1524286800"/>
    <n v="1524891600"/>
    <x v="769"/>
    <d v="2018-04-28T05:00:00"/>
    <x v="0"/>
  </r>
  <r>
    <n v="859"/>
    <s v="Martinez Ltd"/>
    <s v="Multi-layered upward-trending groupware"/>
    <n v="7300"/>
    <n v="2594"/>
    <n v="0.35534246575342465"/>
    <x v="0"/>
    <n v="63"/>
    <n v="41.174603174603178"/>
    <x v="1"/>
    <s v="USD"/>
    <n v="1362117600"/>
    <n v="1363669200"/>
    <x v="770"/>
    <d v="2013-03-19T05:00:00"/>
    <x v="6"/>
  </r>
  <r>
    <n v="860"/>
    <s v="Lee PLC"/>
    <s v="Re-contextualized leadingedge firmware"/>
    <n v="2000"/>
    <n v="5033"/>
    <n v="2.5165000000000002"/>
    <x v="1"/>
    <n v="65"/>
    <n v="77.430769230769229"/>
    <x v="1"/>
    <s v="USD"/>
    <n v="1550556000"/>
    <n v="1551420000"/>
    <x v="771"/>
    <d v="2019-03-01T06:00:00"/>
    <x v="1"/>
  </r>
  <r>
    <n v="861"/>
    <s v="Young, Ramsey and Powell"/>
    <s v="Devolved disintermediate analyzer"/>
    <n v="8800"/>
    <n v="9317"/>
    <n v="1.0587500000000001"/>
    <x v="1"/>
    <n v="163"/>
    <n v="57.159509202453989"/>
    <x v="1"/>
    <s v="USD"/>
    <n v="1269147600"/>
    <n v="1269838800"/>
    <x v="772"/>
    <d v="2010-03-29T05:00:00"/>
    <x v="2"/>
  </r>
  <r>
    <n v="862"/>
    <s v="Lewis and Sons"/>
    <s v="Profound disintermediate open system"/>
    <n v="3500"/>
    <n v="6560"/>
    <n v="1.8742857142857143"/>
    <x v="1"/>
    <n v="85"/>
    <n v="77.17647058823529"/>
    <x v="1"/>
    <s v="USD"/>
    <n v="1312174800"/>
    <n v="1312520400"/>
    <x v="773"/>
    <d v="2011-08-05T05:00:00"/>
    <x v="5"/>
  </r>
  <r>
    <n v="863"/>
    <s v="Davis-Johnson"/>
    <s v="Automated reciprocal protocol"/>
    <n v="1400"/>
    <n v="5415"/>
    <n v="3.8678571428571429"/>
    <x v="1"/>
    <n v="217"/>
    <n v="24.953917050691246"/>
    <x v="1"/>
    <s v="USD"/>
    <n v="1434517200"/>
    <n v="1436504400"/>
    <x v="774"/>
    <d v="2015-07-10T05:00:00"/>
    <x v="3"/>
  </r>
  <r>
    <n v="864"/>
    <s v="Stevenson-Thompson"/>
    <s v="Automated static workforce"/>
    <n v="4200"/>
    <n v="14577"/>
    <n v="3.4707142857142856"/>
    <x v="1"/>
    <n v="150"/>
    <n v="97.18"/>
    <x v="1"/>
    <s v="USD"/>
    <n v="1471582800"/>
    <n v="1472014800"/>
    <x v="775"/>
    <d v="2016-08-24T05:00:00"/>
    <x v="6"/>
  </r>
  <r>
    <n v="865"/>
    <s v="Ellis, Smith and Armstrong"/>
    <s v="Horizontal attitude-oriented help-desk"/>
    <n v="81000"/>
    <n v="150515"/>
    <n v="1.8582098765432098"/>
    <x v="1"/>
    <n v="3272"/>
    <n v="46.000916870415651"/>
    <x v="1"/>
    <s v="USD"/>
    <n v="1410757200"/>
    <n v="1411534800"/>
    <x v="776"/>
    <d v="2014-09-24T05:00:00"/>
    <x v="5"/>
  </r>
  <r>
    <n v="866"/>
    <s v="Jackson-Brown"/>
    <s v="Versatile 5thgeneration matrices"/>
    <n v="182800"/>
    <n v="79045"/>
    <n v="0.43241247264770238"/>
    <x v="3"/>
    <n v="898"/>
    <n v="88.023385300668153"/>
    <x v="1"/>
    <s v="USD"/>
    <n v="1304830800"/>
    <n v="1304917200"/>
    <x v="777"/>
    <d v="2011-05-09T05:00:00"/>
    <x v="2"/>
  </r>
  <r>
    <n v="867"/>
    <s v="Kane, Pruitt and Rivera"/>
    <s v="Cross-platform next generation service-desk"/>
    <n v="4800"/>
    <n v="7797"/>
    <n v="1.6243749999999999"/>
    <x v="1"/>
    <n v="300"/>
    <n v="25.99"/>
    <x v="1"/>
    <s v="USD"/>
    <n v="1539061200"/>
    <n v="1539579600"/>
    <x v="778"/>
    <d v="2018-10-15T05:00:00"/>
    <x v="1"/>
  </r>
  <r>
    <n v="868"/>
    <s v="Wood, Buckley and Meza"/>
    <s v="Front-line web-enabled installation"/>
    <n v="7000"/>
    <n v="12939"/>
    <n v="1.8484285714285715"/>
    <x v="1"/>
    <n v="126"/>
    <n v="102.69047619047619"/>
    <x v="1"/>
    <s v="USD"/>
    <n v="1381554000"/>
    <n v="1382504400"/>
    <x v="779"/>
    <d v="2013-10-23T05:00:00"/>
    <x v="0"/>
  </r>
  <r>
    <n v="869"/>
    <s v="Brown-Williams"/>
    <s v="Multi-channeled responsive product"/>
    <n v="161900"/>
    <n v="38376"/>
    <n v="0.23703520691785052"/>
    <x v="0"/>
    <n v="526"/>
    <n v="72.958174904942965"/>
    <x v="1"/>
    <s v="USD"/>
    <n v="1277096400"/>
    <n v="1278306000"/>
    <x v="780"/>
    <d v="2010-07-05T05:00:00"/>
    <x v="5"/>
  </r>
  <r>
    <n v="870"/>
    <s v="Hansen-Austin"/>
    <s v="Adaptive demand-driven encryption"/>
    <n v="7700"/>
    <n v="6920"/>
    <n v="0.89870129870129867"/>
    <x v="0"/>
    <n v="121"/>
    <n v="57.190082644628099"/>
    <x v="1"/>
    <s v="USD"/>
    <n v="1440392400"/>
    <n v="1442552400"/>
    <x v="335"/>
    <d v="2015-09-18T05:00:00"/>
    <x v="5"/>
  </r>
  <r>
    <n v="871"/>
    <s v="Santana-George"/>
    <s v="Re-engineered client-driven knowledge user"/>
    <n v="71500"/>
    <n v="194912"/>
    <n v="2.7260419580419581"/>
    <x v="1"/>
    <n v="2320"/>
    <n v="84.013793103448279"/>
    <x v="1"/>
    <s v="USD"/>
    <n v="1509512400"/>
    <n v="1511071200"/>
    <x v="535"/>
    <d v="2017-11-19T06:00:00"/>
    <x v="3"/>
  </r>
  <r>
    <n v="872"/>
    <s v="Davis LLC"/>
    <s v="Compatible logistical paradigm"/>
    <n v="4700"/>
    <n v="7992"/>
    <n v="1.7004255319148935"/>
    <x v="1"/>
    <n v="81"/>
    <n v="98.666666666666671"/>
    <x v="2"/>
    <s v="AUD"/>
    <n v="1535950800"/>
    <n v="1536382800"/>
    <x v="270"/>
    <d v="2018-09-08T05:00:00"/>
    <x v="5"/>
  </r>
  <r>
    <n v="873"/>
    <s v="Vazquez, Ochoa and Clark"/>
    <s v="Intuitive value-added installation"/>
    <n v="42100"/>
    <n v="79268"/>
    <n v="1.8828503562945369"/>
    <x v="1"/>
    <n v="1887"/>
    <n v="42.007419183889773"/>
    <x v="1"/>
    <s v="USD"/>
    <n v="1389160800"/>
    <n v="1389592800"/>
    <x v="781"/>
    <d v="2014-01-13T06:00:00"/>
    <x v="3"/>
  </r>
  <r>
    <n v="874"/>
    <s v="Chung-Nguyen"/>
    <s v="Managed discrete parallelism"/>
    <n v="40200"/>
    <n v="139468"/>
    <n v="3.4693532338308457"/>
    <x v="1"/>
    <n v="4358"/>
    <n v="32.002753556677376"/>
    <x v="1"/>
    <s v="USD"/>
    <n v="1271998800"/>
    <n v="1275282000"/>
    <x v="782"/>
    <d v="2010-05-31T05:00:00"/>
    <x v="6"/>
  </r>
  <r>
    <n v="875"/>
    <s v="Mueller-Harmon"/>
    <s v="Implemented tangible approach"/>
    <n v="7900"/>
    <n v="5465"/>
    <n v="0.6917721518987342"/>
    <x v="0"/>
    <n v="67"/>
    <n v="81.567164179104481"/>
    <x v="1"/>
    <s v="USD"/>
    <n v="1294898400"/>
    <n v="1294984800"/>
    <x v="783"/>
    <d v="2011-01-14T06:00:00"/>
    <x v="4"/>
  </r>
  <r>
    <n v="876"/>
    <s v="Dixon, Perez and Banks"/>
    <s v="Re-engineered encompassing definition"/>
    <n v="8300"/>
    <n v="2111"/>
    <n v="0.25433734939759034"/>
    <x v="0"/>
    <n v="57"/>
    <n v="37.035087719298247"/>
    <x v="0"/>
    <s v="CAD"/>
    <n v="1559970000"/>
    <n v="1562043600"/>
    <x v="784"/>
    <d v="2019-07-02T05:00:00"/>
    <x v="0"/>
  </r>
  <r>
    <n v="877"/>
    <s v="Estrada Group"/>
    <s v="Multi-lateral uniform collaboration"/>
    <n v="163600"/>
    <n v="126628"/>
    <n v="0.77400977995110021"/>
    <x v="0"/>
    <n v="1229"/>
    <n v="103.033360455655"/>
    <x v="1"/>
    <s v="USD"/>
    <n v="1469509200"/>
    <n v="1469595600"/>
    <x v="785"/>
    <d v="2016-07-27T05:00:00"/>
    <x v="1"/>
  </r>
  <r>
    <n v="878"/>
    <s v="Lutz Group"/>
    <s v="Enterprise-wide foreground paradigm"/>
    <n v="2700"/>
    <n v="1012"/>
    <n v="0.37481481481481482"/>
    <x v="0"/>
    <n v="12"/>
    <n v="84.333333333333329"/>
    <x v="6"/>
    <s v="EUR"/>
    <n v="1579068000"/>
    <n v="1581141600"/>
    <x v="786"/>
    <d v="2020-02-08T06:00:00"/>
    <x v="3"/>
  </r>
  <r>
    <n v="879"/>
    <s v="Ortiz Inc"/>
    <s v="Stand-alone incremental parallelism"/>
    <n v="1000"/>
    <n v="5438"/>
    <n v="5.4379999999999997"/>
    <x v="1"/>
    <n v="53"/>
    <n v="102.60377358490567"/>
    <x v="1"/>
    <s v="USD"/>
    <n v="1487743200"/>
    <n v="1488520800"/>
    <x v="787"/>
    <d v="2017-03-03T06:00:00"/>
    <x v="3"/>
  </r>
  <r>
    <n v="880"/>
    <s v="Craig, Ellis and Miller"/>
    <s v="Persevering 5thgeneration throughput"/>
    <n v="84500"/>
    <n v="193101"/>
    <n v="2.2852189349112426"/>
    <x v="1"/>
    <n v="2414"/>
    <n v="79.992129246064621"/>
    <x v="1"/>
    <s v="USD"/>
    <n v="1563685200"/>
    <n v="1563858000"/>
    <x v="788"/>
    <d v="2019-07-23T05:00:00"/>
    <x v="2"/>
  </r>
  <r>
    <n v="881"/>
    <s v="Charles Inc"/>
    <s v="Implemented object-oriented synergy"/>
    <n v="81300"/>
    <n v="31665"/>
    <n v="0.38948339483394834"/>
    <x v="0"/>
    <n v="452"/>
    <n v="70.055309734513273"/>
    <x v="1"/>
    <s v="USD"/>
    <n v="1436418000"/>
    <n v="1438923600"/>
    <x v="330"/>
    <d v="2015-08-07T05:00:00"/>
    <x v="4"/>
  </r>
  <r>
    <n v="882"/>
    <s v="White-Rosario"/>
    <s v="Balanced demand-driven definition"/>
    <n v="800"/>
    <n v="2960"/>
    <n v="3.7"/>
    <x v="1"/>
    <n v="80"/>
    <n v="37"/>
    <x v="1"/>
    <s v="USD"/>
    <n v="1421820000"/>
    <n v="1422165600"/>
    <x v="789"/>
    <d v="2015-01-25T06:00:00"/>
    <x v="3"/>
  </r>
  <r>
    <n v="883"/>
    <s v="Simmons-Villarreal"/>
    <s v="Customer-focused mobile Graphic Interface"/>
    <n v="3400"/>
    <n v="8089"/>
    <n v="2.3791176470588233"/>
    <x v="1"/>
    <n v="193"/>
    <n v="41.911917098445599"/>
    <x v="1"/>
    <s v="USD"/>
    <n v="1274763600"/>
    <n v="1277874000"/>
    <x v="790"/>
    <d v="2010-06-30T05:00:00"/>
    <x v="1"/>
  </r>
  <r>
    <n v="884"/>
    <s v="Strickland Group"/>
    <s v="Horizontal secondary interface"/>
    <n v="170800"/>
    <n v="109374"/>
    <n v="0.64036299765807958"/>
    <x v="0"/>
    <n v="1886"/>
    <n v="57.992576882290564"/>
    <x v="1"/>
    <s v="USD"/>
    <n v="1399179600"/>
    <n v="1399352400"/>
    <x v="791"/>
    <d v="2014-05-06T05:00:00"/>
    <x v="2"/>
  </r>
  <r>
    <n v="885"/>
    <s v="Lynch Ltd"/>
    <s v="Virtual analyzing collaboration"/>
    <n v="1800"/>
    <n v="2129"/>
    <n v="1.1827777777777777"/>
    <x v="1"/>
    <n v="52"/>
    <n v="40.942307692307693"/>
    <x v="1"/>
    <s v="USD"/>
    <n v="1275800400"/>
    <n v="1279083600"/>
    <x v="792"/>
    <d v="2010-07-14T05:00:00"/>
    <x v="2"/>
  </r>
  <r>
    <n v="886"/>
    <s v="Sanders LLC"/>
    <s v="Multi-tiered explicit focus group"/>
    <n v="150600"/>
    <n v="127745"/>
    <n v="0.84824037184594958"/>
    <x v="0"/>
    <n v="1825"/>
    <n v="69.9972602739726"/>
    <x v="1"/>
    <s v="USD"/>
    <n v="1282798800"/>
    <n v="1284354000"/>
    <x v="793"/>
    <d v="2010-09-13T05:00:00"/>
    <x v="4"/>
  </r>
  <r>
    <n v="887"/>
    <s v="Cooper LLC"/>
    <s v="Multi-layered systematic knowledgebase"/>
    <n v="7800"/>
    <n v="2289"/>
    <n v="0.29346153846153844"/>
    <x v="0"/>
    <n v="31"/>
    <n v="73.838709677419359"/>
    <x v="1"/>
    <s v="USD"/>
    <n v="1437109200"/>
    <n v="1441170000"/>
    <x v="794"/>
    <d v="2015-09-02T05:00:00"/>
    <x v="6"/>
  </r>
  <r>
    <n v="888"/>
    <s v="Palmer Ltd"/>
    <s v="Reverse-engineered uniform knowledge user"/>
    <n v="5800"/>
    <n v="12174"/>
    <n v="2.0989655172413793"/>
    <x v="1"/>
    <n v="290"/>
    <n v="41.979310344827589"/>
    <x v="1"/>
    <s v="USD"/>
    <n v="1491886800"/>
    <n v="1493528400"/>
    <x v="795"/>
    <d v="2017-04-30T05:00:00"/>
    <x v="1"/>
  </r>
  <r>
    <n v="889"/>
    <s v="Santos Group"/>
    <s v="Secured dynamic capacity"/>
    <n v="5600"/>
    <n v="9508"/>
    <n v="1.697857142857143"/>
    <x v="1"/>
    <n v="122"/>
    <n v="77.93442622950819"/>
    <x v="1"/>
    <s v="USD"/>
    <n v="1394600400"/>
    <n v="1395205200"/>
    <x v="796"/>
    <d v="2014-03-19T05:00:00"/>
    <x v="3"/>
  </r>
  <r>
    <n v="890"/>
    <s v="Christian, Kim and Jimenez"/>
    <s v="Devolved foreground throughput"/>
    <n v="134400"/>
    <n v="155849"/>
    <n v="1.1595907738095239"/>
    <x v="1"/>
    <n v="1470"/>
    <n v="106.01972789115646"/>
    <x v="1"/>
    <s v="USD"/>
    <n v="1561352400"/>
    <n v="1561438800"/>
    <x v="797"/>
    <d v="2019-06-25T05:00:00"/>
    <x v="5"/>
  </r>
  <r>
    <n v="891"/>
    <s v="Williams, Price and Hurley"/>
    <s v="Synchronized demand-driven infrastructure"/>
    <n v="3000"/>
    <n v="7758"/>
    <n v="2.5859999999999999"/>
    <x v="1"/>
    <n v="165"/>
    <n v="47.018181818181816"/>
    <x v="0"/>
    <s v="CAD"/>
    <n v="1322892000"/>
    <n v="1326693600"/>
    <x v="798"/>
    <d v="2012-01-16T06:00:00"/>
    <x v="0"/>
  </r>
  <r>
    <n v="892"/>
    <s v="Anderson, Parks and Estrada"/>
    <s v="Realigned discrete structure"/>
    <n v="6000"/>
    <n v="13835"/>
    <n v="2.3058333333333332"/>
    <x v="1"/>
    <n v="182"/>
    <n v="76.016483516483518"/>
    <x v="1"/>
    <s v="USD"/>
    <n v="1274418000"/>
    <n v="1277960400"/>
    <x v="799"/>
    <d v="2010-07-01T05:00:00"/>
    <x v="6"/>
  </r>
  <r>
    <n v="893"/>
    <s v="Collins-Martinez"/>
    <s v="Progressive grid-enabled website"/>
    <n v="8400"/>
    <n v="10770"/>
    <n v="1.2821428571428573"/>
    <x v="1"/>
    <n v="199"/>
    <n v="54.120603015075375"/>
    <x v="6"/>
    <s v="EUR"/>
    <n v="1434344400"/>
    <n v="1434690000"/>
    <x v="800"/>
    <d v="2015-06-19T05:00:00"/>
    <x v="5"/>
  </r>
  <r>
    <n v="894"/>
    <s v="Barrett Inc"/>
    <s v="Organic cohesive neural-net"/>
    <n v="1700"/>
    <n v="3208"/>
    <n v="1.8870588235294117"/>
    <x v="1"/>
    <n v="56"/>
    <n v="57.285714285714285"/>
    <x v="4"/>
    <s v="GBP"/>
    <n v="1373518800"/>
    <n v="1376110800"/>
    <x v="801"/>
    <d v="2013-08-10T05:00:00"/>
    <x v="4"/>
  </r>
  <r>
    <n v="895"/>
    <s v="Adams-Rollins"/>
    <s v="Integrated demand-driven info-mediaries"/>
    <n v="159800"/>
    <n v="11108"/>
    <n v="6.9511889862327911E-2"/>
    <x v="0"/>
    <n v="107"/>
    <n v="103.81308411214954"/>
    <x v="1"/>
    <s v="USD"/>
    <n v="1517637600"/>
    <n v="1518415200"/>
    <x v="802"/>
    <d v="2018-02-12T06:00:00"/>
    <x v="0"/>
  </r>
  <r>
    <n v="896"/>
    <s v="Wright-Bryant"/>
    <s v="Reverse-engineered client-server extranet"/>
    <n v="19800"/>
    <n v="153338"/>
    <n v="7.7443434343434348"/>
    <x v="1"/>
    <n v="1460"/>
    <n v="105.02602739726028"/>
    <x v="2"/>
    <s v="AUD"/>
    <n v="1310619600"/>
    <n v="1310878800"/>
    <x v="803"/>
    <d v="2011-07-17T05:00:00"/>
    <x v="4"/>
  </r>
  <r>
    <n v="897"/>
    <s v="Berry-Cannon"/>
    <s v="Organized discrete encoding"/>
    <n v="8800"/>
    <n v="2437"/>
    <n v="0.27693181818181817"/>
    <x v="0"/>
    <n v="27"/>
    <n v="90.259259259259252"/>
    <x v="1"/>
    <s v="USD"/>
    <n v="1556427600"/>
    <n v="1556600400"/>
    <x v="212"/>
    <d v="2019-04-30T05:00:00"/>
    <x v="2"/>
  </r>
  <r>
    <n v="898"/>
    <s v="Davis-Gonzalez"/>
    <s v="Balanced regional flexibility"/>
    <n v="179100"/>
    <n v="93991"/>
    <n v="0.52479620323841425"/>
    <x v="0"/>
    <n v="1221"/>
    <n v="76.978705978705975"/>
    <x v="1"/>
    <s v="USD"/>
    <n v="1576476000"/>
    <n v="1576994400"/>
    <x v="804"/>
    <d v="2019-12-22T06:00:00"/>
    <x v="5"/>
  </r>
  <r>
    <n v="899"/>
    <s v="Best-Young"/>
    <s v="Implemented multimedia time-frame"/>
    <n v="3100"/>
    <n v="12620"/>
    <n v="4.0709677419354842"/>
    <x v="1"/>
    <n v="123"/>
    <n v="102.60162601626017"/>
    <x v="5"/>
    <s v="CHF"/>
    <n v="1381122000"/>
    <n v="1382677200"/>
    <x v="805"/>
    <d v="2013-10-25T05:00:00"/>
    <x v="5"/>
  </r>
  <r>
    <n v="900"/>
    <s v="Powers, Smith and Deleon"/>
    <s v="Enhanced uniform service-desk"/>
    <n v="100"/>
    <n v="2"/>
    <n v="0.02"/>
    <x v="0"/>
    <n v="1"/>
    <n v="2"/>
    <x v="1"/>
    <s v="USD"/>
    <n v="1411102800"/>
    <n v="1411189200"/>
    <x v="806"/>
    <d v="2014-09-20T05:00:00"/>
    <x v="6"/>
  </r>
  <r>
    <n v="901"/>
    <s v="Hogan Group"/>
    <s v="Versatile bottom-line definition"/>
    <n v="5600"/>
    <n v="8746"/>
    <n v="1.5617857142857143"/>
    <x v="1"/>
    <n v="159"/>
    <n v="55.0062893081761"/>
    <x v="1"/>
    <s v="USD"/>
    <n v="1531803600"/>
    <n v="1534654800"/>
    <x v="807"/>
    <d v="2018-08-19T05:00:00"/>
    <x v="1"/>
  </r>
  <r>
    <n v="902"/>
    <s v="Wang, Silva and Byrd"/>
    <s v="Integrated bifurcated software"/>
    <n v="1400"/>
    <n v="3534"/>
    <n v="2.5242857142857145"/>
    <x v="1"/>
    <n v="110"/>
    <n v="32.127272727272725"/>
    <x v="1"/>
    <s v="USD"/>
    <n v="1454133600"/>
    <n v="1457762400"/>
    <x v="722"/>
    <d v="2016-03-12T06:00:00"/>
    <x v="0"/>
  </r>
  <r>
    <n v="903"/>
    <s v="Parker-Morris"/>
    <s v="Assimilated next generation instruction set"/>
    <n v="41000"/>
    <n v="709"/>
    <n v="1.729268292682927E-2"/>
    <x v="2"/>
    <n v="14"/>
    <n v="50.642857142857146"/>
    <x v="1"/>
    <s v="USD"/>
    <n v="1336194000"/>
    <n v="1337490000"/>
    <x v="477"/>
    <d v="2012-05-20T05:00:00"/>
    <x v="0"/>
  </r>
  <r>
    <n v="904"/>
    <s v="Rodriguez, Johnson and Jackson"/>
    <s v="Digitized foreground array"/>
    <n v="6500"/>
    <n v="795"/>
    <n v="0.12230769230769231"/>
    <x v="0"/>
    <n v="16"/>
    <n v="49.6875"/>
    <x v="1"/>
    <s v="USD"/>
    <n v="1349326800"/>
    <n v="1349672400"/>
    <x v="259"/>
    <d v="2012-10-08T05:00:00"/>
    <x v="4"/>
  </r>
  <r>
    <n v="905"/>
    <s v="Haynes PLC"/>
    <s v="Re-engineered clear-thinking project"/>
    <n v="7900"/>
    <n v="12955"/>
    <n v="1.6398734177215191"/>
    <x v="1"/>
    <n v="236"/>
    <n v="54.894067796610166"/>
    <x v="1"/>
    <s v="USD"/>
    <n v="1379566800"/>
    <n v="1379826000"/>
    <x v="9"/>
    <d v="2013-09-22T05:00:00"/>
    <x v="4"/>
  </r>
  <r>
    <n v="906"/>
    <s v="Hayes Group"/>
    <s v="Implemented even-keeled standardization"/>
    <n v="5500"/>
    <n v="8964"/>
    <n v="1.6298181818181818"/>
    <x v="1"/>
    <n v="191"/>
    <n v="46.931937172774866"/>
    <x v="1"/>
    <s v="USD"/>
    <n v="1494651600"/>
    <n v="1497762000"/>
    <x v="808"/>
    <d v="2017-06-18T05:00:00"/>
    <x v="0"/>
  </r>
  <r>
    <n v="907"/>
    <s v="White, Pena and Calhoun"/>
    <s v="Quality-focused asymmetric adapter"/>
    <n v="9100"/>
    <n v="1843"/>
    <n v="0.20252747252747252"/>
    <x v="0"/>
    <n v="41"/>
    <n v="44.951219512195124"/>
    <x v="1"/>
    <s v="USD"/>
    <n v="1303880400"/>
    <n v="1304485200"/>
    <x v="809"/>
    <d v="2011-05-04T05:00:00"/>
    <x v="3"/>
  </r>
  <r>
    <n v="908"/>
    <s v="Bryant-Pope"/>
    <s v="Networked intangible help-desk"/>
    <n v="38200"/>
    <n v="121950"/>
    <n v="3.1924083769633507"/>
    <x v="1"/>
    <n v="3934"/>
    <n v="30.99898322318251"/>
    <x v="1"/>
    <s v="USD"/>
    <n v="1335934800"/>
    <n v="1336885200"/>
    <x v="444"/>
    <d v="2012-05-13T05:00:00"/>
    <x v="3"/>
  </r>
  <r>
    <n v="909"/>
    <s v="Gates, Li and Thompson"/>
    <s v="Synchronized attitude-oriented frame"/>
    <n v="1800"/>
    <n v="8621"/>
    <n v="4.7894444444444444"/>
    <x v="1"/>
    <n v="80"/>
    <n v="107.7625"/>
    <x v="0"/>
    <s v="CAD"/>
    <n v="1528088400"/>
    <n v="1530421200"/>
    <x v="384"/>
    <d v="2018-07-01T05:00:00"/>
    <x v="5"/>
  </r>
  <r>
    <n v="910"/>
    <s v="King-Morris"/>
    <s v="Proactive incremental architecture"/>
    <n v="154500"/>
    <n v="30215"/>
    <n v="0.19556634304207121"/>
    <x v="3"/>
    <n v="296"/>
    <n v="102.07770270270271"/>
    <x v="1"/>
    <s v="USD"/>
    <n v="1421906400"/>
    <n v="1421992800"/>
    <x v="810"/>
    <d v="2015-01-23T06:00:00"/>
    <x v="4"/>
  </r>
  <r>
    <n v="911"/>
    <s v="Carter, Cole and Curtis"/>
    <s v="Cloned responsive standardization"/>
    <n v="5800"/>
    <n v="11539"/>
    <n v="1.9894827586206896"/>
    <x v="1"/>
    <n v="462"/>
    <n v="24.976190476190474"/>
    <x v="1"/>
    <s v="USD"/>
    <n v="1568005200"/>
    <n v="1568178000"/>
    <x v="811"/>
    <d v="2019-09-11T05:00:00"/>
    <x v="5"/>
  </r>
  <r>
    <n v="912"/>
    <s v="Sanchez-Parsons"/>
    <s v="Reduced bifurcated pricing structure"/>
    <n v="1800"/>
    <n v="14310"/>
    <n v="7.95"/>
    <x v="1"/>
    <n v="179"/>
    <n v="79.944134078212286"/>
    <x v="1"/>
    <s v="USD"/>
    <n v="1346821200"/>
    <n v="1347944400"/>
    <x v="812"/>
    <d v="2012-09-18T05:00:00"/>
    <x v="3"/>
  </r>
  <r>
    <n v="913"/>
    <s v="Rivera-Pearson"/>
    <s v="Re-engineered asymmetric challenge"/>
    <n v="70200"/>
    <n v="35536"/>
    <n v="0.50621082621082625"/>
    <x v="0"/>
    <n v="523"/>
    <n v="67.946462715105156"/>
    <x v="2"/>
    <s v="AUD"/>
    <n v="1557637200"/>
    <n v="1558760400"/>
    <x v="813"/>
    <d v="2019-05-25T05:00:00"/>
    <x v="2"/>
  </r>
  <r>
    <n v="914"/>
    <s v="Ramirez, Padilla and Barrera"/>
    <s v="Diverse client-driven conglomeration"/>
    <n v="6400"/>
    <n v="3676"/>
    <n v="0.57437499999999997"/>
    <x v="0"/>
    <n v="141"/>
    <n v="26.070921985815602"/>
    <x v="4"/>
    <s v="GBP"/>
    <n v="1375592400"/>
    <n v="1376629200"/>
    <x v="814"/>
    <d v="2013-08-16T05:00:00"/>
    <x v="2"/>
  </r>
  <r>
    <n v="915"/>
    <s v="Riggs Group"/>
    <s v="Configurable upward-trending solution"/>
    <n v="125900"/>
    <n v="195936"/>
    <n v="1.5562827640984909"/>
    <x v="1"/>
    <n v="1866"/>
    <n v="105.0032154340836"/>
    <x v="4"/>
    <s v="GBP"/>
    <n v="1503982800"/>
    <n v="1504760400"/>
    <x v="80"/>
    <d v="2017-09-07T05:00:00"/>
    <x v="1"/>
  </r>
  <r>
    <n v="916"/>
    <s v="Clements Ltd"/>
    <s v="Persistent bandwidth-monitored framework"/>
    <n v="3700"/>
    <n v="1343"/>
    <n v="0.36297297297297298"/>
    <x v="0"/>
    <n v="52"/>
    <n v="25.826923076923077"/>
    <x v="1"/>
    <s v="USD"/>
    <n v="1418882400"/>
    <n v="1419660000"/>
    <x v="815"/>
    <d v="2014-12-27T06:00:00"/>
    <x v="4"/>
  </r>
  <r>
    <n v="917"/>
    <s v="Cooper Inc"/>
    <s v="Polarized discrete product"/>
    <n v="3600"/>
    <n v="2097"/>
    <n v="0.58250000000000002"/>
    <x v="2"/>
    <n v="27"/>
    <n v="77.666666666666671"/>
    <x v="4"/>
    <s v="GBP"/>
    <n v="1309237200"/>
    <n v="1311310800"/>
    <x v="816"/>
    <d v="2011-07-22T05:00:00"/>
    <x v="1"/>
  </r>
  <r>
    <n v="918"/>
    <s v="Jones-Gonzalez"/>
    <s v="Seamless dynamic website"/>
    <n v="3800"/>
    <n v="9021"/>
    <n v="2.3739473684210526"/>
    <x v="1"/>
    <n v="156"/>
    <n v="57.82692307692308"/>
    <x v="5"/>
    <s v="CHF"/>
    <n v="1343365200"/>
    <n v="1344315600"/>
    <x v="474"/>
    <d v="2012-08-07T05:00:00"/>
    <x v="6"/>
  </r>
  <r>
    <n v="919"/>
    <s v="Fox Ltd"/>
    <s v="Extended multimedia firmware"/>
    <n v="35600"/>
    <n v="20915"/>
    <n v="0.58750000000000002"/>
    <x v="0"/>
    <n v="225"/>
    <n v="92.955555555555549"/>
    <x v="2"/>
    <s v="AUD"/>
    <n v="1507957200"/>
    <n v="1510725600"/>
    <x v="817"/>
    <d v="2017-11-15T06:00:00"/>
    <x v="0"/>
  </r>
  <r>
    <n v="920"/>
    <s v="Green, Murphy and Webb"/>
    <s v="Versatile directional project"/>
    <n v="5300"/>
    <n v="9676"/>
    <n v="1.8256603773584905"/>
    <x v="1"/>
    <n v="255"/>
    <n v="37.945098039215686"/>
    <x v="1"/>
    <s v="USD"/>
    <n v="1549519200"/>
    <n v="1551247200"/>
    <x v="818"/>
    <d v="2019-02-27T06:00:00"/>
    <x v="4"/>
  </r>
  <r>
    <n v="921"/>
    <s v="Stevenson PLC"/>
    <s v="Profound directional knowledge user"/>
    <n v="160400"/>
    <n v="1210"/>
    <n v="7.5436408977556111E-3"/>
    <x v="0"/>
    <n v="38"/>
    <n v="31.842105263157894"/>
    <x v="1"/>
    <s v="USD"/>
    <n v="1329026400"/>
    <n v="1330236000"/>
    <x v="819"/>
    <d v="2012-02-26T06:00:00"/>
    <x v="2"/>
  </r>
  <r>
    <n v="922"/>
    <s v="Soto-Anthony"/>
    <s v="Ameliorated logistical capability"/>
    <n v="51400"/>
    <n v="90440"/>
    <n v="1.7595330739299611"/>
    <x v="1"/>
    <n v="2261"/>
    <n v="40"/>
    <x v="1"/>
    <s v="USD"/>
    <n v="1544335200"/>
    <n v="1545112800"/>
    <x v="609"/>
    <d v="2018-12-18T06:00:00"/>
    <x v="2"/>
  </r>
  <r>
    <n v="923"/>
    <s v="Wise and Sons"/>
    <s v="Sharable discrete definition"/>
    <n v="1700"/>
    <n v="4044"/>
    <n v="2.3788235294117648"/>
    <x v="1"/>
    <n v="40"/>
    <n v="101.1"/>
    <x v="1"/>
    <s v="USD"/>
    <n v="1279083600"/>
    <n v="1279170000"/>
    <x v="547"/>
    <d v="2010-07-15T05:00:00"/>
    <x v="3"/>
  </r>
  <r>
    <n v="924"/>
    <s v="Butler-Barr"/>
    <s v="User-friendly next generation core"/>
    <n v="39400"/>
    <n v="192292"/>
    <n v="4.8805076142131982"/>
    <x v="1"/>
    <n v="2289"/>
    <n v="84.006989951944078"/>
    <x v="6"/>
    <s v="EUR"/>
    <n v="1572498000"/>
    <n v="1573452000"/>
    <x v="820"/>
    <d v="2019-11-11T06:00:00"/>
    <x v="4"/>
  </r>
  <r>
    <n v="925"/>
    <s v="Wilson, Jefferson and Anderson"/>
    <s v="Profit-focused empowering system engine"/>
    <n v="3000"/>
    <n v="6722"/>
    <n v="2.2406666666666668"/>
    <x v="1"/>
    <n v="65"/>
    <n v="103.41538461538461"/>
    <x v="1"/>
    <s v="USD"/>
    <n v="1506056400"/>
    <n v="1507093200"/>
    <x v="821"/>
    <d v="2017-10-04T05:00:00"/>
    <x v="6"/>
  </r>
  <r>
    <n v="926"/>
    <s v="Brown-Oliver"/>
    <s v="Synchronized cohesive encoding"/>
    <n v="8700"/>
    <n v="1577"/>
    <n v="0.18126436781609195"/>
    <x v="0"/>
    <n v="15"/>
    <n v="105.13333333333334"/>
    <x v="1"/>
    <s v="USD"/>
    <n v="1463029200"/>
    <n v="1463374800"/>
    <x v="151"/>
    <d v="2016-05-16T05:00:00"/>
    <x v="4"/>
  </r>
  <r>
    <n v="927"/>
    <s v="Davis-Gardner"/>
    <s v="Synergistic dynamic utilization"/>
    <n v="7200"/>
    <n v="3301"/>
    <n v="0.45847222222222223"/>
    <x v="0"/>
    <n v="37"/>
    <n v="89.21621621621621"/>
    <x v="1"/>
    <s v="USD"/>
    <n v="1342069200"/>
    <n v="1344574800"/>
    <x v="822"/>
    <d v="2012-08-10T05:00:00"/>
    <x v="4"/>
  </r>
  <r>
    <n v="928"/>
    <s v="Dawson Group"/>
    <s v="Triple-buffered bi-directional model"/>
    <n v="167400"/>
    <n v="196386"/>
    <n v="1.1731541218637993"/>
    <x v="1"/>
    <n v="3777"/>
    <n v="51.995234312946785"/>
    <x v="6"/>
    <s v="EUR"/>
    <n v="1388296800"/>
    <n v="1389074400"/>
    <x v="823"/>
    <d v="2014-01-07T06:00:00"/>
    <x v="2"/>
  </r>
  <r>
    <n v="929"/>
    <s v="Turner-Terrell"/>
    <s v="Polarized tertiary function"/>
    <n v="5500"/>
    <n v="11952"/>
    <n v="2.173090909090909"/>
    <x v="1"/>
    <n v="184"/>
    <n v="64.956521739130437"/>
    <x v="4"/>
    <s v="GBP"/>
    <n v="1493787600"/>
    <n v="1494997200"/>
    <x v="824"/>
    <d v="2017-05-17T05:00:00"/>
    <x v="3"/>
  </r>
  <r>
    <n v="930"/>
    <s v="Hall, Buchanan and Benton"/>
    <s v="Configurable fault-tolerant structure"/>
    <n v="3500"/>
    <n v="3930"/>
    <n v="1.1228571428571428"/>
    <x v="1"/>
    <n v="85"/>
    <n v="46.235294117647058"/>
    <x v="1"/>
    <s v="USD"/>
    <n v="1424844000"/>
    <n v="1425448800"/>
    <x v="825"/>
    <d v="2015-03-04T06:00:00"/>
    <x v="3"/>
  </r>
  <r>
    <n v="931"/>
    <s v="Lowery, Hayden and Cruz"/>
    <s v="Digitized 24/7 budgetary management"/>
    <n v="7900"/>
    <n v="5729"/>
    <n v="0.72518987341772156"/>
    <x v="0"/>
    <n v="112"/>
    <n v="51.151785714285715"/>
    <x v="1"/>
    <s v="USD"/>
    <n v="1403931600"/>
    <n v="1404104400"/>
    <x v="826"/>
    <d v="2014-06-30T05:00:00"/>
    <x v="0"/>
  </r>
  <r>
    <n v="932"/>
    <s v="Mora, Miller and Harper"/>
    <s v="Stand-alone zero tolerance algorithm"/>
    <n v="2300"/>
    <n v="4883"/>
    <n v="2.1230434782608696"/>
    <x v="1"/>
    <n v="144"/>
    <n v="33.909722222222221"/>
    <x v="1"/>
    <s v="USD"/>
    <n v="1394514000"/>
    <n v="1394773200"/>
    <x v="827"/>
    <d v="2014-03-14T05:00:00"/>
    <x v="1"/>
  </r>
  <r>
    <n v="933"/>
    <s v="Espinoza Group"/>
    <s v="Implemented tangible support"/>
    <n v="73000"/>
    <n v="175015"/>
    <n v="2.3974657534246577"/>
    <x v="1"/>
    <n v="1902"/>
    <n v="92.016298633017882"/>
    <x v="1"/>
    <s v="USD"/>
    <n v="1365397200"/>
    <n v="1366520400"/>
    <x v="828"/>
    <d v="2013-04-21T05:00:00"/>
    <x v="5"/>
  </r>
  <r>
    <n v="934"/>
    <s v="Davis, Crawford and Lopez"/>
    <s v="Reactive radical framework"/>
    <n v="6200"/>
    <n v="11280"/>
    <n v="1.8193548387096774"/>
    <x v="1"/>
    <n v="105"/>
    <n v="107.42857142857143"/>
    <x v="1"/>
    <s v="USD"/>
    <n v="1456120800"/>
    <n v="1456639200"/>
    <x v="829"/>
    <d v="2016-02-28T06:00:00"/>
    <x v="5"/>
  </r>
  <r>
    <n v="935"/>
    <s v="Richards, Stevens and Fleming"/>
    <s v="Object-based full-range knowledge user"/>
    <n v="6100"/>
    <n v="10012"/>
    <n v="1.6413114754098361"/>
    <x v="1"/>
    <n v="132"/>
    <n v="75.848484848484844"/>
    <x v="1"/>
    <s v="USD"/>
    <n v="1437714000"/>
    <n v="1438318800"/>
    <x v="830"/>
    <d v="2015-07-31T05:00:00"/>
    <x v="6"/>
  </r>
  <r>
    <n v="936"/>
    <s v="Brown Ltd"/>
    <s v="Enhanced composite contingency"/>
    <n v="103200"/>
    <n v="1690"/>
    <n v="1.6375968992248063E-2"/>
    <x v="0"/>
    <n v="21"/>
    <n v="80.476190476190482"/>
    <x v="1"/>
    <s v="USD"/>
    <n v="1563771600"/>
    <n v="1564030800"/>
    <x v="831"/>
    <d v="2019-07-25T05:00:00"/>
    <x v="5"/>
  </r>
  <r>
    <n v="937"/>
    <s v="Tapia, Sandoval and Hurley"/>
    <s v="Cloned fresh-thinking model"/>
    <n v="171000"/>
    <n v="84891"/>
    <n v="0.49643859649122807"/>
    <x v="3"/>
    <n v="976"/>
    <n v="86.978483606557376"/>
    <x v="1"/>
    <s v="USD"/>
    <n v="1448517600"/>
    <n v="1449295200"/>
    <x v="832"/>
    <d v="2015-12-05T06:00:00"/>
    <x v="4"/>
  </r>
  <r>
    <n v="938"/>
    <s v="Allen Inc"/>
    <s v="Total dedicated benchmark"/>
    <n v="9200"/>
    <n v="10093"/>
    <n v="1.0970652173913042"/>
    <x v="1"/>
    <n v="96"/>
    <n v="105.13541666666667"/>
    <x v="1"/>
    <s v="USD"/>
    <n v="1528779600"/>
    <n v="1531890000"/>
    <x v="833"/>
    <d v="2018-07-18T05:00:00"/>
    <x v="1"/>
  </r>
  <r>
    <n v="939"/>
    <s v="Williams, Johnson and Campbell"/>
    <s v="Streamlined human-resource Graphic Interface"/>
    <n v="7800"/>
    <n v="3839"/>
    <n v="0.49217948717948717"/>
    <x v="0"/>
    <n v="67"/>
    <n v="57.298507462686565"/>
    <x v="1"/>
    <s v="USD"/>
    <n v="1304744400"/>
    <n v="1306213200"/>
    <x v="834"/>
    <d v="2011-05-24T05:00:00"/>
    <x v="0"/>
  </r>
  <r>
    <n v="940"/>
    <s v="Wiggins Ltd"/>
    <s v="Upgradable analyzing core"/>
    <n v="9900"/>
    <n v="6161"/>
    <n v="0.62232323232323228"/>
    <x v="2"/>
    <n v="66"/>
    <n v="93.348484848484844"/>
    <x v="0"/>
    <s v="CAD"/>
    <n v="1354341600"/>
    <n v="1356242400"/>
    <x v="835"/>
    <d v="2012-12-23T06:00:00"/>
    <x v="0"/>
  </r>
  <r>
    <n v="941"/>
    <s v="Luna-Horne"/>
    <s v="Profound exuding pricing structure"/>
    <n v="43000"/>
    <n v="5615"/>
    <n v="0.1305813953488372"/>
    <x v="0"/>
    <n v="78"/>
    <n v="71.987179487179489"/>
    <x v="1"/>
    <s v="USD"/>
    <n v="1294552800"/>
    <n v="1297576800"/>
    <x v="836"/>
    <d v="2011-02-13T06:00:00"/>
    <x v="2"/>
  </r>
  <r>
    <n v="942"/>
    <s v="Allen Inc"/>
    <s v="Horizontal optimizing model"/>
    <n v="9600"/>
    <n v="6205"/>
    <n v="0.64635416666666667"/>
    <x v="0"/>
    <n v="67"/>
    <n v="92.611940298507463"/>
    <x v="2"/>
    <s v="AUD"/>
    <n v="1295935200"/>
    <n v="1296194400"/>
    <x v="837"/>
    <d v="2011-01-28T06:00:00"/>
    <x v="1"/>
  </r>
  <r>
    <n v="943"/>
    <s v="Peterson, Gonzalez and Spencer"/>
    <s v="Synchronized fault-tolerant algorithm"/>
    <n v="7500"/>
    <n v="11969"/>
    <n v="1.5958666666666668"/>
    <x v="1"/>
    <n v="114"/>
    <n v="104.99122807017544"/>
    <x v="1"/>
    <s v="USD"/>
    <n v="1411534800"/>
    <n v="1414558800"/>
    <x v="219"/>
    <d v="2014-10-29T05:00:00"/>
    <x v="3"/>
  </r>
  <r>
    <n v="944"/>
    <s v="Walter Inc"/>
    <s v="Streamlined 5thgeneration intranet"/>
    <n v="10000"/>
    <n v="8142"/>
    <n v="0.81420000000000003"/>
    <x v="0"/>
    <n v="263"/>
    <n v="30.958174904942965"/>
    <x v="2"/>
    <s v="AUD"/>
    <n v="1486706400"/>
    <n v="1488348000"/>
    <x v="365"/>
    <d v="2017-03-01T06:00:00"/>
    <x v="6"/>
  </r>
  <r>
    <n v="945"/>
    <s v="Sanders, Farley and Huffman"/>
    <s v="Cross-group clear-thinking task-force"/>
    <n v="172000"/>
    <n v="55805"/>
    <n v="0.32444767441860467"/>
    <x v="0"/>
    <n v="1691"/>
    <n v="33.001182732111175"/>
    <x v="1"/>
    <s v="USD"/>
    <n v="1333602000"/>
    <n v="1334898000"/>
    <x v="838"/>
    <d v="2012-04-20T05:00:00"/>
    <x v="4"/>
  </r>
  <r>
    <n v="946"/>
    <s v="Hall, Holmes and Walker"/>
    <s v="Public-key bandwidth-monitored intranet"/>
    <n v="153700"/>
    <n v="15238"/>
    <n v="9.9141184124918666E-2"/>
    <x v="0"/>
    <n v="181"/>
    <n v="84.187845303867405"/>
    <x v="1"/>
    <s v="USD"/>
    <n v="1308200400"/>
    <n v="1308373200"/>
    <x v="839"/>
    <d v="2011-06-18T05:00:00"/>
    <x v="4"/>
  </r>
  <r>
    <n v="947"/>
    <s v="Smith-Powell"/>
    <s v="Upgradable clear-thinking hardware"/>
    <n v="3600"/>
    <n v="961"/>
    <n v="0.26694444444444443"/>
    <x v="0"/>
    <n v="13"/>
    <n v="73.92307692307692"/>
    <x v="1"/>
    <s v="USD"/>
    <n v="1411707600"/>
    <n v="1412312400"/>
    <x v="840"/>
    <d v="2014-10-03T05:00:00"/>
    <x v="6"/>
  </r>
  <r>
    <n v="948"/>
    <s v="Smith-Hill"/>
    <s v="Integrated holistic paradigm"/>
    <n v="9400"/>
    <n v="5918"/>
    <n v="0.62957446808510642"/>
    <x v="3"/>
    <n v="160"/>
    <n v="36.987499999999997"/>
    <x v="1"/>
    <s v="USD"/>
    <n v="1418364000"/>
    <n v="1419228000"/>
    <x v="841"/>
    <d v="2014-12-22T06:00:00"/>
    <x v="6"/>
  </r>
  <r>
    <n v="949"/>
    <s v="Wright LLC"/>
    <s v="Seamless clear-thinking conglomeration"/>
    <n v="5900"/>
    <n v="9520"/>
    <n v="1.6135593220338984"/>
    <x v="1"/>
    <n v="203"/>
    <n v="46.896551724137929"/>
    <x v="1"/>
    <s v="USD"/>
    <n v="1429333200"/>
    <n v="1430974800"/>
    <x v="842"/>
    <d v="2015-05-07T05:00:00"/>
    <x v="0"/>
  </r>
  <r>
    <n v="950"/>
    <s v="Williams, Orozco and Gomez"/>
    <s v="Persistent content-based methodology"/>
    <n v="100"/>
    <n v="5"/>
    <n v="0.05"/>
    <x v="0"/>
    <n v="1"/>
    <n v="5"/>
    <x v="1"/>
    <s v="USD"/>
    <n v="1555390800"/>
    <n v="1555822800"/>
    <x v="843"/>
    <d v="2019-04-21T05:00:00"/>
    <x v="1"/>
  </r>
  <r>
    <n v="951"/>
    <s v="Peterson Ltd"/>
    <s v="Re-engineered 24hour matrix"/>
    <n v="14500"/>
    <n v="159056"/>
    <n v="10.969379310344827"/>
    <x v="1"/>
    <n v="1559"/>
    <n v="102.02437459910199"/>
    <x v="1"/>
    <s v="USD"/>
    <n v="1482732000"/>
    <n v="1482818400"/>
    <x v="844"/>
    <d v="2016-12-27T06:00:00"/>
    <x v="5"/>
  </r>
  <r>
    <n v="952"/>
    <s v="Cummings-Hayes"/>
    <s v="Virtual multi-tasking core"/>
    <n v="145500"/>
    <n v="101987"/>
    <n v="0.70094158075601376"/>
    <x v="3"/>
    <n v="2266"/>
    <n v="45.007502206531335"/>
    <x v="1"/>
    <s v="USD"/>
    <n v="1470718800"/>
    <n v="1471928400"/>
    <x v="845"/>
    <d v="2016-08-23T05:00:00"/>
    <x v="1"/>
  </r>
  <r>
    <n v="953"/>
    <s v="Boyle Ltd"/>
    <s v="Streamlined fault-tolerant conglomeration"/>
    <n v="3300"/>
    <n v="1980"/>
    <n v="0.6"/>
    <x v="0"/>
    <n v="21"/>
    <n v="94.285714285714292"/>
    <x v="1"/>
    <s v="USD"/>
    <n v="1450591200"/>
    <n v="1453701600"/>
    <x v="846"/>
    <d v="2016-01-25T06:00:00"/>
    <x v="2"/>
  </r>
  <r>
    <n v="954"/>
    <s v="Henderson, Parker and Diaz"/>
    <s v="Enterprise-wide client-driven policy"/>
    <n v="42600"/>
    <n v="156384"/>
    <n v="3.6709859154929578"/>
    <x v="1"/>
    <n v="1548"/>
    <n v="101.02325581395348"/>
    <x v="2"/>
    <s v="AUD"/>
    <n v="1348290000"/>
    <n v="1350363600"/>
    <x v="110"/>
    <d v="2012-10-16T05:00:00"/>
    <x v="0"/>
  </r>
  <r>
    <n v="955"/>
    <s v="Moss-Obrien"/>
    <s v="Function-based next generation emulation"/>
    <n v="700"/>
    <n v="7763"/>
    <n v="11.09"/>
    <x v="1"/>
    <n v="80"/>
    <n v="97.037499999999994"/>
    <x v="1"/>
    <s v="USD"/>
    <n v="1353823200"/>
    <n v="1353996000"/>
    <x v="847"/>
    <d v="2012-11-27T06:00:00"/>
    <x v="2"/>
  </r>
  <r>
    <n v="956"/>
    <s v="Wood Inc"/>
    <s v="Re-engineered composite focus group"/>
    <n v="187600"/>
    <n v="35698"/>
    <n v="0.19028784648187633"/>
    <x v="0"/>
    <n v="830"/>
    <n v="43.00963855421687"/>
    <x v="1"/>
    <s v="USD"/>
    <n v="1450764000"/>
    <n v="1451109600"/>
    <x v="848"/>
    <d v="2015-12-26T06:00:00"/>
    <x v="1"/>
  </r>
  <r>
    <n v="957"/>
    <s v="Riley, Cohen and Goodman"/>
    <s v="Profound mission-critical function"/>
    <n v="9800"/>
    <n v="12434"/>
    <n v="1.2687755102040816"/>
    <x v="1"/>
    <n v="131"/>
    <n v="94.916030534351151"/>
    <x v="1"/>
    <s v="USD"/>
    <n v="1329372000"/>
    <n v="1329631200"/>
    <x v="849"/>
    <d v="2012-02-19T06:00:00"/>
    <x v="4"/>
  </r>
  <r>
    <n v="958"/>
    <s v="Green, Robinson and Ho"/>
    <s v="De-engineered zero-defect open system"/>
    <n v="1100"/>
    <n v="8081"/>
    <n v="7.3463636363636367"/>
    <x v="1"/>
    <n v="112"/>
    <n v="72.151785714285708"/>
    <x v="1"/>
    <s v="USD"/>
    <n v="1277096400"/>
    <n v="1278997200"/>
    <x v="780"/>
    <d v="2010-07-13T05:00:00"/>
    <x v="5"/>
  </r>
  <r>
    <n v="959"/>
    <s v="Black-Graham"/>
    <s v="Operative hybrid utilization"/>
    <n v="145000"/>
    <n v="6631"/>
    <n v="4.5731034482758622E-2"/>
    <x v="0"/>
    <n v="130"/>
    <n v="51.007692307692309"/>
    <x v="1"/>
    <s v="USD"/>
    <n v="1277701200"/>
    <n v="1280120400"/>
    <x v="140"/>
    <d v="2010-07-26T05:00:00"/>
    <x v="5"/>
  </r>
  <r>
    <n v="960"/>
    <s v="Robbins Group"/>
    <s v="Function-based interactive matrix"/>
    <n v="5500"/>
    <n v="4678"/>
    <n v="0.85054545454545449"/>
    <x v="0"/>
    <n v="55"/>
    <n v="85.054545454545448"/>
    <x v="1"/>
    <s v="USD"/>
    <n v="1454911200"/>
    <n v="1458104400"/>
    <x v="850"/>
    <d v="2016-03-16T05:00:00"/>
    <x v="5"/>
  </r>
  <r>
    <n v="961"/>
    <s v="Mason, Case and May"/>
    <s v="Optimized content-based collaboration"/>
    <n v="5700"/>
    <n v="6800"/>
    <n v="1.1929824561403508"/>
    <x v="1"/>
    <n v="155"/>
    <n v="43.87096774193548"/>
    <x v="1"/>
    <s v="USD"/>
    <n v="1297922400"/>
    <n v="1298268000"/>
    <x v="851"/>
    <d v="2011-02-21T06:00:00"/>
    <x v="4"/>
  </r>
  <r>
    <n v="962"/>
    <s v="Harris, Russell and Mitchell"/>
    <s v="User-centric cohesive policy"/>
    <n v="3600"/>
    <n v="10657"/>
    <n v="2.9602777777777778"/>
    <x v="1"/>
    <n v="266"/>
    <n v="40.063909774436091"/>
    <x v="1"/>
    <s v="USD"/>
    <n v="1384408800"/>
    <n v="1386223200"/>
    <x v="852"/>
    <d v="2013-12-05T06:00:00"/>
    <x v="4"/>
  </r>
  <r>
    <n v="963"/>
    <s v="Rodriguez-Robinson"/>
    <s v="Ergonomic methodical hub"/>
    <n v="5900"/>
    <n v="4997"/>
    <n v="0.84694915254237291"/>
    <x v="0"/>
    <n v="114"/>
    <n v="43.833333333333336"/>
    <x v="6"/>
    <s v="EUR"/>
    <n v="1299304800"/>
    <n v="1299823200"/>
    <x v="853"/>
    <d v="2011-03-11T06:00:00"/>
    <x v="0"/>
  </r>
  <r>
    <n v="964"/>
    <s v="Peck, Higgins and Smith"/>
    <s v="Devolved disintermediate encryption"/>
    <n v="3700"/>
    <n v="13164"/>
    <n v="3.5578378378378379"/>
    <x v="1"/>
    <n v="155"/>
    <n v="84.92903225806451"/>
    <x v="1"/>
    <s v="USD"/>
    <n v="1431320400"/>
    <n v="1431752400"/>
    <x v="854"/>
    <d v="2015-05-16T05:00:00"/>
    <x v="5"/>
  </r>
  <r>
    <n v="965"/>
    <s v="Nunez-King"/>
    <s v="Phased clear-thinking policy"/>
    <n v="2200"/>
    <n v="8501"/>
    <n v="3.8640909090909092"/>
    <x v="1"/>
    <n v="207"/>
    <n v="41.067632850241544"/>
    <x v="4"/>
    <s v="GBP"/>
    <n v="1264399200"/>
    <n v="1267855200"/>
    <x v="67"/>
    <d v="2010-03-06T06:00:00"/>
    <x v="5"/>
  </r>
  <r>
    <n v="966"/>
    <s v="Davis and Sons"/>
    <s v="Seamless solution-oriented capacity"/>
    <n v="1700"/>
    <n v="13468"/>
    <n v="7.9223529411764702"/>
    <x v="1"/>
    <n v="245"/>
    <n v="54.971428571428568"/>
    <x v="1"/>
    <s v="USD"/>
    <n v="1497502800"/>
    <n v="1497675600"/>
    <x v="855"/>
    <d v="2017-06-17T05:00:00"/>
    <x v="4"/>
  </r>
  <r>
    <n v="967"/>
    <s v="Howard-Douglas"/>
    <s v="Organized human-resource attitude"/>
    <n v="88400"/>
    <n v="121138"/>
    <n v="1.3703393665158372"/>
    <x v="1"/>
    <n v="1573"/>
    <n v="77.010807374443743"/>
    <x v="1"/>
    <s v="USD"/>
    <n v="1333688400"/>
    <n v="1336885200"/>
    <x v="107"/>
    <d v="2012-05-13T05:00:00"/>
    <x v="6"/>
  </r>
  <r>
    <n v="968"/>
    <s v="Gonzalez-White"/>
    <s v="Open-architected disintermediate budgetary management"/>
    <n v="2400"/>
    <n v="8117"/>
    <n v="3.3820833333333336"/>
    <x v="1"/>
    <n v="114"/>
    <n v="71.201754385964918"/>
    <x v="1"/>
    <s v="USD"/>
    <n v="1293861600"/>
    <n v="1295157600"/>
    <x v="344"/>
    <d v="2011-01-16T06:00:00"/>
    <x v="0"/>
  </r>
  <r>
    <n v="969"/>
    <s v="Lopez-King"/>
    <s v="Multi-lateral radical solution"/>
    <n v="7900"/>
    <n v="8550"/>
    <n v="1.0822784810126582"/>
    <x v="1"/>
    <n v="93"/>
    <n v="91.935483870967744"/>
    <x v="1"/>
    <s v="USD"/>
    <n v="1576994400"/>
    <n v="1577599200"/>
    <x v="856"/>
    <d v="2019-12-29T06:00:00"/>
    <x v="2"/>
  </r>
  <r>
    <n v="970"/>
    <s v="Glover-Nelson"/>
    <s v="Inverse context-sensitive info-mediaries"/>
    <n v="94900"/>
    <n v="57659"/>
    <n v="0.60757639620653314"/>
    <x v="0"/>
    <n v="594"/>
    <n v="97.069023569023571"/>
    <x v="1"/>
    <s v="USD"/>
    <n v="1304917200"/>
    <n v="1305003600"/>
    <x v="857"/>
    <d v="2011-05-10T05:00:00"/>
    <x v="5"/>
  </r>
  <r>
    <n v="971"/>
    <s v="Garner and Sons"/>
    <s v="Versatile neutral workforce"/>
    <n v="5100"/>
    <n v="1414"/>
    <n v="0.27725490196078434"/>
    <x v="0"/>
    <n v="24"/>
    <n v="58.916666666666664"/>
    <x v="1"/>
    <s v="USD"/>
    <n v="1381208400"/>
    <n v="1381726800"/>
    <x v="858"/>
    <d v="2013-10-14T05:00:00"/>
    <x v="1"/>
  </r>
  <r>
    <n v="972"/>
    <s v="Sellers, Roach and Garrison"/>
    <s v="Multi-tiered systematic knowledge user"/>
    <n v="42700"/>
    <n v="97524"/>
    <n v="2.283934426229508"/>
    <x v="1"/>
    <n v="1681"/>
    <n v="58.015466983938133"/>
    <x v="1"/>
    <s v="USD"/>
    <n v="1401685200"/>
    <n v="1402462800"/>
    <x v="859"/>
    <d v="2014-06-11T05:00:00"/>
    <x v="5"/>
  </r>
  <r>
    <n v="973"/>
    <s v="Herrera, Bennett and Silva"/>
    <s v="Programmable multi-state algorithm"/>
    <n v="121100"/>
    <n v="26176"/>
    <n v="0.21615194054500414"/>
    <x v="0"/>
    <n v="252"/>
    <n v="103.87301587301587"/>
    <x v="1"/>
    <s v="USD"/>
    <n v="1291960800"/>
    <n v="1292133600"/>
    <x v="860"/>
    <d v="2010-12-12T06:00:00"/>
    <x v="6"/>
  </r>
  <r>
    <n v="974"/>
    <s v="Thomas, Clay and Mendoza"/>
    <s v="Multi-channeled reciprocal interface"/>
    <n v="800"/>
    <n v="2991"/>
    <n v="3.73875"/>
    <x v="1"/>
    <n v="32"/>
    <n v="93.46875"/>
    <x v="1"/>
    <s v="USD"/>
    <n v="1368853200"/>
    <n v="1368939600"/>
    <x v="170"/>
    <d v="2013-05-19T05:00:00"/>
    <x v="0"/>
  </r>
  <r>
    <n v="975"/>
    <s v="Ayala Group"/>
    <s v="Right-sized maximized migration"/>
    <n v="5400"/>
    <n v="8366"/>
    <n v="1.5492592592592593"/>
    <x v="1"/>
    <n v="135"/>
    <n v="61.970370370370368"/>
    <x v="1"/>
    <s v="USD"/>
    <n v="1448776800"/>
    <n v="1452146400"/>
    <x v="861"/>
    <d v="2016-01-07T06:00:00"/>
    <x v="2"/>
  </r>
  <r>
    <n v="976"/>
    <s v="Huerta, Roberts and Dickerson"/>
    <s v="Self-enabling value-added artificial intelligence"/>
    <n v="4000"/>
    <n v="12886"/>
    <n v="3.2214999999999998"/>
    <x v="1"/>
    <n v="140"/>
    <n v="92.042857142857144"/>
    <x v="1"/>
    <s v="USD"/>
    <n v="1296194400"/>
    <n v="1296712800"/>
    <x v="862"/>
    <d v="2011-02-03T06:00:00"/>
    <x v="6"/>
  </r>
  <r>
    <n v="977"/>
    <s v="Johnson Group"/>
    <s v="Vision-oriented interactive solution"/>
    <n v="7000"/>
    <n v="5177"/>
    <n v="0.73957142857142855"/>
    <x v="0"/>
    <n v="67"/>
    <n v="77.268656716417908"/>
    <x v="1"/>
    <s v="USD"/>
    <n v="1517983200"/>
    <n v="1520748000"/>
    <x v="863"/>
    <d v="2018-03-11T06:00:00"/>
    <x v="3"/>
  </r>
  <r>
    <n v="978"/>
    <s v="Bailey, Nguyen and Martinez"/>
    <s v="Fundamental user-facing productivity"/>
    <n v="1000"/>
    <n v="8641"/>
    <n v="8.641"/>
    <x v="1"/>
    <n v="92"/>
    <n v="93.923913043478265"/>
    <x v="1"/>
    <s v="USD"/>
    <n v="1478930400"/>
    <n v="1480831200"/>
    <x v="864"/>
    <d v="2016-12-04T06:00:00"/>
    <x v="0"/>
  </r>
  <r>
    <n v="979"/>
    <s v="Williams, Martin and Meyer"/>
    <s v="Innovative well-modulated capability"/>
    <n v="60200"/>
    <n v="86244"/>
    <n v="1.432624584717608"/>
    <x v="1"/>
    <n v="1015"/>
    <n v="84.969458128078813"/>
    <x v="4"/>
    <s v="GBP"/>
    <n v="1426395600"/>
    <n v="1426914000"/>
    <x v="527"/>
    <d v="2015-03-21T05:00:00"/>
    <x v="2"/>
  </r>
  <r>
    <n v="980"/>
    <s v="Huff-Johnson"/>
    <s v="Universal fault-tolerant orchestration"/>
    <n v="195200"/>
    <n v="78630"/>
    <n v="0.40281762295081969"/>
    <x v="0"/>
    <n v="742"/>
    <n v="105.97035040431267"/>
    <x v="1"/>
    <s v="USD"/>
    <n v="1446181200"/>
    <n v="1446616800"/>
    <x v="865"/>
    <d v="2015-11-04T06:00:00"/>
    <x v="6"/>
  </r>
  <r>
    <n v="981"/>
    <s v="Diaz-Little"/>
    <s v="Grass-roots executive synergy"/>
    <n v="6700"/>
    <n v="11941"/>
    <n v="1.7822388059701493"/>
    <x v="1"/>
    <n v="323"/>
    <n v="36.969040247678016"/>
    <x v="1"/>
    <s v="USD"/>
    <n v="1514181600"/>
    <n v="1517032800"/>
    <x v="866"/>
    <d v="2018-01-27T06:00:00"/>
    <x v="5"/>
  </r>
  <r>
    <n v="982"/>
    <s v="Freeman-French"/>
    <s v="Multi-layered optimal application"/>
    <n v="7200"/>
    <n v="6115"/>
    <n v="0.84930555555555554"/>
    <x v="0"/>
    <n v="75"/>
    <n v="81.533333333333331"/>
    <x v="1"/>
    <s v="USD"/>
    <n v="1311051600"/>
    <n v="1311224400"/>
    <x v="867"/>
    <d v="2011-07-21T05:00:00"/>
    <x v="1"/>
  </r>
  <r>
    <n v="983"/>
    <s v="Beck-Weber"/>
    <s v="Business-focused full-range core"/>
    <n v="129100"/>
    <n v="188404"/>
    <n v="1.4593648334624323"/>
    <x v="1"/>
    <n v="2326"/>
    <n v="80.999140154772135"/>
    <x v="1"/>
    <s v="USD"/>
    <n v="1564894800"/>
    <n v="1566190800"/>
    <x v="868"/>
    <d v="2019-08-19T05:00:00"/>
    <x v="2"/>
  </r>
  <r>
    <n v="984"/>
    <s v="Lewis-Jacobson"/>
    <s v="Exclusive system-worthy Graphic Interface"/>
    <n v="6500"/>
    <n v="9910"/>
    <n v="1.5246153846153847"/>
    <x v="1"/>
    <n v="381"/>
    <n v="26.010498687664043"/>
    <x v="1"/>
    <s v="USD"/>
    <n v="1567918800"/>
    <n v="1570165200"/>
    <x v="105"/>
    <d v="2019-10-04T05:00:00"/>
    <x v="2"/>
  </r>
  <r>
    <n v="985"/>
    <s v="Logan-Curtis"/>
    <s v="Enhanced optimal ability"/>
    <n v="170600"/>
    <n v="114523"/>
    <n v="0.67129542790152408"/>
    <x v="0"/>
    <n v="4405"/>
    <n v="25.998410896708286"/>
    <x v="1"/>
    <s v="USD"/>
    <n v="1386309600"/>
    <n v="1388556000"/>
    <x v="481"/>
    <d v="2014-01-01T06:00:00"/>
    <x v="6"/>
  </r>
  <r>
    <n v="986"/>
    <s v="Chan, Washington and Callahan"/>
    <s v="Optional zero administration neural-net"/>
    <n v="7800"/>
    <n v="3144"/>
    <n v="0.40307692307692305"/>
    <x v="0"/>
    <n v="92"/>
    <n v="34.173913043478258"/>
    <x v="1"/>
    <s v="USD"/>
    <n v="1301979600"/>
    <n v="1303189200"/>
    <x v="253"/>
    <d v="2011-04-19T05:00:00"/>
    <x v="1"/>
  </r>
  <r>
    <n v="987"/>
    <s v="Wilson Group"/>
    <s v="Ameliorated foreground focus group"/>
    <n v="6200"/>
    <n v="13441"/>
    <n v="2.1679032258064517"/>
    <x v="1"/>
    <n v="480"/>
    <n v="28.002083333333335"/>
    <x v="1"/>
    <s v="USD"/>
    <n v="1493269200"/>
    <n v="1494478800"/>
    <x v="869"/>
    <d v="2017-05-11T05:00:00"/>
    <x v="4"/>
  </r>
  <r>
    <n v="988"/>
    <s v="Gardner, Ryan and Gutierrez"/>
    <s v="Triple-buffered multi-tasking matrices"/>
    <n v="9400"/>
    <n v="4899"/>
    <n v="0.52117021276595743"/>
    <x v="0"/>
    <n v="64"/>
    <n v="76.546875"/>
    <x v="1"/>
    <s v="USD"/>
    <n v="1478930400"/>
    <n v="1480744800"/>
    <x v="864"/>
    <d v="2016-12-03T06:00:00"/>
    <x v="0"/>
  </r>
  <r>
    <n v="989"/>
    <s v="Hernandez Inc"/>
    <s v="Versatile dedicated migration"/>
    <n v="2400"/>
    <n v="11990"/>
    <n v="4.9958333333333336"/>
    <x v="1"/>
    <n v="226"/>
    <n v="53.053097345132741"/>
    <x v="1"/>
    <s v="USD"/>
    <n v="1555390800"/>
    <n v="1555822800"/>
    <x v="843"/>
    <d v="2019-04-21T05:00:00"/>
    <x v="1"/>
  </r>
  <r>
    <n v="990"/>
    <s v="Ortiz-Roberts"/>
    <s v="Devolved foreground customer loyalty"/>
    <n v="7800"/>
    <n v="6839"/>
    <n v="0.87679487179487181"/>
    <x v="0"/>
    <n v="64"/>
    <n v="106.859375"/>
    <x v="1"/>
    <s v="USD"/>
    <n v="1456984800"/>
    <n v="1458882000"/>
    <x v="289"/>
    <d v="2016-03-25T05:00:00"/>
    <x v="4"/>
  </r>
  <r>
    <n v="991"/>
    <s v="Ramirez LLC"/>
    <s v="Reduced reciprocal focus group"/>
    <n v="9800"/>
    <n v="11091"/>
    <n v="1.131734693877551"/>
    <x v="1"/>
    <n v="241"/>
    <n v="46.020746887966808"/>
    <x v="1"/>
    <s v="USD"/>
    <n v="1411621200"/>
    <n v="1411966800"/>
    <x v="870"/>
    <d v="2014-09-29T05:00:00"/>
    <x v="4"/>
  </r>
  <r>
    <n v="992"/>
    <s v="Morrow Inc"/>
    <s v="Networked global migration"/>
    <n v="3100"/>
    <n v="13223"/>
    <n v="4.2654838709677421"/>
    <x v="1"/>
    <n v="132"/>
    <n v="100.17424242424242"/>
    <x v="1"/>
    <s v="USD"/>
    <n v="1525669200"/>
    <n v="1526878800"/>
    <x v="871"/>
    <d v="2018-05-21T05:00:00"/>
    <x v="5"/>
  </r>
  <r>
    <n v="993"/>
    <s v="Erickson-Rogers"/>
    <s v="De-engineered even-keeled definition"/>
    <n v="9800"/>
    <n v="7608"/>
    <n v="0.77632653061224488"/>
    <x v="3"/>
    <n v="75"/>
    <n v="101.44"/>
    <x v="6"/>
    <s v="EUR"/>
    <n v="1450936800"/>
    <n v="1452405600"/>
    <x v="872"/>
    <d v="2016-01-10T06:00:00"/>
    <x v="4"/>
  </r>
  <r>
    <n v="994"/>
    <s v="Leach, Rich and Price"/>
    <s v="Implemented bi-directional flexibility"/>
    <n v="141100"/>
    <n v="74073"/>
    <n v="0.52496810772501767"/>
    <x v="0"/>
    <n v="842"/>
    <n v="87.972684085510693"/>
    <x v="1"/>
    <s v="USD"/>
    <n v="1413522000"/>
    <n v="1414040400"/>
    <x v="873"/>
    <d v="2014-10-23T05:00:00"/>
    <x v="6"/>
  </r>
  <r>
    <n v="995"/>
    <s v="Manning-Hamilton"/>
    <s v="Vision-oriented scalable definition"/>
    <n v="97300"/>
    <n v="153216"/>
    <n v="1.5746762589928058"/>
    <x v="1"/>
    <n v="2043"/>
    <n v="74.995594713656388"/>
    <x v="1"/>
    <s v="USD"/>
    <n v="1541307600"/>
    <n v="1543816800"/>
    <x v="874"/>
    <d v="2018-12-03T06:00:00"/>
    <x v="2"/>
  </r>
  <r>
    <n v="996"/>
    <s v="Butler LLC"/>
    <s v="Future-proofed upward-trending migration"/>
    <n v="6600"/>
    <n v="4814"/>
    <n v="0.72939393939393937"/>
    <x v="0"/>
    <n v="112"/>
    <n v="42.982142857142854"/>
    <x v="1"/>
    <s v="USD"/>
    <n v="1357106400"/>
    <n v="1359698400"/>
    <x v="875"/>
    <d v="2013-02-01T06:00:00"/>
    <x v="3"/>
  </r>
  <r>
    <n v="997"/>
    <s v="Ball LLC"/>
    <s v="Right-sized full-range throughput"/>
    <n v="7600"/>
    <n v="4603"/>
    <n v="0.60565789473684206"/>
    <x v="3"/>
    <n v="139"/>
    <n v="33.115107913669064"/>
    <x v="6"/>
    <s v="EUR"/>
    <n v="1390197600"/>
    <n v="1390629600"/>
    <x v="876"/>
    <d v="2014-01-25T06:00:00"/>
    <x v="5"/>
  </r>
  <r>
    <n v="998"/>
    <s v="Taylor, Santiago and Flores"/>
    <s v="Polarized composite customer loyalty"/>
    <n v="66600"/>
    <n v="37823"/>
    <n v="0.5679129129129129"/>
    <x v="0"/>
    <n v="374"/>
    <n v="101.13101604278074"/>
    <x v="1"/>
    <s v="USD"/>
    <n v="1265868000"/>
    <n v="1267077600"/>
    <x v="877"/>
    <d v="2010-02-25T06:00:00"/>
    <x v="4"/>
  </r>
  <r>
    <n v="999"/>
    <s v="Hernandez, Norton and Kelley"/>
    <s v="Expanded eco-centric policy"/>
    <n v="111100"/>
    <n v="62819"/>
    <n v="0.56542754275427543"/>
    <x v="3"/>
    <n v="1122"/>
    <n v="55.98841354723708"/>
    <x v="1"/>
    <s v="USD"/>
    <n v="1467176400"/>
    <n v="1467781200"/>
    <x v="878"/>
    <d v="2016-07-06T05:00:00"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0"/>
    <s v="Baldwin, Riley and Jackson"/>
    <s v="Pre-emptive tertiary standardization"/>
    <n v="100"/>
    <n v="0"/>
    <n v="0"/>
    <x v="0"/>
    <n v="0"/>
    <n v="0"/>
    <x v="0"/>
    <s v="CAD"/>
    <n v="1448690400"/>
    <n v="1450159200"/>
    <x v="0"/>
    <d v="2015-12-15T06:00:00"/>
    <s v="Sat"/>
    <x v="0"/>
    <b v="0"/>
    <b v="0"/>
    <s v="food/food trucks"/>
    <x v="0"/>
    <x v="0"/>
  </r>
  <r>
    <n v="1"/>
    <s v="Odom Inc"/>
    <s v="Managed bottom-line architecture"/>
    <n v="1400"/>
    <n v="14560"/>
    <n v="10.4"/>
    <x v="1"/>
    <n v="158"/>
    <n v="92.151898734177209"/>
    <x v="1"/>
    <s v="USD"/>
    <n v="1408424400"/>
    <n v="1408597200"/>
    <x v="1"/>
    <d v="2014-08-21T05:00:00"/>
    <s v="Tue"/>
    <x v="1"/>
    <b v="0"/>
    <b v="1"/>
    <s v="music/rock"/>
    <x v="1"/>
    <x v="1"/>
  </r>
  <r>
    <n v="2"/>
    <s v="Melton, Robinson and Fritz"/>
    <s v="Function-based leadingedge pricing structure"/>
    <n v="108400"/>
    <n v="142523"/>
    <n v="1.31"/>
    <x v="1"/>
    <n v="1425"/>
    <n v="100.01614035087719"/>
    <x v="2"/>
    <s v="AUD"/>
    <n v="1384668000"/>
    <n v="1384840800"/>
    <x v="2"/>
    <d v="2013-11-19T06:00:00"/>
    <s v="Sun"/>
    <x v="1"/>
    <b v="0"/>
    <b v="0"/>
    <s v="technology/web"/>
    <x v="2"/>
    <x v="2"/>
  </r>
  <r>
    <n v="3"/>
    <s v="Mcdonald, Gonzalez and Ross"/>
    <s v="Vision-oriented fresh-thinking conglomeration"/>
    <n v="4200"/>
    <n v="2477"/>
    <n v="0.58976190476190471"/>
    <x v="0"/>
    <n v="24"/>
    <n v="103.20833333333333"/>
    <x v="1"/>
    <s v="USD"/>
    <n v="1565499600"/>
    <n v="1568955600"/>
    <x v="3"/>
    <d v="2019-09-20T05:00:00"/>
    <s v="Sun"/>
    <x v="2"/>
    <b v="0"/>
    <b v="0"/>
    <s v="music/rock"/>
    <x v="1"/>
    <x v="1"/>
  </r>
  <r>
    <n v="4"/>
    <s v="Larson-Little"/>
    <s v="Proactive foreground core"/>
    <n v="7600"/>
    <n v="5265"/>
    <n v="0.69276315789473686"/>
    <x v="0"/>
    <n v="53"/>
    <n v="99.339622641509436"/>
    <x v="1"/>
    <s v="USD"/>
    <n v="1547964000"/>
    <n v="1548309600"/>
    <x v="4"/>
    <d v="2019-01-24T06:00:00"/>
    <s v="Sun"/>
    <x v="3"/>
    <b v="0"/>
    <b v="0"/>
    <s v="theater/plays"/>
    <x v="3"/>
    <x v="3"/>
  </r>
  <r>
    <n v="5"/>
    <s v="Harris Group"/>
    <s v="Open-source optimizing database"/>
    <n v="7600"/>
    <n v="13195"/>
    <n v="1.7361842105263159"/>
    <x v="1"/>
    <n v="174"/>
    <n v="75.833333333333329"/>
    <x v="3"/>
    <s v="DKK"/>
    <n v="1346130000"/>
    <n v="1347080400"/>
    <x v="5"/>
    <d v="2012-09-08T05:00:00"/>
    <s v="Tue"/>
    <x v="4"/>
    <b v="0"/>
    <b v="0"/>
    <s v="theater/plays"/>
    <x v="3"/>
    <x v="3"/>
  </r>
  <r>
    <n v="6"/>
    <s v="Ortiz, Coleman and Mitchell"/>
    <s v="Operative upward-trending algorithm"/>
    <n v="5200"/>
    <n v="1090"/>
    <n v="0.20961538461538462"/>
    <x v="0"/>
    <n v="18"/>
    <n v="60.555555555555557"/>
    <x v="4"/>
    <s v="GBP"/>
    <n v="1505278800"/>
    <n v="1505365200"/>
    <x v="6"/>
    <d v="2017-09-14T05:00:00"/>
    <s v="Wed"/>
    <x v="5"/>
    <b v="0"/>
    <b v="0"/>
    <s v="film &amp; video/documentary"/>
    <x v="4"/>
    <x v="4"/>
  </r>
  <r>
    <n v="7"/>
    <s v="Carter-Guzman"/>
    <s v="Centralized cohesive challenge"/>
    <n v="4500"/>
    <n v="14741"/>
    <n v="3.2757777777777779"/>
    <x v="1"/>
    <n v="227"/>
    <n v="64.93832599118943"/>
    <x v="3"/>
    <s v="DKK"/>
    <n v="1439442000"/>
    <n v="1439614800"/>
    <x v="7"/>
    <d v="2015-08-15T05:00:00"/>
    <s v="Thu"/>
    <x v="1"/>
    <b v="0"/>
    <b v="0"/>
    <s v="theater/plays"/>
    <x v="3"/>
    <x v="3"/>
  </r>
  <r>
    <n v="8"/>
    <s v="Nunez-Richards"/>
    <s v="Exclusive attitude-oriented intranet"/>
    <n v="110100"/>
    <n v="21946"/>
    <n v="0.19932788374205268"/>
    <x v="2"/>
    <n v="708"/>
    <n v="30.997175141242938"/>
    <x v="3"/>
    <s v="DKK"/>
    <n v="1281330000"/>
    <n v="1281502800"/>
    <x v="8"/>
    <d v="2010-08-11T05:00:00"/>
    <s v="Mon"/>
    <x v="1"/>
    <b v="0"/>
    <b v="0"/>
    <s v="theater/plays"/>
    <x v="3"/>
    <x v="3"/>
  </r>
  <r>
    <n v="9"/>
    <s v="Rangel, Holt and Jones"/>
    <s v="Open-source fresh-thinking model"/>
    <n v="6200"/>
    <n v="3208"/>
    <n v="0.51741935483870971"/>
    <x v="0"/>
    <n v="44"/>
    <n v="72.909090909090907"/>
    <x v="1"/>
    <s v="USD"/>
    <n v="1379566800"/>
    <n v="1383804000"/>
    <x v="9"/>
    <d v="2013-11-07T06:00:00"/>
    <s v="Thu"/>
    <x v="6"/>
    <b v="0"/>
    <b v="0"/>
    <s v="music/electric music"/>
    <x v="1"/>
    <x v="5"/>
  </r>
  <r>
    <n v="10"/>
    <s v="Green Ltd"/>
    <s v="Monitored empowering installation"/>
    <n v="5200"/>
    <n v="13838"/>
    <n v="2.6611538461538462"/>
    <x v="1"/>
    <n v="220"/>
    <n v="62.9"/>
    <x v="1"/>
    <s v="USD"/>
    <n v="1281762000"/>
    <n v="1285909200"/>
    <x v="10"/>
    <d v="2010-10-01T05:00:00"/>
    <s v="Sat"/>
    <x v="7"/>
    <b v="0"/>
    <b v="0"/>
    <s v="film &amp; video/drama"/>
    <x v="4"/>
    <x v="6"/>
  </r>
  <r>
    <n v="11"/>
    <s v="Perez, Johnson and Gardner"/>
    <s v="Grass-roots zero administration system engine"/>
    <n v="6300"/>
    <n v="3030"/>
    <n v="0.48095238095238096"/>
    <x v="0"/>
    <n v="27"/>
    <n v="112.22222222222223"/>
    <x v="1"/>
    <s v="USD"/>
    <n v="1285045200"/>
    <n v="1285563600"/>
    <x v="11"/>
    <d v="2010-09-27T05:00:00"/>
    <s v="Tue"/>
    <x v="8"/>
    <b v="0"/>
    <b v="1"/>
    <s v="theater/plays"/>
    <x v="3"/>
    <x v="3"/>
  </r>
  <r>
    <n v="12"/>
    <s v="Kim Ltd"/>
    <s v="Assimilated hybrid intranet"/>
    <n v="6300"/>
    <n v="5629"/>
    <n v="0.89349206349206345"/>
    <x v="0"/>
    <n v="55"/>
    <n v="102.34545454545454"/>
    <x v="1"/>
    <s v="USD"/>
    <n v="1571720400"/>
    <n v="1572411600"/>
    <x v="12"/>
    <d v="2019-10-30T05:00:00"/>
    <s v="Tue"/>
    <x v="9"/>
    <b v="0"/>
    <b v="0"/>
    <s v="film &amp; video/drama"/>
    <x v="4"/>
    <x v="6"/>
  </r>
  <r>
    <n v="13"/>
    <s v="Walker, Taylor and Coleman"/>
    <s v="Multi-tiered directional open architecture"/>
    <n v="4200"/>
    <n v="10295"/>
    <n v="2.4511904761904764"/>
    <x v="1"/>
    <n v="98"/>
    <n v="105.05102040816327"/>
    <x v="1"/>
    <s v="USD"/>
    <n v="1465621200"/>
    <n v="1466658000"/>
    <x v="13"/>
    <d v="2016-06-23T05:00:00"/>
    <s v="Sat"/>
    <x v="10"/>
    <b v="0"/>
    <b v="0"/>
    <s v="music/indie rock"/>
    <x v="1"/>
    <x v="7"/>
  </r>
  <r>
    <n v="14"/>
    <s v="Rodriguez, Rose and Stewart"/>
    <s v="Cloned directional synergy"/>
    <n v="28200"/>
    <n v="18829"/>
    <n v="0.66769503546099296"/>
    <x v="0"/>
    <n v="200"/>
    <n v="94.144999999999996"/>
    <x v="1"/>
    <s v="USD"/>
    <n v="1331013600"/>
    <n v="1333342800"/>
    <x v="14"/>
    <d v="2012-04-02T05:00:00"/>
    <s v="Tue"/>
    <x v="11"/>
    <b v="0"/>
    <b v="0"/>
    <s v="music/indie rock"/>
    <x v="1"/>
    <x v="7"/>
  </r>
  <r>
    <n v="15"/>
    <s v="Wright, Hunt and Rowe"/>
    <s v="Extended eco-centric pricing structure"/>
    <n v="81200"/>
    <n v="38414"/>
    <n v="0.47307881773399013"/>
    <x v="0"/>
    <n v="452"/>
    <n v="84.986725663716811"/>
    <x v="1"/>
    <s v="USD"/>
    <n v="1575957600"/>
    <n v="1576303200"/>
    <x v="15"/>
    <d v="2019-12-14T06:00:00"/>
    <s v="Tue"/>
    <x v="3"/>
    <b v="0"/>
    <b v="0"/>
    <s v="technology/wearables"/>
    <x v="2"/>
    <x v="8"/>
  </r>
  <r>
    <n v="16"/>
    <s v="Hines Inc"/>
    <s v="Cross-platform systemic adapter"/>
    <n v="1700"/>
    <n v="11041"/>
    <n v="6.4947058823529416"/>
    <x v="1"/>
    <n v="100"/>
    <n v="110.41"/>
    <x v="1"/>
    <s v="USD"/>
    <n v="1390370400"/>
    <n v="1392271200"/>
    <x v="16"/>
    <d v="2014-02-13T06:00:00"/>
    <s v="Wed"/>
    <x v="12"/>
    <b v="0"/>
    <b v="0"/>
    <s v="publishing/nonfiction"/>
    <x v="5"/>
    <x v="9"/>
  </r>
  <r>
    <n v="17"/>
    <s v="Cochran-Nguyen"/>
    <s v="Seamless 4thgeneration methodology"/>
    <n v="84600"/>
    <n v="134845"/>
    <n v="1.5939125295508274"/>
    <x v="1"/>
    <n v="1249"/>
    <n v="107.96236989591674"/>
    <x v="1"/>
    <s v="USD"/>
    <n v="1294812000"/>
    <n v="1294898400"/>
    <x v="17"/>
    <d v="2011-01-13T06:00:00"/>
    <s v="Wed"/>
    <x v="5"/>
    <b v="0"/>
    <b v="0"/>
    <s v="film &amp; video/animation"/>
    <x v="4"/>
    <x v="10"/>
  </r>
  <r>
    <n v="18"/>
    <s v="Johnson-Gould"/>
    <s v="Exclusive needs-based adapter"/>
    <n v="9100"/>
    <n v="6089"/>
    <n v="0.66912087912087914"/>
    <x v="3"/>
    <n v="135"/>
    <n v="45.103703703703701"/>
    <x v="1"/>
    <s v="USD"/>
    <n v="1536382800"/>
    <n v="1537074000"/>
    <x v="18"/>
    <d v="2018-09-16T05:00:00"/>
    <s v="Sat"/>
    <x v="9"/>
    <b v="0"/>
    <b v="0"/>
    <s v="theater/plays"/>
    <x v="3"/>
    <x v="3"/>
  </r>
  <r>
    <n v="19"/>
    <s v="Perez-Hess"/>
    <s v="Down-sized cohesive archive"/>
    <n v="62500"/>
    <n v="30331"/>
    <n v="0.48529600000000001"/>
    <x v="0"/>
    <n v="674"/>
    <n v="45.001483679525222"/>
    <x v="1"/>
    <s v="USD"/>
    <n v="1551679200"/>
    <n v="1553490000"/>
    <x v="19"/>
    <d v="2019-03-25T05:00:00"/>
    <s v="Mon"/>
    <x v="13"/>
    <b v="0"/>
    <b v="1"/>
    <s v="theater/plays"/>
    <x v="3"/>
    <x v="3"/>
  </r>
  <r>
    <n v="20"/>
    <s v="Reeves, Thompson and Richardson"/>
    <s v="Proactive composite alliance"/>
    <n v="131800"/>
    <n v="147936"/>
    <n v="1.1224279210925645"/>
    <x v="1"/>
    <n v="1396"/>
    <n v="105.97134670487107"/>
    <x v="1"/>
    <s v="USD"/>
    <n v="1406523600"/>
    <n v="1406523600"/>
    <x v="20"/>
    <d v="2014-07-28T05:00:00"/>
    <s v="Mon"/>
    <x v="14"/>
    <b v="0"/>
    <b v="0"/>
    <s v="film &amp; video/drama"/>
    <x v="4"/>
    <x v="6"/>
  </r>
  <r>
    <n v="21"/>
    <s v="Simmons-Reynolds"/>
    <s v="Re-engineered intangible definition"/>
    <n v="94000"/>
    <n v="38533"/>
    <n v="0.40992553191489361"/>
    <x v="0"/>
    <n v="558"/>
    <n v="69.055555555555557"/>
    <x v="1"/>
    <s v="USD"/>
    <n v="1313384400"/>
    <n v="1316322000"/>
    <x v="21"/>
    <d v="2011-09-18T05:00:00"/>
    <s v="Mon"/>
    <x v="15"/>
    <b v="0"/>
    <b v="0"/>
    <s v="theater/plays"/>
    <x v="3"/>
    <x v="3"/>
  </r>
  <r>
    <n v="22"/>
    <s v="Collier Inc"/>
    <s v="Enhanced dynamic definition"/>
    <n v="59100"/>
    <n v="75690"/>
    <n v="1.2807106598984772"/>
    <x v="1"/>
    <n v="890"/>
    <n v="85.044943820224717"/>
    <x v="1"/>
    <s v="USD"/>
    <n v="1522731600"/>
    <n v="1524027600"/>
    <x v="22"/>
    <d v="2018-04-18T05:00:00"/>
    <s v="Tue"/>
    <x v="16"/>
    <b v="0"/>
    <b v="0"/>
    <s v="theater/plays"/>
    <x v="3"/>
    <x v="3"/>
  </r>
  <r>
    <n v="23"/>
    <s v="Gray-Jenkins"/>
    <s v="Devolved next generation adapter"/>
    <n v="4500"/>
    <n v="14942"/>
    <n v="3.3204444444444445"/>
    <x v="1"/>
    <n v="142"/>
    <n v="105.22535211267606"/>
    <x v="4"/>
    <s v="GBP"/>
    <n v="1550124000"/>
    <n v="1554699600"/>
    <x v="23"/>
    <d v="2019-04-08T05:00:00"/>
    <s v="Thu"/>
    <x v="17"/>
    <b v="0"/>
    <b v="0"/>
    <s v="film &amp; video/documentary"/>
    <x v="4"/>
    <x v="4"/>
  </r>
  <r>
    <n v="24"/>
    <s v="Scott, Wilson and Martin"/>
    <s v="Cross-platform intermediate frame"/>
    <n v="92400"/>
    <n v="104257"/>
    <n v="1.1283225108225108"/>
    <x v="1"/>
    <n v="2673"/>
    <n v="39.003741114852225"/>
    <x v="1"/>
    <s v="USD"/>
    <n v="1403326800"/>
    <n v="1403499600"/>
    <x v="24"/>
    <d v="2014-06-23T05:00:00"/>
    <s v="Sat"/>
    <x v="1"/>
    <b v="0"/>
    <b v="0"/>
    <s v="technology/wearables"/>
    <x v="2"/>
    <x v="8"/>
  </r>
  <r>
    <n v="25"/>
    <s v="Caldwell, Velazquez and Wilson"/>
    <s v="Monitored impactful analyzer"/>
    <n v="5500"/>
    <n v="11904"/>
    <n v="2.1643636363636363"/>
    <x v="1"/>
    <n v="163"/>
    <n v="73.030674846625772"/>
    <x v="1"/>
    <s v="USD"/>
    <n v="1305694800"/>
    <n v="1307422800"/>
    <x v="25"/>
    <d v="2011-06-07T05:00:00"/>
    <s v="Wed"/>
    <x v="18"/>
    <b v="0"/>
    <b v="1"/>
    <s v="games/video games"/>
    <x v="6"/>
    <x v="11"/>
  </r>
  <r>
    <n v="26"/>
    <s v="Spencer-Bates"/>
    <s v="Optional responsive customer loyalty"/>
    <n v="107500"/>
    <n v="51814"/>
    <n v="0.4819906976744186"/>
    <x v="3"/>
    <n v="1480"/>
    <n v="35.009459459459457"/>
    <x v="1"/>
    <s v="USD"/>
    <n v="1533013200"/>
    <n v="1535346000"/>
    <x v="26"/>
    <d v="2018-08-27T05:00:00"/>
    <s v="Tue"/>
    <x v="11"/>
    <b v="0"/>
    <b v="0"/>
    <s v="theater/plays"/>
    <x v="3"/>
    <x v="3"/>
  </r>
  <r>
    <n v="27"/>
    <s v="Best, Carr and Williams"/>
    <s v="Diverse transitional migration"/>
    <n v="2000"/>
    <n v="1599"/>
    <n v="0.79949999999999999"/>
    <x v="0"/>
    <n v="15"/>
    <n v="106.6"/>
    <x v="1"/>
    <s v="USD"/>
    <n v="1443848400"/>
    <n v="1444539600"/>
    <x v="27"/>
    <d v="2015-10-11T05:00:00"/>
    <s v="Sat"/>
    <x v="9"/>
    <b v="0"/>
    <b v="0"/>
    <s v="music/rock"/>
    <x v="1"/>
    <x v="1"/>
  </r>
  <r>
    <n v="28"/>
    <s v="Campbell, Brown and Powell"/>
    <s v="Synchronized global task-force"/>
    <n v="130800"/>
    <n v="137635"/>
    <n v="1.0522553516819573"/>
    <x v="1"/>
    <n v="2220"/>
    <n v="61.997747747747745"/>
    <x v="1"/>
    <s v="USD"/>
    <n v="1265695200"/>
    <n v="1267682400"/>
    <x v="28"/>
    <d v="2010-03-04T06:00:00"/>
    <s v="Tue"/>
    <x v="19"/>
    <b v="0"/>
    <b v="1"/>
    <s v="theater/plays"/>
    <x v="3"/>
    <x v="3"/>
  </r>
  <r>
    <n v="29"/>
    <s v="Johnson, Parker and Haynes"/>
    <s v="Focused 6thgeneration forecast"/>
    <n v="45900"/>
    <n v="150965"/>
    <n v="3.2889978213507627"/>
    <x v="1"/>
    <n v="1606"/>
    <n v="94.000622665006233"/>
    <x v="5"/>
    <s v="CHF"/>
    <n v="1532062800"/>
    <n v="1535518800"/>
    <x v="29"/>
    <d v="2018-08-29T05:00:00"/>
    <s v="Fri"/>
    <x v="2"/>
    <b v="0"/>
    <b v="0"/>
    <s v="film &amp; video/shorts"/>
    <x v="4"/>
    <x v="12"/>
  </r>
  <r>
    <n v="30"/>
    <s v="Clark-Cooke"/>
    <s v="Down-sized analyzing challenge"/>
    <n v="9000"/>
    <n v="14455"/>
    <n v="1.606111111111111"/>
    <x v="1"/>
    <n v="129"/>
    <n v="112.05426356589147"/>
    <x v="1"/>
    <s v="USD"/>
    <n v="1558674000"/>
    <n v="1559106000"/>
    <x v="30"/>
    <d v="2019-05-29T05:00:00"/>
    <s v="Fri"/>
    <x v="20"/>
    <b v="0"/>
    <b v="0"/>
    <s v="film &amp; video/animation"/>
    <x v="4"/>
    <x v="10"/>
  </r>
  <r>
    <n v="31"/>
    <s v="Schroeder Ltd"/>
    <s v="Progressive needs-based focus group"/>
    <n v="3500"/>
    <n v="10850"/>
    <n v="3.1"/>
    <x v="1"/>
    <n v="226"/>
    <n v="48.008849557522126"/>
    <x v="4"/>
    <s v="GBP"/>
    <n v="1451973600"/>
    <n v="1454392800"/>
    <x v="31"/>
    <d v="2016-02-02T06:00:00"/>
    <s v="Tue"/>
    <x v="21"/>
    <b v="0"/>
    <b v="0"/>
    <s v="games/video games"/>
    <x v="6"/>
    <x v="11"/>
  </r>
  <r>
    <n v="32"/>
    <s v="Jackson PLC"/>
    <s v="Ergonomic 6thgeneration success"/>
    <n v="101000"/>
    <n v="87676"/>
    <n v="0.86807920792079207"/>
    <x v="0"/>
    <n v="2307"/>
    <n v="38.004334633723452"/>
    <x v="6"/>
    <s v="EUR"/>
    <n v="1515564000"/>
    <n v="1517896800"/>
    <x v="32"/>
    <d v="2018-02-06T06:00:00"/>
    <s v="Wed"/>
    <x v="11"/>
    <b v="0"/>
    <b v="0"/>
    <s v="film &amp; video/documentary"/>
    <x v="4"/>
    <x v="4"/>
  </r>
  <r>
    <n v="33"/>
    <s v="Blair, Collins and Carter"/>
    <s v="Exclusive interactive approach"/>
    <n v="50200"/>
    <n v="189666"/>
    <n v="3.7782071713147412"/>
    <x v="1"/>
    <n v="5419"/>
    <n v="35.000184535892231"/>
    <x v="1"/>
    <s v="USD"/>
    <n v="1412485200"/>
    <n v="1415685600"/>
    <x v="33"/>
    <d v="2014-11-11T06:00:00"/>
    <s v="Sun"/>
    <x v="22"/>
    <b v="0"/>
    <b v="0"/>
    <s v="theater/plays"/>
    <x v="3"/>
    <x v="3"/>
  </r>
  <r>
    <n v="34"/>
    <s v="Maldonado and Sons"/>
    <s v="Reverse-engineered asynchronous archive"/>
    <n v="9300"/>
    <n v="14025"/>
    <n v="1.5080645161290323"/>
    <x v="1"/>
    <n v="165"/>
    <n v="85"/>
    <x v="1"/>
    <s v="USD"/>
    <n v="1490245200"/>
    <n v="1490677200"/>
    <x v="34"/>
    <d v="2017-03-28T05:00:00"/>
    <s v="Thu"/>
    <x v="20"/>
    <b v="0"/>
    <b v="0"/>
    <s v="film &amp; video/documentary"/>
    <x v="4"/>
    <x v="4"/>
  </r>
  <r>
    <n v="35"/>
    <s v="Mitchell and Sons"/>
    <s v="Synergized intangible challenge"/>
    <n v="125500"/>
    <n v="188628"/>
    <n v="1.5030119521912351"/>
    <x v="1"/>
    <n v="1965"/>
    <n v="95.993893129770996"/>
    <x v="3"/>
    <s v="DKK"/>
    <n v="1547877600"/>
    <n v="1551506400"/>
    <x v="35"/>
    <d v="2019-03-02T06:00:00"/>
    <s v="Sat"/>
    <x v="23"/>
    <b v="0"/>
    <b v="1"/>
    <s v="film &amp; video/drama"/>
    <x v="4"/>
    <x v="6"/>
  </r>
  <r>
    <n v="36"/>
    <s v="Jackson-Lewis"/>
    <s v="Monitored multi-state encryption"/>
    <n v="700"/>
    <n v="1101"/>
    <n v="1.572857142857143"/>
    <x v="1"/>
    <n v="16"/>
    <n v="68.8125"/>
    <x v="1"/>
    <s v="USD"/>
    <n v="1298700000"/>
    <n v="1300856400"/>
    <x v="36"/>
    <d v="2011-03-23T05:00:00"/>
    <s v="Sat"/>
    <x v="24"/>
    <b v="0"/>
    <b v="0"/>
    <s v="theater/plays"/>
    <x v="3"/>
    <x v="3"/>
  </r>
  <r>
    <n v="37"/>
    <s v="Black, Armstrong and Anderson"/>
    <s v="Profound attitude-oriented functionalities"/>
    <n v="8100"/>
    <n v="11339"/>
    <n v="1.3998765432098765"/>
    <x v="1"/>
    <n v="107"/>
    <n v="105.97196261682242"/>
    <x v="1"/>
    <s v="USD"/>
    <n v="1570338000"/>
    <n v="1573192800"/>
    <x v="37"/>
    <d v="2019-11-08T06:00:00"/>
    <s v="Sun"/>
    <x v="25"/>
    <b v="0"/>
    <b v="1"/>
    <s v="publishing/fiction"/>
    <x v="5"/>
    <x v="13"/>
  </r>
  <r>
    <n v="38"/>
    <s v="Maldonado-Gonzalez"/>
    <s v="Digitized client-driven database"/>
    <n v="3100"/>
    <n v="10085"/>
    <n v="3.2532258064516131"/>
    <x v="1"/>
    <n v="134"/>
    <n v="75.261194029850742"/>
    <x v="1"/>
    <s v="USD"/>
    <n v="1287378000"/>
    <n v="1287810000"/>
    <x v="38"/>
    <d v="2010-10-23T05:00:00"/>
    <s v="Mon"/>
    <x v="20"/>
    <b v="0"/>
    <b v="0"/>
    <s v="photography/photography books"/>
    <x v="7"/>
    <x v="14"/>
  </r>
  <r>
    <n v="39"/>
    <s v="Kim-Rice"/>
    <s v="Organized bi-directional function"/>
    <n v="9900"/>
    <n v="5027"/>
    <n v="0.50777777777777777"/>
    <x v="0"/>
    <n v="88"/>
    <n v="57.125"/>
    <x v="3"/>
    <s v="DKK"/>
    <n v="1361772000"/>
    <n v="1362978000"/>
    <x v="39"/>
    <d v="2013-03-11T05:00:00"/>
    <s v="Mon"/>
    <x v="26"/>
    <b v="0"/>
    <b v="0"/>
    <s v="theater/plays"/>
    <x v="3"/>
    <x v="3"/>
  </r>
  <r>
    <n v="40"/>
    <s v="Garcia, Garcia and Lopez"/>
    <s v="Reduced stable middleware"/>
    <n v="8800"/>
    <n v="14878"/>
    <n v="1.6906818181818182"/>
    <x v="1"/>
    <n v="198"/>
    <n v="75.141414141414145"/>
    <x v="1"/>
    <s v="USD"/>
    <n v="1275714000"/>
    <n v="1277355600"/>
    <x v="40"/>
    <d v="2010-06-24T05:00:00"/>
    <s v="Sat"/>
    <x v="27"/>
    <b v="0"/>
    <b v="1"/>
    <s v="technology/wearables"/>
    <x v="2"/>
    <x v="8"/>
  </r>
  <r>
    <n v="41"/>
    <s v="Watts Group"/>
    <s v="Universal 5thgeneration neural-net"/>
    <n v="5600"/>
    <n v="11924"/>
    <n v="2.1292857142857144"/>
    <x v="1"/>
    <n v="111"/>
    <n v="107.42342342342343"/>
    <x v="6"/>
    <s v="EUR"/>
    <n v="1346734800"/>
    <n v="1348981200"/>
    <x v="41"/>
    <d v="2012-09-30T05:00:00"/>
    <s v="Tue"/>
    <x v="28"/>
    <b v="0"/>
    <b v="1"/>
    <s v="music/rock"/>
    <x v="1"/>
    <x v="1"/>
  </r>
  <r>
    <n v="42"/>
    <s v="Werner-Bryant"/>
    <s v="Virtual uniform frame"/>
    <n v="1800"/>
    <n v="7991"/>
    <n v="4.4394444444444447"/>
    <x v="1"/>
    <n v="222"/>
    <n v="35.995495495495497"/>
    <x v="1"/>
    <s v="USD"/>
    <n v="1309755600"/>
    <n v="1310533200"/>
    <x v="42"/>
    <d v="2011-07-13T05:00:00"/>
    <s v="Mon"/>
    <x v="29"/>
    <b v="0"/>
    <b v="0"/>
    <s v="food/food trucks"/>
    <x v="0"/>
    <x v="0"/>
  </r>
  <r>
    <n v="43"/>
    <s v="Schmitt-Mendoza"/>
    <s v="Profound explicit paradigm"/>
    <n v="90200"/>
    <n v="167717"/>
    <n v="1.859390243902439"/>
    <x v="1"/>
    <n v="6212"/>
    <n v="26.998873148744366"/>
    <x v="1"/>
    <s v="USD"/>
    <n v="1406178000"/>
    <n v="1407560400"/>
    <x v="43"/>
    <d v="2014-08-09T05:00:00"/>
    <s v="Thu"/>
    <x v="30"/>
    <b v="0"/>
    <b v="0"/>
    <s v="publishing/radio &amp; podcasts"/>
    <x v="5"/>
    <x v="15"/>
  </r>
  <r>
    <n v="44"/>
    <s v="Reid-Mccullough"/>
    <s v="Visionary real-time groupware"/>
    <n v="1600"/>
    <n v="10541"/>
    <n v="6.5881249999999998"/>
    <x v="1"/>
    <n v="98"/>
    <n v="107.56122448979592"/>
    <x v="3"/>
    <s v="DKK"/>
    <n v="1552798800"/>
    <n v="1552885200"/>
    <x v="44"/>
    <d v="2019-03-18T05:00:00"/>
    <s v="Sun"/>
    <x v="5"/>
    <b v="0"/>
    <b v="0"/>
    <s v="publishing/fiction"/>
    <x v="5"/>
    <x v="13"/>
  </r>
  <r>
    <n v="45"/>
    <s v="Woods-Clark"/>
    <s v="Networked tertiary Graphical User Interface"/>
    <n v="9500"/>
    <n v="4530"/>
    <n v="0.4768421052631579"/>
    <x v="0"/>
    <n v="48"/>
    <n v="94.375"/>
    <x v="1"/>
    <s v="USD"/>
    <n v="1478062800"/>
    <n v="1479362400"/>
    <x v="45"/>
    <d v="2016-11-17T06:00:00"/>
    <s v="Wed"/>
    <x v="16"/>
    <b v="0"/>
    <b v="1"/>
    <s v="theater/plays"/>
    <x v="3"/>
    <x v="3"/>
  </r>
  <r>
    <n v="46"/>
    <s v="Vaughn, Hunt and Caldwell"/>
    <s v="Virtual grid-enabled task-force"/>
    <n v="3700"/>
    <n v="4247"/>
    <n v="1.1478378378378378"/>
    <x v="1"/>
    <n v="92"/>
    <n v="46.163043478260867"/>
    <x v="1"/>
    <s v="USD"/>
    <n v="1278565200"/>
    <n v="1280552400"/>
    <x v="46"/>
    <d v="2010-07-31T05:00:00"/>
    <s v="Thu"/>
    <x v="19"/>
    <b v="0"/>
    <b v="0"/>
    <s v="music/rock"/>
    <x v="1"/>
    <x v="1"/>
  </r>
  <r>
    <n v="47"/>
    <s v="Bennett and Sons"/>
    <s v="Function-based multi-state software"/>
    <n v="1500"/>
    <n v="7129"/>
    <n v="4.7526666666666664"/>
    <x v="1"/>
    <n v="149"/>
    <n v="47.845637583892618"/>
    <x v="1"/>
    <s v="USD"/>
    <n v="1396069200"/>
    <n v="1398661200"/>
    <x v="47"/>
    <d v="2014-04-28T05:00:00"/>
    <s v="Sat"/>
    <x v="31"/>
    <b v="0"/>
    <b v="0"/>
    <s v="theater/plays"/>
    <x v="3"/>
    <x v="3"/>
  </r>
  <r>
    <n v="48"/>
    <s v="Lamb Inc"/>
    <s v="Optimized leadingedge concept"/>
    <n v="33300"/>
    <n v="128862"/>
    <n v="3.86972972972973"/>
    <x v="1"/>
    <n v="2431"/>
    <n v="53.007815713698065"/>
    <x v="1"/>
    <s v="USD"/>
    <n v="1435208400"/>
    <n v="1436245200"/>
    <x v="48"/>
    <d v="2015-07-07T05:00:00"/>
    <s v="Thu"/>
    <x v="10"/>
    <b v="0"/>
    <b v="0"/>
    <s v="theater/plays"/>
    <x v="3"/>
    <x v="3"/>
  </r>
  <r>
    <n v="49"/>
    <s v="Casey-Kelly"/>
    <s v="Sharable holistic interface"/>
    <n v="7200"/>
    <n v="13653"/>
    <n v="1.89625"/>
    <x v="1"/>
    <n v="303"/>
    <n v="45.059405940594061"/>
    <x v="1"/>
    <s v="USD"/>
    <n v="1571547600"/>
    <n v="1575439200"/>
    <x v="49"/>
    <d v="2019-12-04T06:00:00"/>
    <s v="Sun"/>
    <x v="32"/>
    <b v="0"/>
    <b v="0"/>
    <s v="music/rock"/>
    <x v="1"/>
    <x v="1"/>
  </r>
  <r>
    <n v="50"/>
    <s v="Jones, Taylor and Moore"/>
    <s v="Down-sized system-worthy secured line"/>
    <n v="100"/>
    <n v="2"/>
    <n v="0.02"/>
    <x v="0"/>
    <n v="1"/>
    <n v="2"/>
    <x v="6"/>
    <s v="EUR"/>
    <n v="1375333200"/>
    <n v="1377752400"/>
    <x v="50"/>
    <d v="2013-08-29T05:00:00"/>
    <s v="Thu"/>
    <x v="21"/>
    <b v="0"/>
    <b v="0"/>
    <s v="music/metal"/>
    <x v="1"/>
    <x v="16"/>
  </r>
  <r>
    <n v="51"/>
    <s v="Bradshaw, Gill and Donovan"/>
    <s v="Inverse secondary infrastructure"/>
    <n v="158100"/>
    <n v="145243"/>
    <n v="0.91867805186590767"/>
    <x v="0"/>
    <n v="1467"/>
    <n v="99.006816632583508"/>
    <x v="4"/>
    <s v="GBP"/>
    <n v="1332824400"/>
    <n v="1334206800"/>
    <x v="51"/>
    <d v="2012-04-12T05:00:00"/>
    <s v="Tue"/>
    <x v="30"/>
    <b v="0"/>
    <b v="1"/>
    <s v="technology/wearables"/>
    <x v="2"/>
    <x v="8"/>
  </r>
  <r>
    <n v="52"/>
    <s v="Hernandez, Rodriguez and Clark"/>
    <s v="Organic foreground leverage"/>
    <n v="7200"/>
    <n v="2459"/>
    <n v="0.34152777777777776"/>
    <x v="0"/>
    <n v="75"/>
    <n v="32.786666666666669"/>
    <x v="1"/>
    <s v="USD"/>
    <n v="1284526800"/>
    <n v="1284872400"/>
    <x v="52"/>
    <d v="2010-09-19T05:00:00"/>
    <s v="Wed"/>
    <x v="3"/>
    <b v="0"/>
    <b v="0"/>
    <s v="theater/plays"/>
    <x v="3"/>
    <x v="3"/>
  </r>
  <r>
    <n v="53"/>
    <s v="Smith-Jones"/>
    <s v="Reverse-engineered static concept"/>
    <n v="8800"/>
    <n v="12356"/>
    <n v="1.4040909090909091"/>
    <x v="1"/>
    <n v="209"/>
    <n v="59.119617224880386"/>
    <x v="1"/>
    <s v="USD"/>
    <n v="1400562000"/>
    <n v="1403931600"/>
    <x v="53"/>
    <d v="2014-06-28T05:00:00"/>
    <s v="Tue"/>
    <x v="33"/>
    <b v="0"/>
    <b v="0"/>
    <s v="film &amp; video/drama"/>
    <x v="4"/>
    <x v="6"/>
  </r>
  <r>
    <n v="54"/>
    <s v="Roy PLC"/>
    <s v="Multi-channeled neutral customer loyalty"/>
    <n v="6000"/>
    <n v="5392"/>
    <n v="0.89866666666666661"/>
    <x v="0"/>
    <n v="120"/>
    <n v="44.93333333333333"/>
    <x v="1"/>
    <s v="USD"/>
    <n v="1520748000"/>
    <n v="1521262800"/>
    <x v="54"/>
    <d v="2018-03-17T05:00:00"/>
    <s v="Sun"/>
    <x v="8"/>
    <b v="0"/>
    <b v="0"/>
    <s v="technology/wearables"/>
    <x v="2"/>
    <x v="8"/>
  </r>
  <r>
    <n v="55"/>
    <s v="Wright, Brooks and Villarreal"/>
    <s v="Reverse-engineered bifurcated strategy"/>
    <n v="6600"/>
    <n v="11746"/>
    <n v="1.7796969696969698"/>
    <x v="1"/>
    <n v="131"/>
    <n v="89.664122137404576"/>
    <x v="1"/>
    <s v="USD"/>
    <n v="1532926800"/>
    <n v="1533358800"/>
    <x v="55"/>
    <d v="2018-08-04T05:00:00"/>
    <s v="Mon"/>
    <x v="20"/>
    <b v="0"/>
    <b v="0"/>
    <s v="music/jazz"/>
    <x v="1"/>
    <x v="17"/>
  </r>
  <r>
    <n v="56"/>
    <s v="Flores, Miller and Johnson"/>
    <s v="Horizontal context-sensitive knowledge user"/>
    <n v="8000"/>
    <n v="11493"/>
    <n v="1.436625"/>
    <x v="1"/>
    <n v="164"/>
    <n v="70.079268292682926"/>
    <x v="1"/>
    <s v="USD"/>
    <n v="1420869600"/>
    <n v="1421474400"/>
    <x v="56"/>
    <d v="2015-01-17T06:00:00"/>
    <s v="Sat"/>
    <x v="34"/>
    <b v="0"/>
    <b v="0"/>
    <s v="technology/wearables"/>
    <x v="2"/>
    <x v="8"/>
  </r>
  <r>
    <n v="57"/>
    <s v="Bridges, Freeman and Kim"/>
    <s v="Cross-group multi-state task-force"/>
    <n v="2900"/>
    <n v="6243"/>
    <n v="2.1527586206896552"/>
    <x v="1"/>
    <n v="201"/>
    <n v="31.059701492537314"/>
    <x v="1"/>
    <s v="USD"/>
    <n v="1504242000"/>
    <n v="1505278800"/>
    <x v="57"/>
    <d v="2017-09-13T05:00:00"/>
    <s v="Fri"/>
    <x v="10"/>
    <b v="0"/>
    <b v="0"/>
    <s v="games/video games"/>
    <x v="6"/>
    <x v="11"/>
  </r>
  <r>
    <n v="58"/>
    <s v="Anderson-Perez"/>
    <s v="Expanded 3rdgeneration strategy"/>
    <n v="2700"/>
    <n v="6132"/>
    <n v="2.2711111111111113"/>
    <x v="1"/>
    <n v="211"/>
    <n v="29.061611374407583"/>
    <x v="1"/>
    <s v="USD"/>
    <n v="1442811600"/>
    <n v="1443934800"/>
    <x v="58"/>
    <d v="2015-10-04T05:00:00"/>
    <s v="Mon"/>
    <x v="35"/>
    <b v="0"/>
    <b v="0"/>
    <s v="theater/plays"/>
    <x v="3"/>
    <x v="3"/>
  </r>
  <r>
    <n v="59"/>
    <s v="Wright, Fox and Marks"/>
    <s v="Assimilated real-time support"/>
    <n v="1400"/>
    <n v="3851"/>
    <n v="2.7507142857142859"/>
    <x v="1"/>
    <n v="128"/>
    <n v="30.0859375"/>
    <x v="1"/>
    <s v="USD"/>
    <n v="1497243600"/>
    <n v="1498539600"/>
    <x v="59"/>
    <d v="2017-06-27T05:00:00"/>
    <s v="Mon"/>
    <x v="16"/>
    <b v="0"/>
    <b v="1"/>
    <s v="theater/plays"/>
    <x v="3"/>
    <x v="3"/>
  </r>
  <r>
    <n v="60"/>
    <s v="Crawford-Peters"/>
    <s v="User-centric regional database"/>
    <n v="94200"/>
    <n v="135997"/>
    <n v="1.4437048832271762"/>
    <x v="1"/>
    <n v="1600"/>
    <n v="84.998125000000002"/>
    <x v="0"/>
    <s v="CAD"/>
    <n v="1342501200"/>
    <n v="1342760400"/>
    <x v="60"/>
    <d v="2012-07-20T05:00:00"/>
    <s v="Tue"/>
    <x v="36"/>
    <b v="0"/>
    <b v="0"/>
    <s v="theater/plays"/>
    <x v="3"/>
    <x v="3"/>
  </r>
  <r>
    <n v="61"/>
    <s v="Romero-Hoffman"/>
    <s v="Open-source zero administration complexity"/>
    <n v="199200"/>
    <n v="184750"/>
    <n v="0.92745983935742971"/>
    <x v="0"/>
    <n v="2253"/>
    <n v="82.001775410563695"/>
    <x v="0"/>
    <s v="CAD"/>
    <n v="1298268000"/>
    <n v="1301720400"/>
    <x v="61"/>
    <d v="2011-04-02T05:00:00"/>
    <s v="Mon"/>
    <x v="2"/>
    <b v="0"/>
    <b v="0"/>
    <s v="theater/plays"/>
    <x v="3"/>
    <x v="3"/>
  </r>
  <r>
    <n v="62"/>
    <s v="Sparks-West"/>
    <s v="Organized incremental standardization"/>
    <n v="2000"/>
    <n v="14452"/>
    <n v="7.226"/>
    <x v="1"/>
    <n v="249"/>
    <n v="58.040160642570278"/>
    <x v="1"/>
    <s v="USD"/>
    <n v="1433480400"/>
    <n v="1433566800"/>
    <x v="62"/>
    <d v="2015-06-06T05:00:00"/>
    <s v="Fri"/>
    <x v="5"/>
    <b v="0"/>
    <b v="0"/>
    <s v="technology/web"/>
    <x v="2"/>
    <x v="2"/>
  </r>
  <r>
    <n v="63"/>
    <s v="Baker, Morgan and Brown"/>
    <s v="Assimilated didactic open system"/>
    <n v="4700"/>
    <n v="557"/>
    <n v="0.11851063829787234"/>
    <x v="0"/>
    <n v="5"/>
    <n v="111.4"/>
    <x v="1"/>
    <s v="USD"/>
    <n v="1493355600"/>
    <n v="1493874000"/>
    <x v="63"/>
    <d v="2017-05-04T05:00:00"/>
    <s v="Fri"/>
    <x v="8"/>
    <b v="0"/>
    <b v="0"/>
    <s v="theater/plays"/>
    <x v="3"/>
    <x v="3"/>
  </r>
  <r>
    <n v="64"/>
    <s v="Mosley-Gilbert"/>
    <s v="Vision-oriented logistical intranet"/>
    <n v="2800"/>
    <n v="2734"/>
    <n v="0.97642857142857142"/>
    <x v="0"/>
    <n v="38"/>
    <n v="71.94736842105263"/>
    <x v="1"/>
    <s v="USD"/>
    <n v="1530507600"/>
    <n v="1531803600"/>
    <x v="64"/>
    <d v="2018-07-17T05:00:00"/>
    <s v="Mon"/>
    <x v="16"/>
    <b v="0"/>
    <b v="1"/>
    <s v="technology/web"/>
    <x v="2"/>
    <x v="2"/>
  </r>
  <r>
    <n v="65"/>
    <s v="Berry-Boyer"/>
    <s v="Mandatory incremental projection"/>
    <n v="6100"/>
    <n v="14405"/>
    <n v="2.3614754098360655"/>
    <x v="1"/>
    <n v="236"/>
    <n v="61.038135593220339"/>
    <x v="1"/>
    <s v="USD"/>
    <n v="1296108000"/>
    <n v="1296712800"/>
    <x v="65"/>
    <d v="2011-02-03T06:00:00"/>
    <s v="Thu"/>
    <x v="34"/>
    <b v="0"/>
    <b v="0"/>
    <s v="theater/plays"/>
    <x v="3"/>
    <x v="3"/>
  </r>
  <r>
    <n v="66"/>
    <s v="Sanders-Allen"/>
    <s v="Grass-roots needs-based encryption"/>
    <n v="2900"/>
    <n v="1307"/>
    <n v="0.45068965517241377"/>
    <x v="0"/>
    <n v="12"/>
    <n v="108.91666666666667"/>
    <x v="1"/>
    <s v="USD"/>
    <n v="1428469200"/>
    <n v="1428901200"/>
    <x v="66"/>
    <d v="2015-04-13T05:00:00"/>
    <s v="Wed"/>
    <x v="20"/>
    <b v="0"/>
    <b v="1"/>
    <s v="theater/plays"/>
    <x v="3"/>
    <x v="3"/>
  </r>
  <r>
    <n v="67"/>
    <s v="Lopez Inc"/>
    <s v="Team-oriented 6thgeneration middleware"/>
    <n v="72600"/>
    <n v="117892"/>
    <n v="1.6238567493112948"/>
    <x v="1"/>
    <n v="4065"/>
    <n v="29.001722017220171"/>
    <x v="4"/>
    <s v="GBP"/>
    <n v="1264399200"/>
    <n v="1264831200"/>
    <x v="67"/>
    <d v="2010-01-30T06:00:00"/>
    <s v="Mon"/>
    <x v="20"/>
    <b v="0"/>
    <b v="1"/>
    <s v="technology/wearables"/>
    <x v="2"/>
    <x v="8"/>
  </r>
  <r>
    <n v="68"/>
    <s v="Moreno-Turner"/>
    <s v="Inverse multi-tasking installation"/>
    <n v="5700"/>
    <n v="14508"/>
    <n v="2.5452631578947367"/>
    <x v="1"/>
    <n v="246"/>
    <n v="58.975609756097562"/>
    <x v="6"/>
    <s v="EUR"/>
    <n v="1501131600"/>
    <n v="1505192400"/>
    <x v="68"/>
    <d v="2017-09-12T05:00:00"/>
    <s v="Thu"/>
    <x v="37"/>
    <b v="0"/>
    <b v="1"/>
    <s v="theater/plays"/>
    <x v="3"/>
    <x v="3"/>
  </r>
  <r>
    <n v="69"/>
    <s v="Jones-Watson"/>
    <s v="Switchable disintermediate moderator"/>
    <n v="7900"/>
    <n v="1901"/>
    <n v="0.24063291139240506"/>
    <x v="3"/>
    <n v="17"/>
    <n v="111.82352941176471"/>
    <x v="1"/>
    <s v="USD"/>
    <n v="1292738400"/>
    <n v="1295676000"/>
    <x v="69"/>
    <d v="2011-01-22T06:00:00"/>
    <s v="Sun"/>
    <x v="15"/>
    <b v="0"/>
    <b v="0"/>
    <s v="theater/plays"/>
    <x v="3"/>
    <x v="3"/>
  </r>
  <r>
    <n v="70"/>
    <s v="Barker Inc"/>
    <s v="Re-engineered 24/7 task-force"/>
    <n v="128000"/>
    <n v="158389"/>
    <n v="1.2374140625000001"/>
    <x v="1"/>
    <n v="2475"/>
    <n v="63.995555555555555"/>
    <x v="6"/>
    <s v="EUR"/>
    <n v="1288674000"/>
    <n v="1292911200"/>
    <x v="70"/>
    <d v="2010-12-21T06:00:00"/>
    <s v="Tue"/>
    <x v="6"/>
    <b v="0"/>
    <b v="1"/>
    <s v="theater/plays"/>
    <x v="3"/>
    <x v="3"/>
  </r>
  <r>
    <n v="71"/>
    <s v="Tate, Bass and House"/>
    <s v="Organic object-oriented budgetary management"/>
    <n v="6000"/>
    <n v="6484"/>
    <n v="1.0806666666666667"/>
    <x v="1"/>
    <n v="76"/>
    <n v="85.315789473684205"/>
    <x v="1"/>
    <s v="USD"/>
    <n v="1575093600"/>
    <n v="1575439200"/>
    <x v="71"/>
    <d v="2019-12-04T06:00:00"/>
    <s v="Sat"/>
    <x v="3"/>
    <b v="0"/>
    <b v="0"/>
    <s v="theater/plays"/>
    <x v="3"/>
    <x v="3"/>
  </r>
  <r>
    <n v="72"/>
    <s v="Hampton, Lewis and Ray"/>
    <s v="Seamless coherent parallelism"/>
    <n v="600"/>
    <n v="4022"/>
    <n v="6.7033333333333331"/>
    <x v="1"/>
    <n v="54"/>
    <n v="74.481481481481481"/>
    <x v="1"/>
    <s v="USD"/>
    <n v="1435726800"/>
    <n v="1438837200"/>
    <x v="72"/>
    <d v="2015-08-06T05:00:00"/>
    <s v="Wed"/>
    <x v="38"/>
    <b v="0"/>
    <b v="0"/>
    <s v="film &amp; video/animation"/>
    <x v="4"/>
    <x v="10"/>
  </r>
  <r>
    <n v="73"/>
    <s v="Collins-Goodman"/>
    <s v="Cross-platform even-keeled initiative"/>
    <n v="1400"/>
    <n v="9253"/>
    <n v="6.609285714285714"/>
    <x v="1"/>
    <n v="88"/>
    <n v="105.14772727272727"/>
    <x v="1"/>
    <s v="USD"/>
    <n v="1480226400"/>
    <n v="1480485600"/>
    <x v="73"/>
    <d v="2016-11-30T06:00:00"/>
    <s v="Sun"/>
    <x v="36"/>
    <b v="0"/>
    <b v="0"/>
    <s v="music/jazz"/>
    <x v="1"/>
    <x v="17"/>
  </r>
  <r>
    <n v="74"/>
    <s v="Davis-Michael"/>
    <s v="Progressive tertiary framework"/>
    <n v="3900"/>
    <n v="4776"/>
    <n v="1.2246153846153847"/>
    <x v="1"/>
    <n v="85"/>
    <n v="56.188235294117646"/>
    <x v="4"/>
    <s v="GBP"/>
    <n v="1459054800"/>
    <n v="1459141200"/>
    <x v="74"/>
    <d v="2016-03-28T05:00:00"/>
    <s v="Sun"/>
    <x v="5"/>
    <b v="0"/>
    <b v="0"/>
    <s v="music/metal"/>
    <x v="1"/>
    <x v="16"/>
  </r>
  <r>
    <n v="75"/>
    <s v="White, Torres and Bishop"/>
    <s v="Multi-layered dynamic protocol"/>
    <n v="9700"/>
    <n v="14606"/>
    <n v="1.5057731958762886"/>
    <x v="1"/>
    <n v="170"/>
    <n v="85.917647058823533"/>
    <x v="1"/>
    <s v="USD"/>
    <n v="1531630800"/>
    <n v="1532322000"/>
    <x v="75"/>
    <d v="2018-07-23T05:00:00"/>
    <s v="Sun"/>
    <x v="9"/>
    <b v="0"/>
    <b v="0"/>
    <s v="photography/photography books"/>
    <x v="7"/>
    <x v="14"/>
  </r>
  <r>
    <n v="76"/>
    <s v="Martin, Conway and Larsen"/>
    <s v="Horizontal next generation function"/>
    <n v="122900"/>
    <n v="95993"/>
    <n v="0.78106590724165992"/>
    <x v="0"/>
    <n v="1684"/>
    <n v="57.00296912114014"/>
    <x v="1"/>
    <s v="USD"/>
    <n v="1421992800"/>
    <n v="1426222800"/>
    <x v="76"/>
    <d v="2015-03-13T05:00:00"/>
    <s v="Fri"/>
    <x v="6"/>
    <b v="1"/>
    <b v="1"/>
    <s v="theater/plays"/>
    <x v="3"/>
    <x v="3"/>
  </r>
  <r>
    <n v="77"/>
    <s v="Acevedo-Huffman"/>
    <s v="Pre-emptive impactful model"/>
    <n v="9500"/>
    <n v="4460"/>
    <n v="0.46947368421052632"/>
    <x v="0"/>
    <n v="56"/>
    <n v="79.642857142857139"/>
    <x v="1"/>
    <s v="USD"/>
    <n v="1285563600"/>
    <n v="1286773200"/>
    <x v="77"/>
    <d v="2010-10-11T05:00:00"/>
    <s v="Mon"/>
    <x v="26"/>
    <b v="0"/>
    <b v="1"/>
    <s v="film &amp; video/animation"/>
    <x v="4"/>
    <x v="10"/>
  </r>
  <r>
    <n v="78"/>
    <s v="Montgomery, Larson and Spencer"/>
    <s v="User-centric bifurcated knowledge user"/>
    <n v="4500"/>
    <n v="13536"/>
    <n v="3.008"/>
    <x v="1"/>
    <n v="330"/>
    <n v="41.018181818181816"/>
    <x v="1"/>
    <s v="USD"/>
    <n v="1523854800"/>
    <n v="1523941200"/>
    <x v="78"/>
    <d v="2018-04-17T05:00:00"/>
    <s v="Mon"/>
    <x v="5"/>
    <b v="0"/>
    <b v="0"/>
    <s v="publishing/translations"/>
    <x v="5"/>
    <x v="18"/>
  </r>
  <r>
    <n v="79"/>
    <s v="Soto LLC"/>
    <s v="Triple-buffered reciprocal project"/>
    <n v="57800"/>
    <n v="40228"/>
    <n v="0.6959861591695502"/>
    <x v="0"/>
    <n v="838"/>
    <n v="48.004773269689736"/>
    <x v="1"/>
    <s v="USD"/>
    <n v="1529125200"/>
    <n v="1529557200"/>
    <x v="79"/>
    <d v="2018-06-21T05:00:00"/>
    <s v="Sat"/>
    <x v="20"/>
    <b v="0"/>
    <b v="0"/>
    <s v="theater/plays"/>
    <x v="3"/>
    <x v="3"/>
  </r>
  <r>
    <n v="80"/>
    <s v="Sutton, Barrett and Tucker"/>
    <s v="Cross-platform needs-based approach"/>
    <n v="1100"/>
    <n v="7012"/>
    <n v="6.374545454545455"/>
    <x v="1"/>
    <n v="127"/>
    <n v="55.212598425196852"/>
    <x v="1"/>
    <s v="USD"/>
    <n v="1503982800"/>
    <n v="1506574800"/>
    <x v="80"/>
    <d v="2017-09-28T05:00:00"/>
    <s v="Tue"/>
    <x v="31"/>
    <b v="0"/>
    <b v="0"/>
    <s v="games/video games"/>
    <x v="6"/>
    <x v="11"/>
  </r>
  <r>
    <n v="81"/>
    <s v="Gomez, Bailey and Flores"/>
    <s v="User-friendly static contingency"/>
    <n v="16800"/>
    <n v="37857"/>
    <n v="2.253392857142857"/>
    <x v="1"/>
    <n v="411"/>
    <n v="92.109489051094897"/>
    <x v="1"/>
    <s v="USD"/>
    <n v="1511416800"/>
    <n v="1513576800"/>
    <x v="81"/>
    <d v="2017-12-18T06:00:00"/>
    <s v="Thu"/>
    <x v="24"/>
    <b v="0"/>
    <b v="0"/>
    <s v="music/rock"/>
    <x v="1"/>
    <x v="1"/>
  </r>
  <r>
    <n v="82"/>
    <s v="Porter-George"/>
    <s v="Reactive content-based framework"/>
    <n v="1000"/>
    <n v="14973"/>
    <n v="14.973000000000001"/>
    <x v="1"/>
    <n v="180"/>
    <n v="83.183333333333337"/>
    <x v="4"/>
    <s v="GBP"/>
    <n v="1547704800"/>
    <n v="1548309600"/>
    <x v="82"/>
    <d v="2019-01-24T06:00:00"/>
    <s v="Thu"/>
    <x v="34"/>
    <b v="0"/>
    <b v="1"/>
    <s v="games/video games"/>
    <x v="6"/>
    <x v="11"/>
  </r>
  <r>
    <n v="83"/>
    <s v="Fitzgerald PLC"/>
    <s v="Realigned user-facing concept"/>
    <n v="106400"/>
    <n v="39996"/>
    <n v="0.37590225563909774"/>
    <x v="0"/>
    <n v="1000"/>
    <n v="39.996000000000002"/>
    <x v="1"/>
    <s v="USD"/>
    <n v="1469682000"/>
    <n v="1471582800"/>
    <x v="83"/>
    <d v="2016-08-19T05:00:00"/>
    <s v="Thu"/>
    <x v="12"/>
    <b v="0"/>
    <b v="0"/>
    <s v="music/electric music"/>
    <x v="1"/>
    <x v="5"/>
  </r>
  <r>
    <n v="84"/>
    <s v="Cisneros-Burton"/>
    <s v="Public-key zero tolerance orchestration"/>
    <n v="31400"/>
    <n v="41564"/>
    <n v="1.3236942675159236"/>
    <x v="1"/>
    <n v="374"/>
    <n v="111.1336898395722"/>
    <x v="1"/>
    <s v="USD"/>
    <n v="1343451600"/>
    <n v="1344315600"/>
    <x v="84"/>
    <d v="2012-08-07T05:00:00"/>
    <s v="Sat"/>
    <x v="39"/>
    <b v="0"/>
    <b v="0"/>
    <s v="technology/wearables"/>
    <x v="2"/>
    <x v="8"/>
  </r>
  <r>
    <n v="85"/>
    <s v="Hill, Lawson and Wilkinson"/>
    <s v="Multi-tiered eco-centric architecture"/>
    <n v="4900"/>
    <n v="6430"/>
    <n v="1.3122448979591836"/>
    <x v="1"/>
    <n v="71"/>
    <n v="90.563380281690144"/>
    <x v="2"/>
    <s v="AUD"/>
    <n v="1315717200"/>
    <n v="1316408400"/>
    <x v="85"/>
    <d v="2011-09-19T05:00:00"/>
    <s v="Sun"/>
    <x v="9"/>
    <b v="0"/>
    <b v="0"/>
    <s v="music/indie rock"/>
    <x v="1"/>
    <x v="7"/>
  </r>
  <r>
    <n v="86"/>
    <s v="Davis-Smith"/>
    <s v="Organic motivating firmware"/>
    <n v="7400"/>
    <n v="12405"/>
    <n v="1.6763513513513513"/>
    <x v="1"/>
    <n v="203"/>
    <n v="61.108374384236456"/>
    <x v="1"/>
    <s v="USD"/>
    <n v="1430715600"/>
    <n v="1431838800"/>
    <x v="86"/>
    <d v="2015-05-17T05:00:00"/>
    <s v="Mon"/>
    <x v="35"/>
    <b v="1"/>
    <b v="0"/>
    <s v="theater/plays"/>
    <x v="3"/>
    <x v="3"/>
  </r>
  <r>
    <n v="87"/>
    <s v="Farrell and Sons"/>
    <s v="Synergized 4thgeneration conglomeration"/>
    <n v="198500"/>
    <n v="123040"/>
    <n v="0.6198488664987406"/>
    <x v="0"/>
    <n v="1482"/>
    <n v="83.022941970310384"/>
    <x v="2"/>
    <s v="AUD"/>
    <n v="1299564000"/>
    <n v="1300510800"/>
    <x v="87"/>
    <d v="2011-03-19T05:00:00"/>
    <s v="Tue"/>
    <x v="4"/>
    <b v="0"/>
    <b v="1"/>
    <s v="music/rock"/>
    <x v="1"/>
    <x v="1"/>
  </r>
  <r>
    <n v="88"/>
    <s v="Clark Group"/>
    <s v="Grass-roots fault-tolerant policy"/>
    <n v="4800"/>
    <n v="12516"/>
    <n v="2.6074999999999999"/>
    <x v="1"/>
    <n v="113"/>
    <n v="110.76106194690266"/>
    <x v="1"/>
    <s v="USD"/>
    <n v="1429160400"/>
    <n v="1431061200"/>
    <x v="88"/>
    <d v="2015-05-08T05:00:00"/>
    <s v="Thu"/>
    <x v="12"/>
    <b v="0"/>
    <b v="0"/>
    <s v="publishing/translations"/>
    <x v="5"/>
    <x v="18"/>
  </r>
  <r>
    <n v="89"/>
    <s v="White, Singleton and Zimmerman"/>
    <s v="Monitored scalable knowledgebase"/>
    <n v="3400"/>
    <n v="8588"/>
    <n v="2.5258823529411765"/>
    <x v="1"/>
    <n v="96"/>
    <n v="89.458333333333329"/>
    <x v="1"/>
    <s v="USD"/>
    <n v="1271307600"/>
    <n v="1271480400"/>
    <x v="89"/>
    <d v="2010-04-17T05:00:00"/>
    <s v="Thu"/>
    <x v="1"/>
    <b v="0"/>
    <b v="0"/>
    <s v="theater/plays"/>
    <x v="3"/>
    <x v="3"/>
  </r>
  <r>
    <n v="90"/>
    <s v="Kramer Group"/>
    <s v="Synergistic explicit parallelism"/>
    <n v="7800"/>
    <n v="6132"/>
    <n v="0.7861538461538462"/>
    <x v="0"/>
    <n v="106"/>
    <n v="57.849056603773583"/>
    <x v="1"/>
    <s v="USD"/>
    <n v="1456380000"/>
    <n v="1456380000"/>
    <x v="90"/>
    <d v="2016-02-25T06:00:00"/>
    <s v="Thu"/>
    <x v="14"/>
    <b v="0"/>
    <b v="1"/>
    <s v="theater/plays"/>
    <x v="3"/>
    <x v="3"/>
  </r>
  <r>
    <n v="91"/>
    <s v="Frazier, Patrick and Smith"/>
    <s v="Enhanced systemic analyzer"/>
    <n v="154300"/>
    <n v="74688"/>
    <n v="0.48404406999351912"/>
    <x v="0"/>
    <n v="679"/>
    <n v="109.99705449189985"/>
    <x v="6"/>
    <s v="EUR"/>
    <n v="1470459600"/>
    <n v="1472878800"/>
    <x v="91"/>
    <d v="2016-09-03T05:00:00"/>
    <s v="Sat"/>
    <x v="21"/>
    <b v="0"/>
    <b v="0"/>
    <s v="publishing/translations"/>
    <x v="5"/>
    <x v="18"/>
  </r>
  <r>
    <n v="92"/>
    <s v="Santos, Bell and Lloyd"/>
    <s v="Object-based analyzing knowledge user"/>
    <n v="20000"/>
    <n v="51775"/>
    <n v="2.5887500000000001"/>
    <x v="1"/>
    <n v="498"/>
    <n v="103.96586345381526"/>
    <x v="5"/>
    <s v="CHF"/>
    <n v="1277269200"/>
    <n v="1277355600"/>
    <x v="92"/>
    <d v="2010-06-24T05:00:00"/>
    <s v="Wed"/>
    <x v="5"/>
    <b v="0"/>
    <b v="1"/>
    <s v="games/video games"/>
    <x v="6"/>
    <x v="11"/>
  </r>
  <r>
    <n v="93"/>
    <s v="Hall and Sons"/>
    <s v="Pre-emptive radical architecture"/>
    <n v="108800"/>
    <n v="65877"/>
    <n v="0.60548713235294116"/>
    <x v="3"/>
    <n v="610"/>
    <n v="107.99508196721311"/>
    <x v="1"/>
    <s v="USD"/>
    <n v="1350709200"/>
    <n v="1351054800"/>
    <x v="93"/>
    <d v="2012-10-24T05:00:00"/>
    <s v="Sat"/>
    <x v="3"/>
    <b v="0"/>
    <b v="1"/>
    <s v="theater/plays"/>
    <x v="3"/>
    <x v="3"/>
  </r>
  <r>
    <n v="94"/>
    <s v="Hanson Inc"/>
    <s v="Grass-roots web-enabled contingency"/>
    <n v="2900"/>
    <n v="8807"/>
    <n v="3.036896551724138"/>
    <x v="1"/>
    <n v="180"/>
    <n v="48.927777777777777"/>
    <x v="4"/>
    <s v="GBP"/>
    <n v="1554613200"/>
    <n v="1555563600"/>
    <x v="94"/>
    <d v="2019-04-18T05:00:00"/>
    <s v="Sun"/>
    <x v="4"/>
    <b v="0"/>
    <b v="0"/>
    <s v="technology/web"/>
    <x v="2"/>
    <x v="2"/>
  </r>
  <r>
    <n v="95"/>
    <s v="Sanchez LLC"/>
    <s v="Stand-alone system-worthy standardization"/>
    <n v="900"/>
    <n v="1017"/>
    <n v="1.1299999999999999"/>
    <x v="1"/>
    <n v="27"/>
    <n v="37.666666666666664"/>
    <x v="1"/>
    <s v="USD"/>
    <n v="1571029200"/>
    <n v="1571634000"/>
    <x v="95"/>
    <d v="2019-10-21T05:00:00"/>
    <s v="Mon"/>
    <x v="34"/>
    <b v="0"/>
    <b v="0"/>
    <s v="film &amp; video/documentary"/>
    <x v="4"/>
    <x v="4"/>
  </r>
  <r>
    <n v="96"/>
    <s v="Howard Ltd"/>
    <s v="Down-sized systematic policy"/>
    <n v="69700"/>
    <n v="151513"/>
    <n v="2.1737876614060259"/>
    <x v="1"/>
    <n v="2331"/>
    <n v="64.999141999141997"/>
    <x v="1"/>
    <s v="USD"/>
    <n v="1299736800"/>
    <n v="1300856400"/>
    <x v="96"/>
    <d v="2011-03-23T05:00:00"/>
    <s v="Thu"/>
    <x v="35"/>
    <b v="0"/>
    <b v="0"/>
    <s v="theater/plays"/>
    <x v="3"/>
    <x v="3"/>
  </r>
  <r>
    <n v="97"/>
    <s v="Stewart LLC"/>
    <s v="Cloned bi-directional architecture"/>
    <n v="1300"/>
    <n v="12047"/>
    <n v="9.2669230769230762"/>
    <x v="1"/>
    <n v="113"/>
    <n v="106.61061946902655"/>
    <x v="1"/>
    <s v="USD"/>
    <n v="1435208400"/>
    <n v="1439874000"/>
    <x v="48"/>
    <d v="2015-08-18T05:00:00"/>
    <s v="Thu"/>
    <x v="40"/>
    <b v="0"/>
    <b v="0"/>
    <s v="food/food trucks"/>
    <x v="0"/>
    <x v="0"/>
  </r>
  <r>
    <n v="98"/>
    <s v="Arias, Allen and Miller"/>
    <s v="Seamless transitional portal"/>
    <n v="97800"/>
    <n v="32951"/>
    <n v="0.33692229038854804"/>
    <x v="0"/>
    <n v="1220"/>
    <n v="27.009016393442622"/>
    <x v="2"/>
    <s v="AUD"/>
    <n v="1437973200"/>
    <n v="1438318800"/>
    <x v="97"/>
    <d v="2015-07-31T05:00:00"/>
    <s v="Mon"/>
    <x v="3"/>
    <b v="0"/>
    <b v="0"/>
    <s v="games/video games"/>
    <x v="6"/>
    <x v="11"/>
  </r>
  <r>
    <n v="99"/>
    <s v="Baker-Morris"/>
    <s v="Fully-configurable motivating approach"/>
    <n v="7600"/>
    <n v="14951"/>
    <n v="1.9672368421052631"/>
    <x v="1"/>
    <n v="164"/>
    <n v="91.16463414634147"/>
    <x v="1"/>
    <s v="USD"/>
    <n v="1416895200"/>
    <n v="1419400800"/>
    <x v="98"/>
    <d v="2014-12-24T06:00:00"/>
    <s v="Tue"/>
    <x v="41"/>
    <b v="0"/>
    <b v="0"/>
    <s v="theater/plays"/>
    <x v="3"/>
    <x v="3"/>
  </r>
  <r>
    <n v="100"/>
    <s v="Tucker, Fox and Green"/>
    <s v="Upgradable fault-tolerant approach"/>
    <n v="100"/>
    <n v="1"/>
    <n v="0.01"/>
    <x v="0"/>
    <n v="1"/>
    <n v="1"/>
    <x v="1"/>
    <s v="USD"/>
    <n v="1319000400"/>
    <n v="1320555600"/>
    <x v="99"/>
    <d v="2011-11-06T05:00:00"/>
    <s v="Wed"/>
    <x v="42"/>
    <b v="0"/>
    <b v="0"/>
    <s v="theater/plays"/>
    <x v="3"/>
    <x v="3"/>
  </r>
  <r>
    <n v="101"/>
    <s v="Douglas LLC"/>
    <s v="Reduced heuristic moratorium"/>
    <n v="900"/>
    <n v="9193"/>
    <n v="10.214444444444444"/>
    <x v="1"/>
    <n v="164"/>
    <n v="56.054878048780488"/>
    <x v="1"/>
    <s v="USD"/>
    <n v="1424498400"/>
    <n v="1425103200"/>
    <x v="100"/>
    <d v="2015-02-28T06:00:00"/>
    <s v="Sat"/>
    <x v="34"/>
    <b v="0"/>
    <b v="1"/>
    <s v="music/electric music"/>
    <x v="1"/>
    <x v="5"/>
  </r>
  <r>
    <n v="102"/>
    <s v="Garcia Inc"/>
    <s v="Front-line web-enabled model"/>
    <n v="3700"/>
    <n v="10422"/>
    <n v="2.8167567567567566"/>
    <x v="1"/>
    <n v="336"/>
    <n v="31.017857142857142"/>
    <x v="1"/>
    <s v="USD"/>
    <n v="1526274000"/>
    <n v="1526878800"/>
    <x v="101"/>
    <d v="2018-05-21T05:00:00"/>
    <s v="Mon"/>
    <x v="34"/>
    <b v="0"/>
    <b v="1"/>
    <s v="technology/wearables"/>
    <x v="2"/>
    <x v="8"/>
  </r>
  <r>
    <n v="103"/>
    <s v="Frye, Hunt and Powell"/>
    <s v="Polarized incremental emulation"/>
    <n v="10000"/>
    <n v="2461"/>
    <n v="0.24610000000000001"/>
    <x v="0"/>
    <n v="37"/>
    <n v="66.513513513513516"/>
    <x v="6"/>
    <s v="EUR"/>
    <n v="1287896400"/>
    <n v="1288674000"/>
    <x v="102"/>
    <d v="2010-11-02T05:00:00"/>
    <s v="Sun"/>
    <x v="29"/>
    <b v="0"/>
    <b v="0"/>
    <s v="music/electric music"/>
    <x v="1"/>
    <x v="5"/>
  </r>
  <r>
    <n v="104"/>
    <s v="Smith, Wells and Nguyen"/>
    <s v="Self-enabling grid-enabled initiative"/>
    <n v="119200"/>
    <n v="170623"/>
    <n v="1.4314010067114094"/>
    <x v="1"/>
    <n v="1917"/>
    <n v="89.005216484089729"/>
    <x v="1"/>
    <s v="USD"/>
    <n v="1495515600"/>
    <n v="1495602000"/>
    <x v="103"/>
    <d v="2017-05-24T05:00:00"/>
    <s v="Tue"/>
    <x v="5"/>
    <b v="0"/>
    <b v="0"/>
    <s v="music/indie rock"/>
    <x v="1"/>
    <x v="7"/>
  </r>
  <r>
    <n v="105"/>
    <s v="Charles-Johnson"/>
    <s v="Total fresh-thinking system engine"/>
    <n v="6800"/>
    <n v="9829"/>
    <n v="1.4454411764705883"/>
    <x v="1"/>
    <n v="95"/>
    <n v="103.46315789473684"/>
    <x v="1"/>
    <s v="USD"/>
    <n v="1364878800"/>
    <n v="1366434000"/>
    <x v="104"/>
    <d v="2013-04-20T05:00:00"/>
    <s v="Tue"/>
    <x v="42"/>
    <b v="0"/>
    <b v="0"/>
    <s v="technology/web"/>
    <x v="2"/>
    <x v="2"/>
  </r>
  <r>
    <n v="106"/>
    <s v="Brandt, Carter and Wood"/>
    <s v="Ameliorated clear-thinking circuit"/>
    <n v="3900"/>
    <n v="14006"/>
    <n v="3.5912820512820511"/>
    <x v="1"/>
    <n v="147"/>
    <n v="95.278911564625844"/>
    <x v="1"/>
    <s v="USD"/>
    <n v="1567918800"/>
    <n v="1568350800"/>
    <x v="105"/>
    <d v="2019-09-13T05:00:00"/>
    <s v="Sun"/>
    <x v="20"/>
    <b v="0"/>
    <b v="0"/>
    <s v="theater/plays"/>
    <x v="3"/>
    <x v="3"/>
  </r>
  <r>
    <n v="107"/>
    <s v="Tucker, Schmidt and Reid"/>
    <s v="Multi-layered encompassing installation"/>
    <n v="3500"/>
    <n v="6527"/>
    <n v="1.8648571428571428"/>
    <x v="1"/>
    <n v="86"/>
    <n v="75.895348837209298"/>
    <x v="1"/>
    <s v="USD"/>
    <n v="1524459600"/>
    <n v="1525928400"/>
    <x v="106"/>
    <d v="2018-05-10T05:00:00"/>
    <s v="Mon"/>
    <x v="0"/>
    <b v="0"/>
    <b v="1"/>
    <s v="theater/plays"/>
    <x v="3"/>
    <x v="3"/>
  </r>
  <r>
    <n v="108"/>
    <s v="Decker Inc"/>
    <s v="Universal encompassing implementation"/>
    <n v="1500"/>
    <n v="8929"/>
    <n v="5.9526666666666666"/>
    <x v="1"/>
    <n v="83"/>
    <n v="107.57831325301204"/>
    <x v="1"/>
    <s v="USD"/>
    <n v="1333688400"/>
    <n v="1336885200"/>
    <x v="107"/>
    <d v="2012-05-13T05:00:00"/>
    <s v="Fri"/>
    <x v="22"/>
    <b v="0"/>
    <b v="0"/>
    <s v="film &amp; video/documentary"/>
    <x v="4"/>
    <x v="4"/>
  </r>
  <r>
    <n v="109"/>
    <s v="Romero and Sons"/>
    <s v="Object-based client-server application"/>
    <n v="5200"/>
    <n v="3079"/>
    <n v="0.5921153846153846"/>
    <x v="0"/>
    <n v="60"/>
    <n v="51.31666666666667"/>
    <x v="1"/>
    <s v="USD"/>
    <n v="1389506400"/>
    <n v="1389679200"/>
    <x v="108"/>
    <d v="2014-01-14T06:00:00"/>
    <s v="Sun"/>
    <x v="1"/>
    <b v="0"/>
    <b v="0"/>
    <s v="film &amp; video/television"/>
    <x v="4"/>
    <x v="19"/>
  </r>
  <r>
    <n v="110"/>
    <s v="Castillo-Carey"/>
    <s v="Cross-platform solution-oriented process improvement"/>
    <n v="142400"/>
    <n v="21307"/>
    <n v="0.14962780898876404"/>
    <x v="0"/>
    <n v="296"/>
    <n v="71.983108108108112"/>
    <x v="1"/>
    <s v="USD"/>
    <n v="1536642000"/>
    <n v="1538283600"/>
    <x v="109"/>
    <d v="2018-09-30T05:00:00"/>
    <s v="Tue"/>
    <x v="27"/>
    <b v="0"/>
    <b v="0"/>
    <s v="food/food trucks"/>
    <x v="0"/>
    <x v="0"/>
  </r>
  <r>
    <n v="111"/>
    <s v="Hart-Briggs"/>
    <s v="Re-engineered user-facing approach"/>
    <n v="61400"/>
    <n v="73653"/>
    <n v="1.1995602605863191"/>
    <x v="1"/>
    <n v="676"/>
    <n v="108.95414201183432"/>
    <x v="1"/>
    <s v="USD"/>
    <n v="1348290000"/>
    <n v="1348808400"/>
    <x v="110"/>
    <d v="2012-09-28T05:00:00"/>
    <s v="Sat"/>
    <x v="8"/>
    <b v="0"/>
    <b v="0"/>
    <s v="publishing/radio &amp; podcasts"/>
    <x v="5"/>
    <x v="15"/>
  </r>
  <r>
    <n v="112"/>
    <s v="Jones-Meyer"/>
    <s v="Re-engineered client-driven hub"/>
    <n v="4700"/>
    <n v="12635"/>
    <n v="2.6882978723404256"/>
    <x v="1"/>
    <n v="361"/>
    <n v="35"/>
    <x v="2"/>
    <s v="AUD"/>
    <n v="1408856400"/>
    <n v="1410152400"/>
    <x v="111"/>
    <d v="2014-09-08T05:00:00"/>
    <s v="Sun"/>
    <x v="16"/>
    <b v="0"/>
    <b v="0"/>
    <s v="technology/web"/>
    <x v="2"/>
    <x v="2"/>
  </r>
  <r>
    <n v="113"/>
    <s v="Wright, Hartman and Yu"/>
    <s v="User-friendly tertiary array"/>
    <n v="3300"/>
    <n v="12437"/>
    <n v="3.7687878787878786"/>
    <x v="1"/>
    <n v="131"/>
    <n v="94.938931297709928"/>
    <x v="1"/>
    <s v="USD"/>
    <n v="1505192400"/>
    <n v="1505797200"/>
    <x v="112"/>
    <d v="2017-09-19T05:00:00"/>
    <s v="Tue"/>
    <x v="34"/>
    <b v="0"/>
    <b v="0"/>
    <s v="food/food trucks"/>
    <x v="0"/>
    <x v="0"/>
  </r>
  <r>
    <n v="114"/>
    <s v="Harper-Davis"/>
    <s v="Robust heuristic encoding"/>
    <n v="1900"/>
    <n v="13816"/>
    <n v="7.2715789473684209"/>
    <x v="1"/>
    <n v="126"/>
    <n v="109.65079365079364"/>
    <x v="1"/>
    <s v="USD"/>
    <n v="1554786000"/>
    <n v="1554872400"/>
    <x v="113"/>
    <d v="2019-04-10T05:00:00"/>
    <s v="Tue"/>
    <x v="5"/>
    <b v="0"/>
    <b v="1"/>
    <s v="technology/wearables"/>
    <x v="2"/>
    <x v="8"/>
  </r>
  <r>
    <n v="115"/>
    <s v="Barrett PLC"/>
    <s v="Team-oriented clear-thinking capacity"/>
    <n v="166700"/>
    <n v="145382"/>
    <n v="0.87211757648470301"/>
    <x v="0"/>
    <n v="3304"/>
    <n v="44.001815980629537"/>
    <x v="6"/>
    <s v="EUR"/>
    <n v="1510898400"/>
    <n v="1513922400"/>
    <x v="114"/>
    <d v="2017-12-22T06:00:00"/>
    <s v="Fri"/>
    <x v="43"/>
    <b v="0"/>
    <b v="0"/>
    <s v="publishing/fiction"/>
    <x v="5"/>
    <x v="13"/>
  </r>
  <r>
    <n v="116"/>
    <s v="David-Clark"/>
    <s v="De-engineered motivating standardization"/>
    <n v="7200"/>
    <n v="6336"/>
    <n v="0.88"/>
    <x v="0"/>
    <n v="73"/>
    <n v="86.794520547945211"/>
    <x v="1"/>
    <s v="USD"/>
    <n v="1442552400"/>
    <n v="1442638800"/>
    <x v="115"/>
    <d v="2015-09-19T05:00:00"/>
    <s v="Fri"/>
    <x v="5"/>
    <b v="0"/>
    <b v="0"/>
    <s v="theater/plays"/>
    <x v="3"/>
    <x v="3"/>
  </r>
  <r>
    <n v="117"/>
    <s v="Chaney-Dennis"/>
    <s v="Business-focused 24hour groupware"/>
    <n v="4900"/>
    <n v="8523"/>
    <n v="1.7393877551020409"/>
    <x v="1"/>
    <n v="275"/>
    <n v="30.992727272727272"/>
    <x v="1"/>
    <s v="USD"/>
    <n v="1316667600"/>
    <n v="1317186000"/>
    <x v="116"/>
    <d v="2011-09-28T05:00:00"/>
    <s v="Thu"/>
    <x v="8"/>
    <b v="0"/>
    <b v="0"/>
    <s v="film &amp; video/television"/>
    <x v="4"/>
    <x v="19"/>
  </r>
  <r>
    <n v="118"/>
    <s v="Robinson, Lopez and Christensen"/>
    <s v="Organic next generation protocol"/>
    <n v="5400"/>
    <n v="6351"/>
    <n v="1.1761111111111111"/>
    <x v="1"/>
    <n v="67"/>
    <n v="94.791044776119406"/>
    <x v="1"/>
    <s v="USD"/>
    <n v="1390716000"/>
    <n v="1391234400"/>
    <x v="117"/>
    <d v="2014-02-01T06:00:00"/>
    <s v="Sun"/>
    <x v="8"/>
    <b v="0"/>
    <b v="0"/>
    <s v="photography/photography books"/>
    <x v="7"/>
    <x v="14"/>
  </r>
  <r>
    <n v="119"/>
    <s v="Clark and Sons"/>
    <s v="Reverse-engineered full-range Internet solution"/>
    <n v="5000"/>
    <n v="10748"/>
    <n v="2.1496"/>
    <x v="1"/>
    <n v="154"/>
    <n v="69.79220779220779"/>
    <x v="1"/>
    <s v="USD"/>
    <n v="1402894800"/>
    <n v="1404363600"/>
    <x v="118"/>
    <d v="2014-07-03T05:00:00"/>
    <s v="Mon"/>
    <x v="0"/>
    <b v="0"/>
    <b v="1"/>
    <s v="film &amp; video/documentary"/>
    <x v="4"/>
    <x v="4"/>
  </r>
  <r>
    <n v="120"/>
    <s v="Vega Group"/>
    <s v="Synchronized regional synergy"/>
    <n v="75100"/>
    <n v="112272"/>
    <n v="1.4949667110519307"/>
    <x v="1"/>
    <n v="1782"/>
    <n v="63.003367003367003"/>
    <x v="1"/>
    <s v="USD"/>
    <n v="1429246800"/>
    <n v="1429592400"/>
    <x v="119"/>
    <d v="2015-04-21T05:00:00"/>
    <s v="Fri"/>
    <x v="3"/>
    <b v="0"/>
    <b v="1"/>
    <s v="games/mobile games"/>
    <x v="6"/>
    <x v="20"/>
  </r>
  <r>
    <n v="121"/>
    <s v="Brown-Brown"/>
    <s v="Multi-lateral homogeneous success"/>
    <n v="45300"/>
    <n v="99361"/>
    <n v="2.1933995584988963"/>
    <x v="1"/>
    <n v="903"/>
    <n v="110.0343300110742"/>
    <x v="1"/>
    <s v="USD"/>
    <n v="1412485200"/>
    <n v="1413608400"/>
    <x v="33"/>
    <d v="2014-10-18T05:00:00"/>
    <s v="Sun"/>
    <x v="35"/>
    <b v="0"/>
    <b v="0"/>
    <s v="games/video games"/>
    <x v="6"/>
    <x v="11"/>
  </r>
  <r>
    <n v="122"/>
    <s v="Taylor PLC"/>
    <s v="Seamless zero-defect solution"/>
    <n v="136800"/>
    <n v="88055"/>
    <n v="0.64367690058479532"/>
    <x v="0"/>
    <n v="3387"/>
    <n v="25.997933274284026"/>
    <x v="1"/>
    <s v="USD"/>
    <n v="1417068000"/>
    <n v="1419400800"/>
    <x v="120"/>
    <d v="2014-12-24T06:00:00"/>
    <s v="Thu"/>
    <x v="11"/>
    <b v="0"/>
    <b v="0"/>
    <s v="publishing/fiction"/>
    <x v="5"/>
    <x v="13"/>
  </r>
  <r>
    <n v="123"/>
    <s v="Edwards-Lewis"/>
    <s v="Enhanced scalable concept"/>
    <n v="177700"/>
    <n v="33092"/>
    <n v="0.18622397298818233"/>
    <x v="0"/>
    <n v="662"/>
    <n v="49.987915407854985"/>
    <x v="0"/>
    <s v="CAD"/>
    <n v="1448344800"/>
    <n v="1448604000"/>
    <x v="121"/>
    <d v="2015-11-27T06:00:00"/>
    <s v="Tue"/>
    <x v="36"/>
    <b v="1"/>
    <b v="0"/>
    <s v="theater/plays"/>
    <x v="3"/>
    <x v="3"/>
  </r>
  <r>
    <n v="124"/>
    <s v="Stanton, Neal and Rodriguez"/>
    <s v="Polarized uniform software"/>
    <n v="2600"/>
    <n v="9562"/>
    <n v="3.6776923076923076"/>
    <x v="1"/>
    <n v="94"/>
    <n v="101.72340425531915"/>
    <x v="6"/>
    <s v="EUR"/>
    <n v="1557723600"/>
    <n v="1562302800"/>
    <x v="122"/>
    <d v="2019-07-05T05:00:00"/>
    <s v="Mon"/>
    <x v="17"/>
    <b v="0"/>
    <b v="0"/>
    <s v="photography/photography books"/>
    <x v="7"/>
    <x v="14"/>
  </r>
  <r>
    <n v="125"/>
    <s v="Pratt LLC"/>
    <s v="Stand-alone web-enabled moderator"/>
    <n v="5300"/>
    <n v="8475"/>
    <n v="1.5990566037735849"/>
    <x v="1"/>
    <n v="180"/>
    <n v="47.083333333333336"/>
    <x v="1"/>
    <s v="USD"/>
    <n v="1537333200"/>
    <n v="1537678800"/>
    <x v="123"/>
    <d v="2018-09-23T05:00:00"/>
    <s v="Wed"/>
    <x v="3"/>
    <b v="0"/>
    <b v="0"/>
    <s v="theater/plays"/>
    <x v="3"/>
    <x v="3"/>
  </r>
  <r>
    <n v="126"/>
    <s v="Gross PLC"/>
    <s v="Proactive methodical benchmark"/>
    <n v="180200"/>
    <n v="69617"/>
    <n v="0.38633185349611543"/>
    <x v="0"/>
    <n v="774"/>
    <n v="89.944444444444443"/>
    <x v="1"/>
    <s v="USD"/>
    <n v="1471150800"/>
    <n v="1473570000"/>
    <x v="124"/>
    <d v="2016-09-11T05:00:00"/>
    <s v="Sun"/>
    <x v="21"/>
    <b v="0"/>
    <b v="1"/>
    <s v="theater/plays"/>
    <x v="3"/>
    <x v="3"/>
  </r>
  <r>
    <n v="127"/>
    <s v="Martinez, Gomez and Dalton"/>
    <s v="Team-oriented 6thgeneration matrix"/>
    <n v="103200"/>
    <n v="53067"/>
    <n v="0.51421511627906979"/>
    <x v="0"/>
    <n v="672"/>
    <n v="78.96875"/>
    <x v="0"/>
    <s v="CAD"/>
    <n v="1273640400"/>
    <n v="1273899600"/>
    <x v="125"/>
    <d v="2010-05-15T05:00:00"/>
    <s v="Wed"/>
    <x v="36"/>
    <b v="0"/>
    <b v="0"/>
    <s v="theater/plays"/>
    <x v="3"/>
    <x v="3"/>
  </r>
  <r>
    <n v="128"/>
    <s v="Allen-Curtis"/>
    <s v="Phased human-resource core"/>
    <n v="70600"/>
    <n v="42596"/>
    <n v="0.60334277620396604"/>
    <x v="3"/>
    <n v="532"/>
    <n v="80.067669172932327"/>
    <x v="1"/>
    <s v="USD"/>
    <n v="1282885200"/>
    <n v="1284008400"/>
    <x v="126"/>
    <d v="2010-09-09T05:00:00"/>
    <s v="Fri"/>
    <x v="35"/>
    <b v="0"/>
    <b v="0"/>
    <s v="music/rock"/>
    <x v="1"/>
    <x v="1"/>
  </r>
  <r>
    <n v="129"/>
    <s v="Morgan-Martinez"/>
    <s v="Mandatory tertiary implementation"/>
    <n v="148500"/>
    <n v="4756"/>
    <n v="3.2026936026936029E-2"/>
    <x v="3"/>
    <n v="55"/>
    <n v="86.472727272727269"/>
    <x v="2"/>
    <s v="AUD"/>
    <n v="1422943200"/>
    <n v="1425103200"/>
    <x v="127"/>
    <d v="2015-02-28T06:00:00"/>
    <s v="Tue"/>
    <x v="24"/>
    <b v="0"/>
    <b v="0"/>
    <s v="food/food trucks"/>
    <x v="0"/>
    <x v="0"/>
  </r>
  <r>
    <n v="130"/>
    <s v="Luna, Anderson and Fox"/>
    <s v="Secured directional encryption"/>
    <n v="9600"/>
    <n v="14925"/>
    <n v="1.5546875"/>
    <x v="1"/>
    <n v="533"/>
    <n v="28.001876172607879"/>
    <x v="3"/>
    <s v="DKK"/>
    <n v="1319605200"/>
    <n v="1320991200"/>
    <x v="128"/>
    <d v="2011-11-11T06:00:00"/>
    <s v="Wed"/>
    <x v="30"/>
    <b v="0"/>
    <b v="0"/>
    <s v="film &amp; video/drama"/>
    <x v="4"/>
    <x v="6"/>
  </r>
  <r>
    <n v="131"/>
    <s v="Fleming, Zhang and Henderson"/>
    <s v="Distributed 5thgeneration implementation"/>
    <n v="164700"/>
    <n v="166116"/>
    <n v="1.0085974499089254"/>
    <x v="1"/>
    <n v="2443"/>
    <n v="67.996725337699544"/>
    <x v="4"/>
    <s v="GBP"/>
    <n v="1385704800"/>
    <n v="1386828000"/>
    <x v="129"/>
    <d v="2013-12-12T06:00:00"/>
    <s v="Fri"/>
    <x v="35"/>
    <b v="0"/>
    <b v="0"/>
    <s v="technology/web"/>
    <x v="2"/>
    <x v="2"/>
  </r>
  <r>
    <n v="132"/>
    <s v="Flowers and Sons"/>
    <s v="Virtual static core"/>
    <n v="3300"/>
    <n v="3834"/>
    <n v="1.1618181818181819"/>
    <x v="1"/>
    <n v="89"/>
    <n v="43.078651685393261"/>
    <x v="1"/>
    <s v="USD"/>
    <n v="1515736800"/>
    <n v="1517119200"/>
    <x v="130"/>
    <d v="2018-01-28T06:00:00"/>
    <s v="Fri"/>
    <x v="30"/>
    <b v="0"/>
    <b v="1"/>
    <s v="theater/plays"/>
    <x v="3"/>
    <x v="3"/>
  </r>
  <r>
    <n v="133"/>
    <s v="Gates PLC"/>
    <s v="Secured content-based product"/>
    <n v="4500"/>
    <n v="13985"/>
    <n v="3.1077777777777778"/>
    <x v="1"/>
    <n v="159"/>
    <n v="87.95597484276729"/>
    <x v="1"/>
    <s v="USD"/>
    <n v="1313125200"/>
    <n v="1315026000"/>
    <x v="131"/>
    <d v="2011-09-03T05:00:00"/>
    <s v="Fri"/>
    <x v="12"/>
    <b v="0"/>
    <b v="0"/>
    <s v="music/world music"/>
    <x v="1"/>
    <x v="21"/>
  </r>
  <r>
    <n v="134"/>
    <s v="Caldwell LLC"/>
    <s v="Secured executive concept"/>
    <n v="99500"/>
    <n v="89288"/>
    <n v="0.89736683417085428"/>
    <x v="0"/>
    <n v="940"/>
    <n v="94.987234042553197"/>
    <x v="5"/>
    <s v="CHF"/>
    <n v="1308459600"/>
    <n v="1312693200"/>
    <x v="132"/>
    <d v="2011-08-07T05:00:00"/>
    <s v="Sun"/>
    <x v="6"/>
    <b v="0"/>
    <b v="1"/>
    <s v="film &amp; video/documentary"/>
    <x v="4"/>
    <x v="4"/>
  </r>
  <r>
    <n v="135"/>
    <s v="Le, Burton and Evans"/>
    <s v="Balanced zero-defect software"/>
    <n v="7700"/>
    <n v="5488"/>
    <n v="0.71272727272727276"/>
    <x v="0"/>
    <n v="117"/>
    <n v="46.905982905982903"/>
    <x v="1"/>
    <s v="USD"/>
    <n v="1362636000"/>
    <n v="1363064400"/>
    <x v="133"/>
    <d v="2013-03-12T05:00:00"/>
    <s v="Thu"/>
    <x v="20"/>
    <b v="0"/>
    <b v="1"/>
    <s v="theater/plays"/>
    <x v="3"/>
    <x v="3"/>
  </r>
  <r>
    <n v="136"/>
    <s v="Briggs PLC"/>
    <s v="Distributed context-sensitive flexibility"/>
    <n v="82800"/>
    <n v="2721"/>
    <n v="3.2862318840579711E-2"/>
    <x v="3"/>
    <n v="58"/>
    <n v="46.913793103448278"/>
    <x v="1"/>
    <s v="USD"/>
    <n v="1402117200"/>
    <n v="1403154000"/>
    <x v="134"/>
    <d v="2014-06-19T05:00:00"/>
    <s v="Sat"/>
    <x v="10"/>
    <b v="0"/>
    <b v="1"/>
    <s v="film &amp; video/drama"/>
    <x v="4"/>
    <x v="6"/>
  </r>
  <r>
    <n v="137"/>
    <s v="Hudson-Nguyen"/>
    <s v="Down-sized disintermediate support"/>
    <n v="1800"/>
    <n v="4712"/>
    <n v="2.617777777777778"/>
    <x v="1"/>
    <n v="50"/>
    <n v="94.24"/>
    <x v="1"/>
    <s v="USD"/>
    <n v="1286341200"/>
    <n v="1286859600"/>
    <x v="135"/>
    <d v="2010-10-12T05:00:00"/>
    <s v="Wed"/>
    <x v="8"/>
    <b v="0"/>
    <b v="0"/>
    <s v="publishing/nonfiction"/>
    <x v="5"/>
    <x v="9"/>
  </r>
  <r>
    <n v="138"/>
    <s v="Hogan Ltd"/>
    <s v="Stand-alone mission-critical moratorium"/>
    <n v="9600"/>
    <n v="9216"/>
    <n v="0.96"/>
    <x v="0"/>
    <n v="115"/>
    <n v="80.139130434782615"/>
    <x v="1"/>
    <s v="USD"/>
    <n v="1348808400"/>
    <n v="1349326800"/>
    <x v="136"/>
    <d v="2012-10-04T05:00:00"/>
    <s v="Fri"/>
    <x v="8"/>
    <b v="0"/>
    <b v="0"/>
    <s v="games/mobile games"/>
    <x v="6"/>
    <x v="20"/>
  </r>
  <r>
    <n v="139"/>
    <s v="Hamilton, Wright and Chavez"/>
    <s v="Down-sized empowering protocol"/>
    <n v="92100"/>
    <n v="19246"/>
    <n v="0.20896851248642778"/>
    <x v="0"/>
    <n v="326"/>
    <n v="59.036809815950917"/>
    <x v="1"/>
    <s v="USD"/>
    <n v="1429592400"/>
    <n v="1430974800"/>
    <x v="137"/>
    <d v="2015-05-07T05:00:00"/>
    <s v="Tue"/>
    <x v="30"/>
    <b v="0"/>
    <b v="1"/>
    <s v="technology/wearables"/>
    <x v="2"/>
    <x v="8"/>
  </r>
  <r>
    <n v="140"/>
    <s v="Bautista-Cross"/>
    <s v="Fully-configurable coherent Internet solution"/>
    <n v="5500"/>
    <n v="12274"/>
    <n v="2.2316363636363636"/>
    <x v="1"/>
    <n v="186"/>
    <n v="65.989247311827953"/>
    <x v="1"/>
    <s v="USD"/>
    <n v="1519538400"/>
    <n v="1519970400"/>
    <x v="138"/>
    <d v="2018-03-02T06:00:00"/>
    <s v="Sun"/>
    <x v="20"/>
    <b v="0"/>
    <b v="0"/>
    <s v="film &amp; video/documentary"/>
    <x v="4"/>
    <x v="4"/>
  </r>
  <r>
    <n v="141"/>
    <s v="Jackson LLC"/>
    <s v="Distributed motivating algorithm"/>
    <n v="64300"/>
    <n v="65323"/>
    <n v="1.0159097978227061"/>
    <x v="1"/>
    <n v="1071"/>
    <n v="60.992530345471522"/>
    <x v="1"/>
    <s v="USD"/>
    <n v="1434085200"/>
    <n v="1434603600"/>
    <x v="139"/>
    <d v="2015-06-18T05:00:00"/>
    <s v="Fri"/>
    <x v="8"/>
    <b v="0"/>
    <b v="0"/>
    <s v="technology/web"/>
    <x v="2"/>
    <x v="2"/>
  </r>
  <r>
    <n v="142"/>
    <s v="Figueroa Ltd"/>
    <s v="Expanded solution-oriented benchmark"/>
    <n v="5000"/>
    <n v="11502"/>
    <n v="2.3003999999999998"/>
    <x v="1"/>
    <n v="117"/>
    <n v="98.307692307692307"/>
    <x v="1"/>
    <s v="USD"/>
    <n v="1333688400"/>
    <n v="1337230800"/>
    <x v="107"/>
    <d v="2012-05-17T05:00:00"/>
    <s v="Fri"/>
    <x v="44"/>
    <b v="0"/>
    <b v="0"/>
    <s v="technology/web"/>
    <x v="2"/>
    <x v="2"/>
  </r>
  <r>
    <n v="143"/>
    <s v="Avila-Jones"/>
    <s v="Implemented discrete secured line"/>
    <n v="5400"/>
    <n v="7322"/>
    <n v="1.355925925925926"/>
    <x v="1"/>
    <n v="70"/>
    <n v="104.6"/>
    <x v="1"/>
    <s v="USD"/>
    <n v="1277701200"/>
    <n v="1279429200"/>
    <x v="140"/>
    <d v="2010-07-18T05:00:00"/>
    <s v="Mon"/>
    <x v="18"/>
    <b v="0"/>
    <b v="0"/>
    <s v="music/indie rock"/>
    <x v="1"/>
    <x v="7"/>
  </r>
  <r>
    <n v="144"/>
    <s v="Martin, Lopez and Hunter"/>
    <s v="Multi-lateral actuating installation"/>
    <n v="9000"/>
    <n v="11619"/>
    <n v="1.2909999999999999"/>
    <x v="1"/>
    <n v="135"/>
    <n v="86.066666666666663"/>
    <x v="1"/>
    <s v="USD"/>
    <n v="1560747600"/>
    <n v="1561438800"/>
    <x v="141"/>
    <d v="2019-06-25T05:00:00"/>
    <s v="Mon"/>
    <x v="9"/>
    <b v="0"/>
    <b v="0"/>
    <s v="theater/plays"/>
    <x v="3"/>
    <x v="3"/>
  </r>
  <r>
    <n v="145"/>
    <s v="Fields-Moore"/>
    <s v="Secured reciprocal array"/>
    <n v="25000"/>
    <n v="59128"/>
    <n v="2.3651200000000001"/>
    <x v="1"/>
    <n v="768"/>
    <n v="76.989583333333329"/>
    <x v="5"/>
    <s v="CHF"/>
    <n v="1410066000"/>
    <n v="1410498000"/>
    <x v="142"/>
    <d v="2014-09-12T05:00:00"/>
    <s v="Sun"/>
    <x v="20"/>
    <b v="0"/>
    <b v="0"/>
    <s v="technology/wearables"/>
    <x v="2"/>
    <x v="8"/>
  </r>
  <r>
    <n v="146"/>
    <s v="Harris-Golden"/>
    <s v="Optional bandwidth-monitored middleware"/>
    <n v="8800"/>
    <n v="1518"/>
    <n v="0.17249999999999999"/>
    <x v="3"/>
    <n v="51"/>
    <n v="29.764705882352942"/>
    <x v="1"/>
    <s v="USD"/>
    <n v="1320732000"/>
    <n v="1322460000"/>
    <x v="143"/>
    <d v="2011-11-28T06:00:00"/>
    <s v="Tue"/>
    <x v="18"/>
    <b v="0"/>
    <b v="0"/>
    <s v="theater/plays"/>
    <x v="3"/>
    <x v="3"/>
  </r>
  <r>
    <n v="147"/>
    <s v="Moss, Norman and Dunlap"/>
    <s v="Upgradable upward-trending workforce"/>
    <n v="8300"/>
    <n v="9337"/>
    <n v="1.1249397590361445"/>
    <x v="1"/>
    <n v="199"/>
    <n v="46.91959798994975"/>
    <x v="1"/>
    <s v="USD"/>
    <n v="1465794000"/>
    <n v="1466312400"/>
    <x v="144"/>
    <d v="2016-06-19T05:00:00"/>
    <s v="Mon"/>
    <x v="8"/>
    <b v="0"/>
    <b v="1"/>
    <s v="theater/plays"/>
    <x v="3"/>
    <x v="3"/>
  </r>
  <r>
    <n v="148"/>
    <s v="White, Larson and Wright"/>
    <s v="Upgradable hybrid capability"/>
    <n v="9300"/>
    <n v="11255"/>
    <n v="1.2102150537634409"/>
    <x v="1"/>
    <n v="107"/>
    <n v="105.18691588785046"/>
    <x v="1"/>
    <s v="USD"/>
    <n v="1500958800"/>
    <n v="1501736400"/>
    <x v="145"/>
    <d v="2017-08-03T05:00:00"/>
    <s v="Tue"/>
    <x v="29"/>
    <b v="0"/>
    <b v="0"/>
    <s v="technology/wearables"/>
    <x v="2"/>
    <x v="8"/>
  </r>
  <r>
    <n v="149"/>
    <s v="Payne, Oliver and Burch"/>
    <s v="Managed fresh-thinking flexibility"/>
    <n v="6200"/>
    <n v="13632"/>
    <n v="2.1987096774193549"/>
    <x v="1"/>
    <n v="195"/>
    <n v="69.907692307692301"/>
    <x v="1"/>
    <s v="USD"/>
    <n v="1357020000"/>
    <n v="1361512800"/>
    <x v="146"/>
    <d v="2013-02-22T06:00:00"/>
    <s v="Tue"/>
    <x v="45"/>
    <b v="0"/>
    <b v="0"/>
    <s v="music/indie rock"/>
    <x v="1"/>
    <x v="7"/>
  </r>
  <r>
    <n v="150"/>
    <s v="Brown, Palmer and Pace"/>
    <s v="Networked stable workforce"/>
    <n v="100"/>
    <n v="1"/>
    <n v="0.01"/>
    <x v="0"/>
    <n v="1"/>
    <n v="1"/>
    <x v="1"/>
    <s v="USD"/>
    <n v="1544940000"/>
    <n v="1545026400"/>
    <x v="147"/>
    <d v="2018-12-17T06:00:00"/>
    <s v="Sun"/>
    <x v="5"/>
    <b v="0"/>
    <b v="0"/>
    <s v="music/rock"/>
    <x v="1"/>
    <x v="1"/>
  </r>
  <r>
    <n v="151"/>
    <s v="Parker LLC"/>
    <s v="Customizable intermediate extranet"/>
    <n v="137200"/>
    <n v="88037"/>
    <n v="0.64166909620991253"/>
    <x v="0"/>
    <n v="1467"/>
    <n v="60.011588275391958"/>
    <x v="1"/>
    <s v="USD"/>
    <n v="1402290000"/>
    <n v="1406696400"/>
    <x v="148"/>
    <d v="2014-07-30T05:00:00"/>
    <s v="Mon"/>
    <x v="46"/>
    <b v="0"/>
    <b v="0"/>
    <s v="music/electric music"/>
    <x v="1"/>
    <x v="5"/>
  </r>
  <r>
    <n v="152"/>
    <s v="Bowen, Mcdonald and Hall"/>
    <s v="User-centric fault-tolerant task-force"/>
    <n v="41500"/>
    <n v="175573"/>
    <n v="4.2306746987951804"/>
    <x v="1"/>
    <n v="3376"/>
    <n v="52.006220379146917"/>
    <x v="1"/>
    <s v="USD"/>
    <n v="1487311200"/>
    <n v="1487916000"/>
    <x v="149"/>
    <d v="2017-02-24T06:00:00"/>
    <s v="Fri"/>
    <x v="34"/>
    <b v="0"/>
    <b v="0"/>
    <s v="music/indie rock"/>
    <x v="1"/>
    <x v="7"/>
  </r>
  <r>
    <n v="153"/>
    <s v="Whitehead, Bell and Hughes"/>
    <s v="Multi-tiered radical definition"/>
    <n v="189400"/>
    <n v="176112"/>
    <n v="0.92984160506863778"/>
    <x v="0"/>
    <n v="5681"/>
    <n v="31.000176025347649"/>
    <x v="1"/>
    <s v="USD"/>
    <n v="1350622800"/>
    <n v="1351141200"/>
    <x v="150"/>
    <d v="2012-10-25T05:00:00"/>
    <s v="Fri"/>
    <x v="8"/>
    <b v="0"/>
    <b v="0"/>
    <s v="theater/plays"/>
    <x v="3"/>
    <x v="3"/>
  </r>
  <r>
    <n v="154"/>
    <s v="Rodriguez-Brown"/>
    <s v="Devolved foreground benchmark"/>
    <n v="171300"/>
    <n v="100650"/>
    <n v="0.58756567425569173"/>
    <x v="0"/>
    <n v="1059"/>
    <n v="95.042492917847028"/>
    <x v="1"/>
    <s v="USD"/>
    <n v="1463029200"/>
    <n v="1465016400"/>
    <x v="151"/>
    <d v="2016-06-04T05:00:00"/>
    <s v="Thu"/>
    <x v="19"/>
    <b v="0"/>
    <b v="1"/>
    <s v="music/indie rock"/>
    <x v="1"/>
    <x v="7"/>
  </r>
  <r>
    <n v="155"/>
    <s v="Hall-Schaefer"/>
    <s v="Distributed eco-centric methodology"/>
    <n v="139500"/>
    <n v="90706"/>
    <n v="0.65022222222222226"/>
    <x v="0"/>
    <n v="1194"/>
    <n v="75.968174204355108"/>
    <x v="1"/>
    <s v="USD"/>
    <n v="1269493200"/>
    <n v="1270789200"/>
    <x v="152"/>
    <d v="2010-04-09T05:00:00"/>
    <s v="Thu"/>
    <x v="16"/>
    <b v="0"/>
    <b v="0"/>
    <s v="theater/plays"/>
    <x v="3"/>
    <x v="3"/>
  </r>
  <r>
    <n v="156"/>
    <s v="Meza-Rogers"/>
    <s v="Streamlined encompassing encryption"/>
    <n v="36400"/>
    <n v="26914"/>
    <n v="0.73939560439560437"/>
    <x v="3"/>
    <n v="379"/>
    <n v="71.013192612137203"/>
    <x v="2"/>
    <s v="AUD"/>
    <n v="1570251600"/>
    <n v="1572325200"/>
    <x v="153"/>
    <d v="2019-10-29T05:00:00"/>
    <s v="Sat"/>
    <x v="47"/>
    <b v="0"/>
    <b v="0"/>
    <s v="music/rock"/>
    <x v="1"/>
    <x v="1"/>
  </r>
  <r>
    <n v="157"/>
    <s v="Curtis-Curtis"/>
    <s v="User-friendly reciprocal initiative"/>
    <n v="4200"/>
    <n v="2212"/>
    <n v="0.52666666666666662"/>
    <x v="0"/>
    <n v="30"/>
    <n v="73.733333333333334"/>
    <x v="2"/>
    <s v="AUD"/>
    <n v="1388383200"/>
    <n v="1389420000"/>
    <x v="154"/>
    <d v="2014-01-11T06:00:00"/>
    <s v="Mon"/>
    <x v="10"/>
    <b v="0"/>
    <b v="0"/>
    <s v="photography/photography books"/>
    <x v="7"/>
    <x v="14"/>
  </r>
  <r>
    <n v="158"/>
    <s v="Carlson Inc"/>
    <s v="Ergonomic fresh-thinking installation"/>
    <n v="2100"/>
    <n v="4640"/>
    <n v="2.2095238095238097"/>
    <x v="1"/>
    <n v="41"/>
    <n v="113.17073170731707"/>
    <x v="1"/>
    <s v="USD"/>
    <n v="1449554400"/>
    <n v="1449640800"/>
    <x v="155"/>
    <d v="2015-12-09T06:00:00"/>
    <s v="Tue"/>
    <x v="5"/>
    <b v="0"/>
    <b v="0"/>
    <s v="music/rock"/>
    <x v="1"/>
    <x v="1"/>
  </r>
  <r>
    <n v="159"/>
    <s v="Clarke, Anderson and Lee"/>
    <s v="Robust explicit hardware"/>
    <n v="191200"/>
    <n v="191222"/>
    <n v="1.0001150627615063"/>
    <x v="1"/>
    <n v="1821"/>
    <n v="105.00933552992861"/>
    <x v="1"/>
    <s v="USD"/>
    <n v="1553662800"/>
    <n v="1555218000"/>
    <x v="156"/>
    <d v="2019-04-14T05:00:00"/>
    <s v="Wed"/>
    <x v="42"/>
    <b v="0"/>
    <b v="1"/>
    <s v="theater/plays"/>
    <x v="3"/>
    <x v="3"/>
  </r>
  <r>
    <n v="160"/>
    <s v="Evans Group"/>
    <s v="Stand-alone actuating support"/>
    <n v="8000"/>
    <n v="12985"/>
    <n v="1.6231249999999999"/>
    <x v="1"/>
    <n v="164"/>
    <n v="79.176829268292678"/>
    <x v="1"/>
    <s v="USD"/>
    <n v="1556341200"/>
    <n v="1557723600"/>
    <x v="157"/>
    <d v="2019-05-13T05:00:00"/>
    <s v="Sat"/>
    <x v="30"/>
    <b v="0"/>
    <b v="0"/>
    <s v="technology/wearables"/>
    <x v="2"/>
    <x v="8"/>
  </r>
  <r>
    <n v="161"/>
    <s v="Bruce Group"/>
    <s v="Cross-platform methodical process improvement"/>
    <n v="5500"/>
    <n v="4300"/>
    <n v="0.78181818181818186"/>
    <x v="0"/>
    <n v="75"/>
    <n v="57.333333333333336"/>
    <x v="1"/>
    <s v="USD"/>
    <n v="1442984400"/>
    <n v="1443502800"/>
    <x v="158"/>
    <d v="2015-09-29T05:00:00"/>
    <s v="Wed"/>
    <x v="8"/>
    <b v="0"/>
    <b v="1"/>
    <s v="technology/web"/>
    <x v="2"/>
    <x v="2"/>
  </r>
  <r>
    <n v="162"/>
    <s v="Keith, Alvarez and Potter"/>
    <s v="Extended bottom-line open architecture"/>
    <n v="6100"/>
    <n v="9134"/>
    <n v="1.4973770491803278"/>
    <x v="1"/>
    <n v="157"/>
    <n v="58.178343949044589"/>
    <x v="5"/>
    <s v="CHF"/>
    <n v="1544248800"/>
    <n v="1546840800"/>
    <x v="159"/>
    <d v="2019-01-07T06:00:00"/>
    <s v="Sat"/>
    <x v="31"/>
    <b v="0"/>
    <b v="0"/>
    <s v="music/rock"/>
    <x v="1"/>
    <x v="1"/>
  </r>
  <r>
    <n v="163"/>
    <s v="Burton-Watkins"/>
    <s v="Extended reciprocal circuit"/>
    <n v="3500"/>
    <n v="8864"/>
    <n v="2.5325714285714285"/>
    <x v="1"/>
    <n v="246"/>
    <n v="36.032520325203251"/>
    <x v="1"/>
    <s v="USD"/>
    <n v="1508475600"/>
    <n v="1512712800"/>
    <x v="160"/>
    <d v="2017-12-08T06:00:00"/>
    <s v="Fri"/>
    <x v="6"/>
    <b v="0"/>
    <b v="1"/>
    <s v="photography/photography books"/>
    <x v="7"/>
    <x v="14"/>
  </r>
  <r>
    <n v="164"/>
    <s v="Lopez and Sons"/>
    <s v="Polarized human-resource protocol"/>
    <n v="150500"/>
    <n v="150755"/>
    <n v="1.0016943521594683"/>
    <x v="1"/>
    <n v="1396"/>
    <n v="107.99068767908309"/>
    <x v="1"/>
    <s v="USD"/>
    <n v="1507438800"/>
    <n v="1507525200"/>
    <x v="161"/>
    <d v="2017-10-09T05:00:00"/>
    <s v="Sun"/>
    <x v="5"/>
    <b v="0"/>
    <b v="0"/>
    <s v="theater/plays"/>
    <x v="3"/>
    <x v="3"/>
  </r>
  <r>
    <n v="165"/>
    <s v="Cordova Ltd"/>
    <s v="Synergized radical product"/>
    <n v="90400"/>
    <n v="110279"/>
    <n v="1.2199004424778761"/>
    <x v="1"/>
    <n v="2506"/>
    <n v="44.005985634477256"/>
    <x v="1"/>
    <s v="USD"/>
    <n v="1501563600"/>
    <n v="1504328400"/>
    <x v="162"/>
    <d v="2017-09-02T05:00:00"/>
    <s v="Tue"/>
    <x v="48"/>
    <b v="0"/>
    <b v="0"/>
    <s v="technology/web"/>
    <x v="2"/>
    <x v="2"/>
  </r>
  <r>
    <n v="166"/>
    <s v="Brown-Vang"/>
    <s v="Robust heuristic artificial intelligence"/>
    <n v="9800"/>
    <n v="13439"/>
    <n v="1.3713265306122449"/>
    <x v="1"/>
    <n v="244"/>
    <n v="55.077868852459019"/>
    <x v="1"/>
    <s v="USD"/>
    <n v="1292997600"/>
    <n v="1293343200"/>
    <x v="163"/>
    <d v="2010-12-26T06:00:00"/>
    <s v="Wed"/>
    <x v="3"/>
    <b v="0"/>
    <b v="0"/>
    <s v="photography/photography books"/>
    <x v="7"/>
    <x v="14"/>
  </r>
  <r>
    <n v="167"/>
    <s v="Cruz-Ward"/>
    <s v="Robust content-based emulation"/>
    <n v="2600"/>
    <n v="10804"/>
    <n v="4.155384615384615"/>
    <x v="1"/>
    <n v="146"/>
    <n v="74"/>
    <x v="2"/>
    <s v="AUD"/>
    <n v="1370840400"/>
    <n v="1371704400"/>
    <x v="164"/>
    <d v="2013-06-20T05:00:00"/>
    <s v="Mon"/>
    <x v="39"/>
    <b v="0"/>
    <b v="0"/>
    <s v="theater/plays"/>
    <x v="3"/>
    <x v="3"/>
  </r>
  <r>
    <n v="168"/>
    <s v="Hernandez Group"/>
    <s v="Ergonomic uniform open system"/>
    <n v="128100"/>
    <n v="40107"/>
    <n v="0.3130913348946136"/>
    <x v="0"/>
    <n v="955"/>
    <n v="41.996858638743454"/>
    <x v="3"/>
    <s v="DKK"/>
    <n v="1550815200"/>
    <n v="1552798800"/>
    <x v="165"/>
    <d v="2019-03-17T05:00:00"/>
    <s v="Fri"/>
    <x v="19"/>
    <b v="0"/>
    <b v="1"/>
    <s v="music/indie rock"/>
    <x v="1"/>
    <x v="7"/>
  </r>
  <r>
    <n v="169"/>
    <s v="Tran, Steele and Wilson"/>
    <s v="Profit-focused modular product"/>
    <n v="23300"/>
    <n v="98811"/>
    <n v="4.240815450643777"/>
    <x v="1"/>
    <n v="1267"/>
    <n v="77.988161010260455"/>
    <x v="1"/>
    <s v="USD"/>
    <n v="1339909200"/>
    <n v="1342328400"/>
    <x v="166"/>
    <d v="2012-07-15T05:00:00"/>
    <s v="Sun"/>
    <x v="21"/>
    <b v="0"/>
    <b v="1"/>
    <s v="film &amp; video/shorts"/>
    <x v="4"/>
    <x v="12"/>
  </r>
  <r>
    <n v="170"/>
    <s v="Summers, Gallegos and Stein"/>
    <s v="Mandatory mobile product"/>
    <n v="188100"/>
    <n v="5528"/>
    <n v="2.9388623072833599E-2"/>
    <x v="0"/>
    <n v="67"/>
    <n v="82.507462686567166"/>
    <x v="1"/>
    <s v="USD"/>
    <n v="1501736400"/>
    <n v="1502341200"/>
    <x v="167"/>
    <d v="2017-08-10T05:00:00"/>
    <s v="Thu"/>
    <x v="34"/>
    <b v="0"/>
    <b v="0"/>
    <s v="music/indie rock"/>
    <x v="1"/>
    <x v="7"/>
  </r>
  <r>
    <n v="171"/>
    <s v="Blair Group"/>
    <s v="Public-key 3rdgeneration budgetary management"/>
    <n v="4900"/>
    <n v="521"/>
    <n v="0.1063265306122449"/>
    <x v="0"/>
    <n v="5"/>
    <n v="104.2"/>
    <x v="1"/>
    <s v="USD"/>
    <n v="1395291600"/>
    <n v="1397192400"/>
    <x v="168"/>
    <d v="2014-04-11T05:00:00"/>
    <s v="Thu"/>
    <x v="12"/>
    <b v="0"/>
    <b v="0"/>
    <s v="publishing/translations"/>
    <x v="5"/>
    <x v="18"/>
  </r>
  <r>
    <n v="172"/>
    <s v="Nixon Inc"/>
    <s v="Centralized national firmware"/>
    <n v="800"/>
    <n v="663"/>
    <n v="0.82874999999999999"/>
    <x v="0"/>
    <n v="26"/>
    <n v="25.5"/>
    <x v="1"/>
    <s v="USD"/>
    <n v="1405746000"/>
    <n v="1407042000"/>
    <x v="169"/>
    <d v="2014-08-03T05:00:00"/>
    <s v="Sat"/>
    <x v="16"/>
    <b v="0"/>
    <b v="1"/>
    <s v="film &amp; video/documentary"/>
    <x v="4"/>
    <x v="4"/>
  </r>
  <r>
    <n v="173"/>
    <s v="White LLC"/>
    <s v="Cross-group 4thgeneration middleware"/>
    <n v="96700"/>
    <n v="157635"/>
    <n v="1.6301447776628748"/>
    <x v="1"/>
    <n v="1561"/>
    <n v="100.98334401024984"/>
    <x v="1"/>
    <s v="USD"/>
    <n v="1368853200"/>
    <n v="1369371600"/>
    <x v="170"/>
    <d v="2013-05-24T05:00:00"/>
    <s v="Sat"/>
    <x v="8"/>
    <b v="0"/>
    <b v="0"/>
    <s v="theater/plays"/>
    <x v="3"/>
    <x v="3"/>
  </r>
  <r>
    <n v="174"/>
    <s v="Santos, Black and Donovan"/>
    <s v="Pre-emptive scalable access"/>
    <n v="600"/>
    <n v="5368"/>
    <n v="8.9466666666666672"/>
    <x v="1"/>
    <n v="48"/>
    <n v="111.83333333333333"/>
    <x v="1"/>
    <s v="USD"/>
    <n v="1444021200"/>
    <n v="1444107600"/>
    <x v="171"/>
    <d v="2015-10-06T05:00:00"/>
    <s v="Mon"/>
    <x v="5"/>
    <b v="0"/>
    <b v="1"/>
    <s v="technology/wearables"/>
    <x v="2"/>
    <x v="8"/>
  </r>
  <r>
    <n v="175"/>
    <s v="Jones, Contreras and Burnett"/>
    <s v="Sharable intangible migration"/>
    <n v="181200"/>
    <n v="47459"/>
    <n v="0.26191501103752757"/>
    <x v="0"/>
    <n v="1130"/>
    <n v="41.999115044247787"/>
    <x v="1"/>
    <s v="USD"/>
    <n v="1472619600"/>
    <n v="1474261200"/>
    <x v="172"/>
    <d v="2016-09-19T05:00:00"/>
    <s v="Wed"/>
    <x v="27"/>
    <b v="0"/>
    <b v="0"/>
    <s v="theater/plays"/>
    <x v="3"/>
    <x v="3"/>
  </r>
  <r>
    <n v="176"/>
    <s v="Stone-Orozco"/>
    <s v="Proactive scalable Graphical User Interface"/>
    <n v="115000"/>
    <n v="86060"/>
    <n v="0.74834782608695649"/>
    <x v="0"/>
    <n v="782"/>
    <n v="110.05115089514067"/>
    <x v="1"/>
    <s v="USD"/>
    <n v="1472878800"/>
    <n v="1473656400"/>
    <x v="173"/>
    <d v="2016-09-12T05:00:00"/>
    <s v="Sat"/>
    <x v="29"/>
    <b v="0"/>
    <b v="0"/>
    <s v="theater/plays"/>
    <x v="3"/>
    <x v="3"/>
  </r>
  <r>
    <n v="177"/>
    <s v="Lee, Gibson and Morgan"/>
    <s v="Digitized solution-oriented product"/>
    <n v="38800"/>
    <n v="161593"/>
    <n v="4.1647680412371137"/>
    <x v="1"/>
    <n v="2739"/>
    <n v="58.997079225994888"/>
    <x v="1"/>
    <s v="USD"/>
    <n v="1289800800"/>
    <n v="1291960800"/>
    <x v="174"/>
    <d v="2010-12-10T06:00:00"/>
    <s v="Mon"/>
    <x v="24"/>
    <b v="0"/>
    <b v="0"/>
    <s v="theater/plays"/>
    <x v="3"/>
    <x v="3"/>
  </r>
  <r>
    <n v="178"/>
    <s v="Alexander-Williams"/>
    <s v="Triple-buffered cohesive structure"/>
    <n v="7200"/>
    <n v="6927"/>
    <n v="0.96208333333333329"/>
    <x v="0"/>
    <n v="210"/>
    <n v="32.985714285714288"/>
    <x v="1"/>
    <s v="USD"/>
    <n v="1505970000"/>
    <n v="1506747600"/>
    <x v="175"/>
    <d v="2017-09-30T05:00:00"/>
    <s v="Thu"/>
    <x v="29"/>
    <b v="0"/>
    <b v="0"/>
    <s v="food/food trucks"/>
    <x v="0"/>
    <x v="0"/>
  </r>
  <r>
    <n v="179"/>
    <s v="Marks Ltd"/>
    <s v="Realigned human-resource orchestration"/>
    <n v="44500"/>
    <n v="159185"/>
    <n v="3.5771910112359548"/>
    <x v="1"/>
    <n v="3537"/>
    <n v="45.005654509471306"/>
    <x v="0"/>
    <s v="CAD"/>
    <n v="1363496400"/>
    <n v="1363582800"/>
    <x v="176"/>
    <d v="2013-03-18T05:00:00"/>
    <s v="Sun"/>
    <x v="5"/>
    <b v="0"/>
    <b v="1"/>
    <s v="theater/plays"/>
    <x v="3"/>
    <x v="3"/>
  </r>
  <r>
    <n v="180"/>
    <s v="Olsen, Edwards and Reid"/>
    <s v="Optional clear-thinking software"/>
    <n v="56000"/>
    <n v="172736"/>
    <n v="3.0845714285714285"/>
    <x v="1"/>
    <n v="2107"/>
    <n v="81.98196487897485"/>
    <x v="2"/>
    <s v="AUD"/>
    <n v="1269234000"/>
    <n v="1269666000"/>
    <x v="177"/>
    <d v="2010-03-27T05:00:00"/>
    <s v="Mon"/>
    <x v="20"/>
    <b v="0"/>
    <b v="0"/>
    <s v="technology/wearables"/>
    <x v="2"/>
    <x v="8"/>
  </r>
  <r>
    <n v="181"/>
    <s v="Daniels, Rose and Tyler"/>
    <s v="Centralized global approach"/>
    <n v="8600"/>
    <n v="5315"/>
    <n v="0.61802325581395345"/>
    <x v="0"/>
    <n v="136"/>
    <n v="39.080882352941174"/>
    <x v="1"/>
    <s v="USD"/>
    <n v="1507093200"/>
    <n v="1508648400"/>
    <x v="178"/>
    <d v="2017-10-22T05:00:00"/>
    <s v="Wed"/>
    <x v="42"/>
    <b v="0"/>
    <b v="0"/>
    <s v="technology/web"/>
    <x v="2"/>
    <x v="2"/>
  </r>
  <r>
    <n v="182"/>
    <s v="Adams Group"/>
    <s v="Reverse-engineered bandwidth-monitored contingency"/>
    <n v="27100"/>
    <n v="195750"/>
    <n v="7.2232472324723247"/>
    <x v="1"/>
    <n v="3318"/>
    <n v="58.996383363471971"/>
    <x v="3"/>
    <s v="DKK"/>
    <n v="1560574800"/>
    <n v="1561957200"/>
    <x v="179"/>
    <d v="2019-07-01T05:00:00"/>
    <s v="Sat"/>
    <x v="30"/>
    <b v="0"/>
    <b v="0"/>
    <s v="theater/plays"/>
    <x v="3"/>
    <x v="3"/>
  </r>
  <r>
    <n v="183"/>
    <s v="Rogers, Huerta and Medina"/>
    <s v="Pre-emptive bandwidth-monitored instruction set"/>
    <n v="5100"/>
    <n v="3525"/>
    <n v="0.69117647058823528"/>
    <x v="0"/>
    <n v="86"/>
    <n v="40.988372093023258"/>
    <x v="0"/>
    <s v="CAD"/>
    <n v="1284008400"/>
    <n v="1285131600"/>
    <x v="180"/>
    <d v="2010-09-22T05:00:00"/>
    <s v="Thu"/>
    <x v="35"/>
    <b v="0"/>
    <b v="0"/>
    <s v="music/rock"/>
    <x v="1"/>
    <x v="1"/>
  </r>
  <r>
    <n v="184"/>
    <s v="Howard, Carter and Griffith"/>
    <s v="Adaptive asynchronous emulation"/>
    <n v="3600"/>
    <n v="10550"/>
    <n v="2.9305555555555554"/>
    <x v="1"/>
    <n v="340"/>
    <n v="31.029411764705884"/>
    <x v="1"/>
    <s v="USD"/>
    <n v="1556859600"/>
    <n v="1556946000"/>
    <x v="181"/>
    <d v="2019-05-04T05:00:00"/>
    <s v="Fri"/>
    <x v="5"/>
    <b v="0"/>
    <b v="0"/>
    <s v="theater/plays"/>
    <x v="3"/>
    <x v="3"/>
  </r>
  <r>
    <n v="185"/>
    <s v="Bailey PLC"/>
    <s v="Innovative actuating conglomeration"/>
    <n v="1000"/>
    <n v="718"/>
    <n v="0.71799999999999997"/>
    <x v="0"/>
    <n v="19"/>
    <n v="37.789473684210527"/>
    <x v="1"/>
    <s v="USD"/>
    <n v="1526187600"/>
    <n v="1527138000"/>
    <x v="182"/>
    <d v="2018-05-24T05:00:00"/>
    <s v="Sun"/>
    <x v="4"/>
    <b v="0"/>
    <b v="0"/>
    <s v="film &amp; video/television"/>
    <x v="4"/>
    <x v="19"/>
  </r>
  <r>
    <n v="186"/>
    <s v="Parker Group"/>
    <s v="Grass-roots foreground policy"/>
    <n v="88800"/>
    <n v="28358"/>
    <n v="0.31934684684684683"/>
    <x v="0"/>
    <n v="886"/>
    <n v="32.006772009029348"/>
    <x v="1"/>
    <s v="USD"/>
    <n v="1400821200"/>
    <n v="1402117200"/>
    <x v="183"/>
    <d v="2014-06-07T05:00:00"/>
    <s v="Fri"/>
    <x v="16"/>
    <b v="0"/>
    <b v="0"/>
    <s v="theater/plays"/>
    <x v="3"/>
    <x v="3"/>
  </r>
  <r>
    <n v="187"/>
    <s v="Fox Group"/>
    <s v="Horizontal transitional paradigm"/>
    <n v="60200"/>
    <n v="138384"/>
    <n v="2.2987375415282392"/>
    <x v="1"/>
    <n v="1442"/>
    <n v="95.966712898751737"/>
    <x v="0"/>
    <s v="CAD"/>
    <n v="1361599200"/>
    <n v="1364014800"/>
    <x v="184"/>
    <d v="2013-03-23T05:00:00"/>
    <s v="Sat"/>
    <x v="21"/>
    <b v="0"/>
    <b v="1"/>
    <s v="film &amp; video/shorts"/>
    <x v="4"/>
    <x v="12"/>
  </r>
  <r>
    <n v="188"/>
    <s v="Walker, Jones and Rodriguez"/>
    <s v="Networked didactic info-mediaries"/>
    <n v="8200"/>
    <n v="2625"/>
    <n v="0.3201219512195122"/>
    <x v="0"/>
    <n v="35"/>
    <n v="75"/>
    <x v="6"/>
    <s v="EUR"/>
    <n v="1417500000"/>
    <n v="1417586400"/>
    <x v="185"/>
    <d v="2014-12-03T06:00:00"/>
    <s v="Tue"/>
    <x v="5"/>
    <b v="0"/>
    <b v="0"/>
    <s v="theater/plays"/>
    <x v="3"/>
    <x v="3"/>
  </r>
  <r>
    <n v="189"/>
    <s v="Anthony-Shaw"/>
    <s v="Switchable contextually-based access"/>
    <n v="191300"/>
    <n v="45004"/>
    <n v="0.23525352848928385"/>
    <x v="3"/>
    <n v="441"/>
    <n v="102.0498866213152"/>
    <x v="1"/>
    <s v="USD"/>
    <n v="1457071200"/>
    <n v="1457071200"/>
    <x v="186"/>
    <d v="2016-03-04T06:00:00"/>
    <s v="Fri"/>
    <x v="14"/>
    <b v="0"/>
    <b v="0"/>
    <s v="theater/plays"/>
    <x v="3"/>
    <x v="3"/>
  </r>
  <r>
    <n v="190"/>
    <s v="Cook LLC"/>
    <s v="Up-sized dynamic throughput"/>
    <n v="3700"/>
    <n v="2538"/>
    <n v="0.68594594594594593"/>
    <x v="0"/>
    <n v="24"/>
    <n v="105.75"/>
    <x v="1"/>
    <s v="USD"/>
    <n v="1370322000"/>
    <n v="1370408400"/>
    <x v="187"/>
    <d v="2013-06-05T05:00:00"/>
    <s v="Tue"/>
    <x v="5"/>
    <b v="0"/>
    <b v="1"/>
    <s v="theater/plays"/>
    <x v="3"/>
    <x v="3"/>
  </r>
  <r>
    <n v="191"/>
    <s v="Sutton PLC"/>
    <s v="Mandatory reciprocal superstructure"/>
    <n v="8400"/>
    <n v="3188"/>
    <n v="0.37952380952380954"/>
    <x v="0"/>
    <n v="86"/>
    <n v="37.069767441860463"/>
    <x v="6"/>
    <s v="EUR"/>
    <n v="1552366800"/>
    <n v="1552626000"/>
    <x v="188"/>
    <d v="2019-03-15T05:00:00"/>
    <s v="Tue"/>
    <x v="36"/>
    <b v="0"/>
    <b v="0"/>
    <s v="theater/plays"/>
    <x v="3"/>
    <x v="3"/>
  </r>
  <r>
    <n v="192"/>
    <s v="Long, Morgan and Mitchell"/>
    <s v="Upgradable 4thgeneration productivity"/>
    <n v="42600"/>
    <n v="8517"/>
    <n v="0.19992957746478873"/>
    <x v="0"/>
    <n v="243"/>
    <n v="35.049382716049379"/>
    <x v="1"/>
    <s v="USD"/>
    <n v="1403845200"/>
    <n v="1404190800"/>
    <x v="189"/>
    <d v="2014-07-01T05:00:00"/>
    <s v="Fri"/>
    <x v="3"/>
    <b v="0"/>
    <b v="0"/>
    <s v="music/rock"/>
    <x v="1"/>
    <x v="1"/>
  </r>
  <r>
    <n v="193"/>
    <s v="Calhoun, Rogers and Long"/>
    <s v="Progressive discrete hub"/>
    <n v="6600"/>
    <n v="3012"/>
    <n v="0.45636363636363636"/>
    <x v="0"/>
    <n v="65"/>
    <n v="46.338461538461537"/>
    <x v="1"/>
    <s v="USD"/>
    <n v="1523163600"/>
    <n v="1523509200"/>
    <x v="190"/>
    <d v="2018-04-12T05:00:00"/>
    <s v="Sun"/>
    <x v="3"/>
    <b v="1"/>
    <b v="0"/>
    <s v="music/indie rock"/>
    <x v="1"/>
    <x v="7"/>
  </r>
  <r>
    <n v="194"/>
    <s v="Sandoval Group"/>
    <s v="Assimilated multi-tasking archive"/>
    <n v="7100"/>
    <n v="8716"/>
    <n v="1.227605633802817"/>
    <x v="1"/>
    <n v="126"/>
    <n v="69.174603174603178"/>
    <x v="1"/>
    <s v="USD"/>
    <n v="1442206800"/>
    <n v="1443589200"/>
    <x v="191"/>
    <d v="2015-09-30T05:00:00"/>
    <s v="Mon"/>
    <x v="30"/>
    <b v="0"/>
    <b v="0"/>
    <s v="music/metal"/>
    <x v="1"/>
    <x v="16"/>
  </r>
  <r>
    <n v="195"/>
    <s v="Smith and Sons"/>
    <s v="Upgradable high-level solution"/>
    <n v="15800"/>
    <n v="57157"/>
    <n v="3.61753164556962"/>
    <x v="1"/>
    <n v="524"/>
    <n v="109.07824427480917"/>
    <x v="1"/>
    <s v="USD"/>
    <n v="1532840400"/>
    <n v="1533445200"/>
    <x v="192"/>
    <d v="2018-08-05T05:00:00"/>
    <s v="Sun"/>
    <x v="34"/>
    <b v="0"/>
    <b v="0"/>
    <s v="music/electric music"/>
    <x v="1"/>
    <x v="5"/>
  </r>
  <r>
    <n v="196"/>
    <s v="King Inc"/>
    <s v="Organic bandwidth-monitored frame"/>
    <n v="8200"/>
    <n v="5178"/>
    <n v="0.63146341463414635"/>
    <x v="0"/>
    <n v="100"/>
    <n v="51.78"/>
    <x v="3"/>
    <s v="DKK"/>
    <n v="1472878800"/>
    <n v="1474520400"/>
    <x v="173"/>
    <d v="2016-09-22T05:00:00"/>
    <s v="Sat"/>
    <x v="27"/>
    <b v="0"/>
    <b v="0"/>
    <s v="technology/wearables"/>
    <x v="2"/>
    <x v="8"/>
  </r>
  <r>
    <n v="197"/>
    <s v="Perry and Sons"/>
    <s v="Business-focused logistical framework"/>
    <n v="54700"/>
    <n v="163118"/>
    <n v="2.9820475319926874"/>
    <x v="1"/>
    <n v="1989"/>
    <n v="82.010055304172951"/>
    <x v="1"/>
    <s v="USD"/>
    <n v="1498194000"/>
    <n v="1499403600"/>
    <x v="193"/>
    <d v="2017-07-07T05:00:00"/>
    <s v="Fri"/>
    <x v="26"/>
    <b v="0"/>
    <b v="0"/>
    <s v="film &amp; video/drama"/>
    <x v="4"/>
    <x v="6"/>
  </r>
  <r>
    <n v="198"/>
    <s v="Palmer Inc"/>
    <s v="Universal multi-state capability"/>
    <n v="63200"/>
    <n v="6041"/>
    <n v="9.5585443037974685E-2"/>
    <x v="0"/>
    <n v="168"/>
    <n v="35.958333333333336"/>
    <x v="1"/>
    <s v="USD"/>
    <n v="1281070800"/>
    <n v="1283576400"/>
    <x v="194"/>
    <d v="2010-09-04T05:00:00"/>
    <s v="Fri"/>
    <x v="41"/>
    <b v="0"/>
    <b v="0"/>
    <s v="music/electric music"/>
    <x v="1"/>
    <x v="5"/>
  </r>
  <r>
    <n v="199"/>
    <s v="Hull, Baker and Martinez"/>
    <s v="Digitized reciprocal infrastructure"/>
    <n v="1800"/>
    <n v="968"/>
    <n v="0.5377777777777778"/>
    <x v="0"/>
    <n v="13"/>
    <n v="74.461538461538467"/>
    <x v="1"/>
    <s v="USD"/>
    <n v="1436245200"/>
    <n v="1436590800"/>
    <x v="195"/>
    <d v="2015-07-11T05:00:00"/>
    <s v="Tue"/>
    <x v="3"/>
    <b v="0"/>
    <b v="0"/>
    <s v="music/rock"/>
    <x v="1"/>
    <x v="1"/>
  </r>
  <r>
    <n v="200"/>
    <s v="Becker, Rice and White"/>
    <s v="Reduced dedicated capability"/>
    <n v="100"/>
    <n v="2"/>
    <n v="0.02"/>
    <x v="0"/>
    <n v="1"/>
    <n v="2"/>
    <x v="0"/>
    <s v="CAD"/>
    <n v="1269493200"/>
    <n v="1270443600"/>
    <x v="152"/>
    <d v="2010-04-05T05:00:00"/>
    <s v="Thu"/>
    <x v="4"/>
    <b v="0"/>
    <b v="0"/>
    <s v="theater/plays"/>
    <x v="3"/>
    <x v="3"/>
  </r>
  <r>
    <n v="201"/>
    <s v="Osborne, Perkins and Knox"/>
    <s v="Cross-platform bi-directional workforce"/>
    <n v="2100"/>
    <n v="14305"/>
    <n v="6.8119047619047617"/>
    <x v="1"/>
    <n v="157"/>
    <n v="91.114649681528661"/>
    <x v="1"/>
    <s v="USD"/>
    <n v="1406264400"/>
    <n v="1407819600"/>
    <x v="196"/>
    <d v="2014-08-12T05:00:00"/>
    <s v="Fri"/>
    <x v="42"/>
    <b v="0"/>
    <b v="0"/>
    <s v="technology/web"/>
    <x v="2"/>
    <x v="2"/>
  </r>
  <r>
    <n v="202"/>
    <s v="Mcknight-Freeman"/>
    <s v="Upgradable scalable methodology"/>
    <n v="8300"/>
    <n v="6543"/>
    <n v="0.78831325301204824"/>
    <x v="3"/>
    <n v="82"/>
    <n v="79.792682926829272"/>
    <x v="1"/>
    <s v="USD"/>
    <n v="1317531600"/>
    <n v="1317877200"/>
    <x v="197"/>
    <d v="2011-10-06T05:00:00"/>
    <s v="Sun"/>
    <x v="3"/>
    <b v="0"/>
    <b v="0"/>
    <s v="food/food trucks"/>
    <x v="0"/>
    <x v="0"/>
  </r>
  <r>
    <n v="203"/>
    <s v="Hayden, Shannon and Stein"/>
    <s v="Customer-focused client-server service-desk"/>
    <n v="143900"/>
    <n v="193413"/>
    <n v="1.3440792216817234"/>
    <x v="1"/>
    <n v="4498"/>
    <n v="42.999777678968428"/>
    <x v="2"/>
    <s v="AUD"/>
    <n v="1484632800"/>
    <n v="1484805600"/>
    <x v="198"/>
    <d v="2017-01-19T06:00:00"/>
    <s v="Tue"/>
    <x v="1"/>
    <b v="0"/>
    <b v="0"/>
    <s v="theater/plays"/>
    <x v="3"/>
    <x v="3"/>
  </r>
  <r>
    <n v="204"/>
    <s v="Daniel-Luna"/>
    <s v="Mandatory multimedia leverage"/>
    <n v="75000"/>
    <n v="2529"/>
    <n v="3.372E-2"/>
    <x v="0"/>
    <n v="40"/>
    <n v="63.225000000000001"/>
    <x v="1"/>
    <s v="USD"/>
    <n v="1301806800"/>
    <n v="1302670800"/>
    <x v="199"/>
    <d v="2011-04-13T05:00:00"/>
    <s v="Sun"/>
    <x v="39"/>
    <b v="0"/>
    <b v="0"/>
    <s v="music/jazz"/>
    <x v="1"/>
    <x v="17"/>
  </r>
  <r>
    <n v="205"/>
    <s v="Weaver-Marquez"/>
    <s v="Focused analyzing circuit"/>
    <n v="1300"/>
    <n v="5614"/>
    <n v="4.3184615384615386"/>
    <x v="1"/>
    <n v="80"/>
    <n v="70.174999999999997"/>
    <x v="1"/>
    <s v="USD"/>
    <n v="1539752400"/>
    <n v="1540789200"/>
    <x v="200"/>
    <d v="2018-10-29T05:00:00"/>
    <s v="Wed"/>
    <x v="10"/>
    <b v="1"/>
    <b v="0"/>
    <s v="theater/plays"/>
    <x v="3"/>
    <x v="3"/>
  </r>
  <r>
    <n v="206"/>
    <s v="Austin, Baker and Kelley"/>
    <s v="Fundamental grid-enabled strategy"/>
    <n v="9000"/>
    <n v="3496"/>
    <n v="0.38844444444444443"/>
    <x v="3"/>
    <n v="57"/>
    <n v="61.333333333333336"/>
    <x v="1"/>
    <s v="USD"/>
    <n v="1267250400"/>
    <n v="1268028000"/>
    <x v="201"/>
    <d v="2010-03-08T06:00:00"/>
    <s v="Sat"/>
    <x v="29"/>
    <b v="0"/>
    <b v="0"/>
    <s v="publishing/fiction"/>
    <x v="5"/>
    <x v="13"/>
  </r>
  <r>
    <n v="207"/>
    <s v="Carney-Anderson"/>
    <s v="Digitized 5thgeneration knowledgebase"/>
    <n v="1000"/>
    <n v="4257"/>
    <n v="4.2569999999999997"/>
    <x v="1"/>
    <n v="43"/>
    <n v="99"/>
    <x v="1"/>
    <s v="USD"/>
    <n v="1535432400"/>
    <n v="1537160400"/>
    <x v="202"/>
    <d v="2018-09-17T05:00:00"/>
    <s v="Tue"/>
    <x v="18"/>
    <b v="0"/>
    <b v="1"/>
    <s v="music/rock"/>
    <x v="1"/>
    <x v="1"/>
  </r>
  <r>
    <n v="208"/>
    <s v="Jackson Inc"/>
    <s v="Mandatory multi-tasking encryption"/>
    <n v="196900"/>
    <n v="199110"/>
    <n v="1.0112239715591671"/>
    <x v="1"/>
    <n v="2053"/>
    <n v="96.984900146127615"/>
    <x v="1"/>
    <s v="USD"/>
    <n v="1510207200"/>
    <n v="1512280800"/>
    <x v="203"/>
    <d v="2017-12-03T06:00:00"/>
    <s v="Thu"/>
    <x v="47"/>
    <b v="0"/>
    <b v="0"/>
    <s v="film &amp; video/documentary"/>
    <x v="4"/>
    <x v="4"/>
  </r>
  <r>
    <n v="209"/>
    <s v="Warren Ltd"/>
    <s v="Distributed system-worthy application"/>
    <n v="194500"/>
    <n v="41212"/>
    <n v="0.21188688946015424"/>
    <x v="2"/>
    <n v="808"/>
    <n v="51.004950495049506"/>
    <x v="2"/>
    <s v="AUD"/>
    <n v="1462510800"/>
    <n v="1463115600"/>
    <x v="204"/>
    <d v="2016-05-13T05:00:00"/>
    <s v="Fri"/>
    <x v="34"/>
    <b v="0"/>
    <b v="0"/>
    <s v="film &amp; video/documentary"/>
    <x v="4"/>
    <x v="4"/>
  </r>
  <r>
    <n v="210"/>
    <s v="Schultz Inc"/>
    <s v="Synergistic tertiary time-frame"/>
    <n v="9400"/>
    <n v="6338"/>
    <n v="0.67425531914893622"/>
    <x v="0"/>
    <n v="226"/>
    <n v="28.044247787610619"/>
    <x v="3"/>
    <s v="DKK"/>
    <n v="1488520800"/>
    <n v="1490850000"/>
    <x v="205"/>
    <d v="2017-03-30T05:00:00"/>
    <s v="Fri"/>
    <x v="11"/>
    <b v="0"/>
    <b v="0"/>
    <s v="film &amp; video/science fiction"/>
    <x v="4"/>
    <x v="22"/>
  </r>
  <r>
    <n v="211"/>
    <s v="Thompson LLC"/>
    <s v="Customer-focused impactful benchmark"/>
    <n v="104400"/>
    <n v="99100"/>
    <n v="0.9492337164750958"/>
    <x v="0"/>
    <n v="1625"/>
    <n v="60.984615384615381"/>
    <x v="1"/>
    <s v="USD"/>
    <n v="1377579600"/>
    <n v="1379653200"/>
    <x v="206"/>
    <d v="2013-09-20T05:00:00"/>
    <s v="Tue"/>
    <x v="47"/>
    <b v="0"/>
    <b v="0"/>
    <s v="theater/plays"/>
    <x v="3"/>
    <x v="3"/>
  </r>
  <r>
    <n v="212"/>
    <s v="Johnson Inc"/>
    <s v="Profound next generation infrastructure"/>
    <n v="8100"/>
    <n v="12300"/>
    <n v="1.5185185185185186"/>
    <x v="1"/>
    <n v="168"/>
    <n v="73.214285714285708"/>
    <x v="1"/>
    <s v="USD"/>
    <n v="1576389600"/>
    <n v="1580364000"/>
    <x v="207"/>
    <d v="2020-01-30T06:00:00"/>
    <s v="Sun"/>
    <x v="49"/>
    <b v="0"/>
    <b v="0"/>
    <s v="theater/plays"/>
    <x v="3"/>
    <x v="3"/>
  </r>
  <r>
    <n v="213"/>
    <s v="Morgan-Warren"/>
    <s v="Face-to-face encompassing info-mediaries"/>
    <n v="87900"/>
    <n v="171549"/>
    <n v="1.9516382252559727"/>
    <x v="1"/>
    <n v="4289"/>
    <n v="39.997435299603637"/>
    <x v="1"/>
    <s v="USD"/>
    <n v="1289019600"/>
    <n v="1289714400"/>
    <x v="208"/>
    <d v="2010-11-14T06:00:00"/>
    <s v="Sat"/>
    <x v="9"/>
    <b v="0"/>
    <b v="1"/>
    <s v="music/indie rock"/>
    <x v="1"/>
    <x v="7"/>
  </r>
  <r>
    <n v="214"/>
    <s v="Sullivan Group"/>
    <s v="Open-source fresh-thinking policy"/>
    <n v="1400"/>
    <n v="14324"/>
    <n v="10.231428571428571"/>
    <x v="1"/>
    <n v="165"/>
    <n v="86.812121212121212"/>
    <x v="1"/>
    <s v="USD"/>
    <n v="1282194000"/>
    <n v="1282712400"/>
    <x v="209"/>
    <d v="2010-08-25T05:00:00"/>
    <s v="Thu"/>
    <x v="8"/>
    <b v="0"/>
    <b v="0"/>
    <s v="music/rock"/>
    <x v="1"/>
    <x v="1"/>
  </r>
  <r>
    <n v="215"/>
    <s v="Vargas, Banks and Palmer"/>
    <s v="Extended 24/7 implementation"/>
    <n v="156800"/>
    <n v="6024"/>
    <n v="3.8418367346938778E-2"/>
    <x v="0"/>
    <n v="143"/>
    <n v="42.125874125874127"/>
    <x v="1"/>
    <s v="USD"/>
    <n v="1550037600"/>
    <n v="1550210400"/>
    <x v="210"/>
    <d v="2019-02-15T06:00:00"/>
    <s v="Wed"/>
    <x v="1"/>
    <b v="0"/>
    <b v="0"/>
    <s v="theater/plays"/>
    <x v="3"/>
    <x v="3"/>
  </r>
  <r>
    <n v="216"/>
    <s v="Johnson, Dixon and Zimmerman"/>
    <s v="Organic dynamic algorithm"/>
    <n v="121700"/>
    <n v="188721"/>
    <n v="1.5507066557107643"/>
    <x v="1"/>
    <n v="1815"/>
    <n v="103.97851239669421"/>
    <x v="1"/>
    <s v="USD"/>
    <n v="1321941600"/>
    <n v="1322114400"/>
    <x v="211"/>
    <d v="2011-11-24T06:00:00"/>
    <s v="Tue"/>
    <x v="1"/>
    <b v="0"/>
    <b v="0"/>
    <s v="theater/plays"/>
    <x v="3"/>
    <x v="3"/>
  </r>
  <r>
    <n v="217"/>
    <s v="Moore, Dudley and Navarro"/>
    <s v="Organic multi-tasking focus group"/>
    <n v="129400"/>
    <n v="57911"/>
    <n v="0.44753477588871715"/>
    <x v="0"/>
    <n v="934"/>
    <n v="62.003211991434689"/>
    <x v="1"/>
    <s v="USD"/>
    <n v="1556427600"/>
    <n v="1557205200"/>
    <x v="212"/>
    <d v="2019-05-07T05:00:00"/>
    <s v="Sun"/>
    <x v="29"/>
    <b v="0"/>
    <b v="0"/>
    <s v="film &amp; video/science fiction"/>
    <x v="4"/>
    <x v="22"/>
  </r>
  <r>
    <n v="218"/>
    <s v="Price-Rodriguez"/>
    <s v="Adaptive logistical initiative"/>
    <n v="5700"/>
    <n v="12309"/>
    <n v="2.1594736842105262"/>
    <x v="1"/>
    <n v="397"/>
    <n v="31.005037783375315"/>
    <x v="4"/>
    <s v="GBP"/>
    <n v="1320991200"/>
    <n v="1323928800"/>
    <x v="213"/>
    <d v="2011-12-15T06:00:00"/>
    <s v="Fri"/>
    <x v="15"/>
    <b v="0"/>
    <b v="1"/>
    <s v="film &amp; video/shorts"/>
    <x v="4"/>
    <x v="12"/>
  </r>
  <r>
    <n v="219"/>
    <s v="Huang-Henderson"/>
    <s v="Stand-alone mobile customer loyalty"/>
    <n v="41700"/>
    <n v="138497"/>
    <n v="3.3212709832134291"/>
    <x v="1"/>
    <n v="1539"/>
    <n v="89.991552956465242"/>
    <x v="1"/>
    <s v="USD"/>
    <n v="1345093200"/>
    <n v="1346130000"/>
    <x v="214"/>
    <d v="2012-08-28T05:00:00"/>
    <s v="Thu"/>
    <x v="10"/>
    <b v="0"/>
    <b v="0"/>
    <s v="film &amp; video/animation"/>
    <x v="4"/>
    <x v="10"/>
  </r>
  <r>
    <n v="220"/>
    <s v="Owens-Le"/>
    <s v="Focused composite approach"/>
    <n v="7900"/>
    <n v="667"/>
    <n v="8.4430379746835441E-2"/>
    <x v="0"/>
    <n v="17"/>
    <n v="39.235294117647058"/>
    <x v="1"/>
    <s v="USD"/>
    <n v="1309496400"/>
    <n v="1311051600"/>
    <x v="215"/>
    <d v="2011-07-19T05:00:00"/>
    <s v="Fri"/>
    <x v="42"/>
    <b v="1"/>
    <b v="0"/>
    <s v="theater/plays"/>
    <x v="3"/>
    <x v="3"/>
  </r>
  <r>
    <n v="221"/>
    <s v="Huff LLC"/>
    <s v="Face-to-face clear-thinking Local Area Network"/>
    <n v="121500"/>
    <n v="119830"/>
    <n v="0.9862551440329218"/>
    <x v="0"/>
    <n v="2179"/>
    <n v="54.993116108306566"/>
    <x v="1"/>
    <s v="USD"/>
    <n v="1340254800"/>
    <n v="1340427600"/>
    <x v="216"/>
    <d v="2012-06-23T05:00:00"/>
    <s v="Thu"/>
    <x v="1"/>
    <b v="1"/>
    <b v="0"/>
    <s v="food/food trucks"/>
    <x v="0"/>
    <x v="0"/>
  </r>
  <r>
    <n v="222"/>
    <s v="Johnson LLC"/>
    <s v="Cross-group cohesive circuit"/>
    <n v="4800"/>
    <n v="6623"/>
    <n v="1.3797916666666667"/>
    <x v="1"/>
    <n v="138"/>
    <n v="47.992753623188406"/>
    <x v="1"/>
    <s v="USD"/>
    <n v="1412226000"/>
    <n v="1412312400"/>
    <x v="217"/>
    <d v="2014-10-03T05:00:00"/>
    <s v="Thu"/>
    <x v="5"/>
    <b v="0"/>
    <b v="0"/>
    <s v="photography/photography books"/>
    <x v="7"/>
    <x v="14"/>
  </r>
  <r>
    <n v="223"/>
    <s v="Chavez, Garcia and Cantu"/>
    <s v="Synergistic explicit capability"/>
    <n v="87300"/>
    <n v="81897"/>
    <n v="0.93810996563573879"/>
    <x v="0"/>
    <n v="931"/>
    <n v="87.966702470461868"/>
    <x v="1"/>
    <s v="USD"/>
    <n v="1458104400"/>
    <n v="1459314000"/>
    <x v="218"/>
    <d v="2016-03-30T05:00:00"/>
    <s v="Wed"/>
    <x v="26"/>
    <b v="0"/>
    <b v="0"/>
    <s v="theater/plays"/>
    <x v="3"/>
    <x v="3"/>
  </r>
  <r>
    <n v="224"/>
    <s v="Lester-Moore"/>
    <s v="Diverse analyzing definition"/>
    <n v="46300"/>
    <n v="186885"/>
    <n v="4.0363930885529156"/>
    <x v="1"/>
    <n v="3594"/>
    <n v="51.999165275459099"/>
    <x v="1"/>
    <s v="USD"/>
    <n v="1411534800"/>
    <n v="1415426400"/>
    <x v="219"/>
    <d v="2014-11-08T06:00:00"/>
    <s v="Wed"/>
    <x v="32"/>
    <b v="0"/>
    <b v="0"/>
    <s v="film &amp; video/science fiction"/>
    <x v="4"/>
    <x v="22"/>
  </r>
  <r>
    <n v="225"/>
    <s v="Fox-Quinn"/>
    <s v="Enterprise-wide reciprocal success"/>
    <n v="67800"/>
    <n v="176398"/>
    <n v="2.6017404129793511"/>
    <x v="1"/>
    <n v="5880"/>
    <n v="29.999659863945578"/>
    <x v="1"/>
    <s v="USD"/>
    <n v="1399093200"/>
    <n v="1399093200"/>
    <x v="220"/>
    <d v="2014-05-03T05:00:00"/>
    <s v="Sat"/>
    <x v="14"/>
    <b v="1"/>
    <b v="0"/>
    <s v="music/rock"/>
    <x v="1"/>
    <x v="1"/>
  </r>
  <r>
    <n v="226"/>
    <s v="Garcia Inc"/>
    <s v="Progressive neutral middleware"/>
    <n v="3000"/>
    <n v="10999"/>
    <n v="3.6663333333333332"/>
    <x v="1"/>
    <n v="112"/>
    <n v="98.205357142857139"/>
    <x v="1"/>
    <s v="USD"/>
    <n v="1270702800"/>
    <n v="1273899600"/>
    <x v="221"/>
    <d v="2010-05-15T05:00:00"/>
    <s v="Thu"/>
    <x v="22"/>
    <b v="0"/>
    <b v="0"/>
    <s v="photography/photography books"/>
    <x v="7"/>
    <x v="14"/>
  </r>
  <r>
    <n v="227"/>
    <s v="Johnson-Lee"/>
    <s v="Intuitive exuding process improvement"/>
    <n v="60900"/>
    <n v="102751"/>
    <n v="1.687208538587849"/>
    <x v="1"/>
    <n v="943"/>
    <n v="108.96182396606575"/>
    <x v="1"/>
    <s v="USD"/>
    <n v="1431666000"/>
    <n v="1432184400"/>
    <x v="222"/>
    <d v="2015-05-21T05:00:00"/>
    <s v="Fri"/>
    <x v="8"/>
    <b v="0"/>
    <b v="0"/>
    <s v="games/mobile games"/>
    <x v="6"/>
    <x v="20"/>
  </r>
  <r>
    <n v="228"/>
    <s v="Pineda Group"/>
    <s v="Exclusive real-time protocol"/>
    <n v="137900"/>
    <n v="165352"/>
    <n v="1.1990717911530093"/>
    <x v="1"/>
    <n v="2468"/>
    <n v="66.998379254457049"/>
    <x v="1"/>
    <s v="USD"/>
    <n v="1472619600"/>
    <n v="1474779600"/>
    <x v="172"/>
    <d v="2016-09-25T05:00:00"/>
    <s v="Wed"/>
    <x v="24"/>
    <b v="0"/>
    <b v="0"/>
    <s v="film &amp; video/animation"/>
    <x v="4"/>
    <x v="10"/>
  </r>
  <r>
    <n v="229"/>
    <s v="Hoffman-Howard"/>
    <s v="Extended encompassing application"/>
    <n v="85600"/>
    <n v="165798"/>
    <n v="1.936892523364486"/>
    <x v="1"/>
    <n v="2551"/>
    <n v="64.99333594668758"/>
    <x v="1"/>
    <s v="USD"/>
    <n v="1496293200"/>
    <n v="1500440400"/>
    <x v="223"/>
    <d v="2017-07-19T05:00:00"/>
    <s v="Thu"/>
    <x v="7"/>
    <b v="0"/>
    <b v="1"/>
    <s v="games/mobile games"/>
    <x v="6"/>
    <x v="20"/>
  </r>
  <r>
    <n v="230"/>
    <s v="Miranda, Hall and Mcgrath"/>
    <s v="Progressive value-added ability"/>
    <n v="2400"/>
    <n v="10084"/>
    <n v="4.2016666666666671"/>
    <x v="1"/>
    <n v="101"/>
    <n v="99.841584158415841"/>
    <x v="1"/>
    <s v="USD"/>
    <n v="1575612000"/>
    <n v="1575612000"/>
    <x v="224"/>
    <d v="2019-12-06T06:00:00"/>
    <s v="Fri"/>
    <x v="14"/>
    <b v="0"/>
    <b v="0"/>
    <s v="games/video games"/>
    <x v="6"/>
    <x v="11"/>
  </r>
  <r>
    <n v="231"/>
    <s v="Williams, Carter and Gonzalez"/>
    <s v="Cross-platform uniform hardware"/>
    <n v="7200"/>
    <n v="5523"/>
    <n v="0.76708333333333334"/>
    <x v="3"/>
    <n v="67"/>
    <n v="82.432835820895519"/>
    <x v="1"/>
    <s v="USD"/>
    <n v="1369112400"/>
    <n v="1374123600"/>
    <x v="225"/>
    <d v="2013-07-18T05:00:00"/>
    <s v="Tue"/>
    <x v="50"/>
    <b v="0"/>
    <b v="0"/>
    <s v="theater/plays"/>
    <x v="3"/>
    <x v="3"/>
  </r>
  <r>
    <n v="232"/>
    <s v="Davis-Rodriguez"/>
    <s v="Progressive secondary portal"/>
    <n v="3400"/>
    <n v="5823"/>
    <n v="1.7126470588235294"/>
    <x v="1"/>
    <n v="92"/>
    <n v="63.293478260869563"/>
    <x v="1"/>
    <s v="USD"/>
    <n v="1469422800"/>
    <n v="1469509200"/>
    <x v="226"/>
    <d v="2016-07-26T05:00:00"/>
    <s v="Mon"/>
    <x v="5"/>
    <b v="0"/>
    <b v="0"/>
    <s v="theater/plays"/>
    <x v="3"/>
    <x v="3"/>
  </r>
  <r>
    <n v="233"/>
    <s v="Reid, Rivera and Perry"/>
    <s v="Multi-lateral national adapter"/>
    <n v="3800"/>
    <n v="6000"/>
    <n v="1.5789473684210527"/>
    <x v="1"/>
    <n v="62"/>
    <n v="96.774193548387103"/>
    <x v="1"/>
    <s v="USD"/>
    <n v="1307854800"/>
    <n v="1309237200"/>
    <x v="227"/>
    <d v="2011-06-28T05:00:00"/>
    <s v="Sun"/>
    <x v="30"/>
    <b v="0"/>
    <b v="0"/>
    <s v="film &amp; video/animation"/>
    <x v="4"/>
    <x v="10"/>
  </r>
  <r>
    <n v="234"/>
    <s v="Mendoza-Parker"/>
    <s v="Enterprise-wide motivating matrices"/>
    <n v="7500"/>
    <n v="8181"/>
    <n v="1.0908"/>
    <x v="1"/>
    <n v="149"/>
    <n v="54.906040268456373"/>
    <x v="6"/>
    <s v="EUR"/>
    <n v="1503378000"/>
    <n v="1503982800"/>
    <x v="228"/>
    <d v="2017-08-29T05:00:00"/>
    <s v="Tue"/>
    <x v="34"/>
    <b v="0"/>
    <b v="1"/>
    <s v="games/video games"/>
    <x v="6"/>
    <x v="11"/>
  </r>
  <r>
    <n v="235"/>
    <s v="Lee, Ali and Guzman"/>
    <s v="Polarized upward-trending Local Area Network"/>
    <n v="8600"/>
    <n v="3589"/>
    <n v="0.41732558139534881"/>
    <x v="0"/>
    <n v="92"/>
    <n v="39.010869565217391"/>
    <x v="1"/>
    <s v="USD"/>
    <n v="1486965600"/>
    <n v="1487397600"/>
    <x v="229"/>
    <d v="2017-02-18T06:00:00"/>
    <s v="Mon"/>
    <x v="20"/>
    <b v="0"/>
    <b v="0"/>
    <s v="film &amp; video/animation"/>
    <x v="4"/>
    <x v="10"/>
  </r>
  <r>
    <n v="236"/>
    <s v="Gallegos-Cobb"/>
    <s v="Object-based directional function"/>
    <n v="39500"/>
    <n v="4323"/>
    <n v="0.10944303797468355"/>
    <x v="0"/>
    <n v="57"/>
    <n v="75.84210526315789"/>
    <x v="2"/>
    <s v="AUD"/>
    <n v="1561438800"/>
    <n v="1562043600"/>
    <x v="230"/>
    <d v="2019-07-02T05:00:00"/>
    <s v="Tue"/>
    <x v="34"/>
    <b v="0"/>
    <b v="1"/>
    <s v="music/rock"/>
    <x v="1"/>
    <x v="1"/>
  </r>
  <r>
    <n v="237"/>
    <s v="Ellison PLC"/>
    <s v="Re-contextualized tangible open architecture"/>
    <n v="9300"/>
    <n v="14822"/>
    <n v="1.593763440860215"/>
    <x v="1"/>
    <n v="329"/>
    <n v="45.051671732522799"/>
    <x v="1"/>
    <s v="USD"/>
    <n v="1398402000"/>
    <n v="1398574800"/>
    <x v="231"/>
    <d v="2014-04-27T05:00:00"/>
    <s v="Fri"/>
    <x v="1"/>
    <b v="0"/>
    <b v="0"/>
    <s v="film &amp; video/animation"/>
    <x v="4"/>
    <x v="10"/>
  </r>
  <r>
    <n v="238"/>
    <s v="Bolton, Sanchez and Carrillo"/>
    <s v="Distributed systemic adapter"/>
    <n v="2400"/>
    <n v="10138"/>
    <n v="4.2241666666666671"/>
    <x v="1"/>
    <n v="97"/>
    <n v="104.51546391752578"/>
    <x v="3"/>
    <s v="DKK"/>
    <n v="1513231200"/>
    <n v="1515391200"/>
    <x v="232"/>
    <d v="2018-01-08T06:00:00"/>
    <s v="Thu"/>
    <x v="24"/>
    <b v="0"/>
    <b v="1"/>
    <s v="theater/plays"/>
    <x v="3"/>
    <x v="3"/>
  </r>
  <r>
    <n v="239"/>
    <s v="Mason-Sanders"/>
    <s v="Networked web-enabled instruction set"/>
    <n v="3200"/>
    <n v="3127"/>
    <n v="0.97718749999999999"/>
    <x v="0"/>
    <n v="41"/>
    <n v="76.268292682926827"/>
    <x v="1"/>
    <s v="USD"/>
    <n v="1440824400"/>
    <n v="1441170000"/>
    <x v="233"/>
    <d v="2015-09-02T05:00:00"/>
    <s v="Sat"/>
    <x v="3"/>
    <b v="0"/>
    <b v="0"/>
    <s v="technology/wearables"/>
    <x v="2"/>
    <x v="8"/>
  </r>
  <r>
    <n v="240"/>
    <s v="Pitts-Reed"/>
    <s v="Vision-oriented dynamic service-desk"/>
    <n v="29400"/>
    <n v="123124"/>
    <n v="4.1878911564625847"/>
    <x v="1"/>
    <n v="1784"/>
    <n v="69.015695067264573"/>
    <x v="1"/>
    <s v="USD"/>
    <n v="1281070800"/>
    <n v="1281157200"/>
    <x v="194"/>
    <d v="2010-08-07T05:00:00"/>
    <s v="Fri"/>
    <x v="5"/>
    <b v="0"/>
    <b v="0"/>
    <s v="theater/plays"/>
    <x v="3"/>
    <x v="3"/>
  </r>
  <r>
    <n v="241"/>
    <s v="Gonzalez-Martinez"/>
    <s v="Vision-oriented actuating open system"/>
    <n v="168500"/>
    <n v="171729"/>
    <n v="1.0191632047477746"/>
    <x v="1"/>
    <n v="1684"/>
    <n v="101.97684085510689"/>
    <x v="2"/>
    <s v="AUD"/>
    <n v="1397365200"/>
    <n v="1398229200"/>
    <x v="234"/>
    <d v="2014-04-23T05:00:00"/>
    <s v="Sun"/>
    <x v="39"/>
    <b v="0"/>
    <b v="1"/>
    <s v="publishing/nonfiction"/>
    <x v="5"/>
    <x v="9"/>
  </r>
  <r>
    <n v="242"/>
    <s v="Hill, Martin and Garcia"/>
    <s v="Sharable scalable core"/>
    <n v="8400"/>
    <n v="10729"/>
    <n v="1.2772619047619047"/>
    <x v="1"/>
    <n v="250"/>
    <n v="42.915999999999997"/>
    <x v="1"/>
    <s v="USD"/>
    <n v="1494392400"/>
    <n v="1495256400"/>
    <x v="235"/>
    <d v="2017-05-20T05:00:00"/>
    <s v="Wed"/>
    <x v="39"/>
    <b v="0"/>
    <b v="1"/>
    <s v="music/rock"/>
    <x v="1"/>
    <x v="1"/>
  </r>
  <r>
    <n v="243"/>
    <s v="Garcia PLC"/>
    <s v="Customer-focused attitude-oriented function"/>
    <n v="2300"/>
    <n v="10240"/>
    <n v="4.4521739130434783"/>
    <x v="1"/>
    <n v="238"/>
    <n v="43.025210084033617"/>
    <x v="1"/>
    <s v="USD"/>
    <n v="1520143200"/>
    <n v="1520402400"/>
    <x v="236"/>
    <d v="2018-03-07T06:00:00"/>
    <s v="Sun"/>
    <x v="36"/>
    <b v="0"/>
    <b v="0"/>
    <s v="theater/plays"/>
    <x v="3"/>
    <x v="3"/>
  </r>
  <r>
    <n v="244"/>
    <s v="Herring-Bailey"/>
    <s v="Reverse-engineered system-worthy extranet"/>
    <n v="700"/>
    <n v="3988"/>
    <n v="5.6971428571428575"/>
    <x v="1"/>
    <n v="53"/>
    <n v="75.245283018867923"/>
    <x v="1"/>
    <s v="USD"/>
    <n v="1405314000"/>
    <n v="1409806800"/>
    <x v="237"/>
    <d v="2014-09-04T05:00:00"/>
    <s v="Mon"/>
    <x v="45"/>
    <b v="0"/>
    <b v="0"/>
    <s v="theater/plays"/>
    <x v="3"/>
    <x v="3"/>
  </r>
  <r>
    <n v="245"/>
    <s v="Russell-Gardner"/>
    <s v="Re-engineered systematic monitoring"/>
    <n v="2900"/>
    <n v="14771"/>
    <n v="5.0934482758620687"/>
    <x v="1"/>
    <n v="214"/>
    <n v="69.023364485981304"/>
    <x v="1"/>
    <s v="USD"/>
    <n v="1396846800"/>
    <n v="1396933200"/>
    <x v="238"/>
    <d v="2014-04-08T05:00:00"/>
    <s v="Mon"/>
    <x v="5"/>
    <b v="0"/>
    <b v="0"/>
    <s v="theater/plays"/>
    <x v="3"/>
    <x v="3"/>
  </r>
  <r>
    <n v="246"/>
    <s v="Walters-Carter"/>
    <s v="Seamless value-added standardization"/>
    <n v="4500"/>
    <n v="14649"/>
    <n v="3.2553333333333332"/>
    <x v="1"/>
    <n v="222"/>
    <n v="65.986486486486484"/>
    <x v="1"/>
    <s v="USD"/>
    <n v="1375678800"/>
    <n v="1376024400"/>
    <x v="239"/>
    <d v="2013-08-09T05:00:00"/>
    <s v="Mon"/>
    <x v="3"/>
    <b v="0"/>
    <b v="0"/>
    <s v="technology/web"/>
    <x v="2"/>
    <x v="2"/>
  </r>
  <r>
    <n v="247"/>
    <s v="Johnson, Patterson and Montoya"/>
    <s v="Triple-buffered fresh-thinking frame"/>
    <n v="19800"/>
    <n v="184658"/>
    <n v="9.3261616161616168"/>
    <x v="1"/>
    <n v="1884"/>
    <n v="98.013800424628457"/>
    <x v="1"/>
    <s v="USD"/>
    <n v="1482386400"/>
    <n v="1483682400"/>
    <x v="240"/>
    <d v="2017-01-06T06:00:00"/>
    <s v="Thu"/>
    <x v="16"/>
    <b v="0"/>
    <b v="1"/>
    <s v="publishing/fiction"/>
    <x v="5"/>
    <x v="13"/>
  </r>
  <r>
    <n v="248"/>
    <s v="Roberts and Sons"/>
    <s v="Streamlined holistic knowledgebase"/>
    <n v="6200"/>
    <n v="13103"/>
    <n v="2.1133870967741935"/>
    <x v="1"/>
    <n v="218"/>
    <n v="60.105504587155963"/>
    <x v="2"/>
    <s v="AUD"/>
    <n v="1420005600"/>
    <n v="1420437600"/>
    <x v="241"/>
    <d v="2015-01-05T06:00:00"/>
    <s v="Wed"/>
    <x v="20"/>
    <b v="0"/>
    <b v="0"/>
    <s v="games/mobile games"/>
    <x v="6"/>
    <x v="20"/>
  </r>
  <r>
    <n v="249"/>
    <s v="Avila-Nelson"/>
    <s v="Up-sized intermediate website"/>
    <n v="61500"/>
    <n v="168095"/>
    <n v="2.7332520325203253"/>
    <x v="1"/>
    <n v="6465"/>
    <n v="26.000773395204948"/>
    <x v="1"/>
    <s v="USD"/>
    <n v="1420178400"/>
    <n v="1420783200"/>
    <x v="242"/>
    <d v="2015-01-09T06:00:00"/>
    <s v="Fri"/>
    <x v="34"/>
    <b v="0"/>
    <b v="0"/>
    <s v="publishing/translations"/>
    <x v="5"/>
    <x v="18"/>
  </r>
  <r>
    <n v="250"/>
    <s v="Robbins and Sons"/>
    <s v="Future-proofed directional synergy"/>
    <n v="100"/>
    <n v="3"/>
    <n v="0.03"/>
    <x v="0"/>
    <n v="1"/>
    <n v="3"/>
    <x v="1"/>
    <s v="USD"/>
    <n v="1264399200"/>
    <n v="1267423200"/>
    <x v="67"/>
    <d v="2010-03-01T06:00:00"/>
    <s v="Mon"/>
    <x v="43"/>
    <b v="0"/>
    <b v="0"/>
    <s v="music/rock"/>
    <x v="1"/>
    <x v="1"/>
  </r>
  <r>
    <n v="251"/>
    <s v="Singleton Ltd"/>
    <s v="Enhanced user-facing function"/>
    <n v="7100"/>
    <n v="3840"/>
    <n v="0.54084507042253516"/>
    <x v="0"/>
    <n v="101"/>
    <n v="38.019801980198018"/>
    <x v="1"/>
    <s v="USD"/>
    <n v="1355032800"/>
    <n v="1355205600"/>
    <x v="243"/>
    <d v="2012-12-11T06:00:00"/>
    <s v="Sun"/>
    <x v="1"/>
    <b v="0"/>
    <b v="0"/>
    <s v="theater/plays"/>
    <x v="3"/>
    <x v="3"/>
  </r>
  <r>
    <n v="252"/>
    <s v="Perez PLC"/>
    <s v="Operative bandwidth-monitored interface"/>
    <n v="1000"/>
    <n v="6263"/>
    <n v="6.2629999999999999"/>
    <x v="1"/>
    <n v="59"/>
    <n v="106.15254237288136"/>
    <x v="1"/>
    <s v="USD"/>
    <n v="1382677200"/>
    <n v="1383109200"/>
    <x v="244"/>
    <d v="2013-10-30T05:00:00"/>
    <s v="Fri"/>
    <x v="20"/>
    <b v="0"/>
    <b v="0"/>
    <s v="theater/plays"/>
    <x v="3"/>
    <x v="3"/>
  </r>
  <r>
    <n v="253"/>
    <s v="Rogers, Jacobs and Jackson"/>
    <s v="Upgradable multi-state instruction set"/>
    <n v="121500"/>
    <n v="108161"/>
    <n v="0.8902139917695473"/>
    <x v="0"/>
    <n v="1335"/>
    <n v="81.019475655430711"/>
    <x v="0"/>
    <s v="CAD"/>
    <n v="1302238800"/>
    <n v="1303275600"/>
    <x v="245"/>
    <d v="2011-04-20T05:00:00"/>
    <s v="Fri"/>
    <x v="10"/>
    <b v="0"/>
    <b v="0"/>
    <s v="film &amp; video/drama"/>
    <x v="4"/>
    <x v="6"/>
  </r>
  <r>
    <n v="254"/>
    <s v="Barry Group"/>
    <s v="De-engineered static Local Area Network"/>
    <n v="4600"/>
    <n v="8505"/>
    <n v="1.8489130434782608"/>
    <x v="1"/>
    <n v="88"/>
    <n v="96.647727272727266"/>
    <x v="1"/>
    <s v="USD"/>
    <n v="1487656800"/>
    <n v="1487829600"/>
    <x v="246"/>
    <d v="2017-02-23T06:00:00"/>
    <s v="Tue"/>
    <x v="1"/>
    <b v="0"/>
    <b v="0"/>
    <s v="publishing/nonfiction"/>
    <x v="5"/>
    <x v="9"/>
  </r>
  <r>
    <n v="255"/>
    <s v="Rosales, Branch and Harmon"/>
    <s v="Upgradable grid-enabled superstructure"/>
    <n v="80500"/>
    <n v="96735"/>
    <n v="1.2016770186335404"/>
    <x v="1"/>
    <n v="1697"/>
    <n v="57.003535651149086"/>
    <x v="1"/>
    <s v="USD"/>
    <n v="1297836000"/>
    <n v="1298268000"/>
    <x v="247"/>
    <d v="2011-02-21T06:00:00"/>
    <s v="Wed"/>
    <x v="20"/>
    <b v="0"/>
    <b v="1"/>
    <s v="music/rock"/>
    <x v="1"/>
    <x v="1"/>
  </r>
  <r>
    <n v="256"/>
    <s v="Smith-Reid"/>
    <s v="Optimized actuating toolset"/>
    <n v="4100"/>
    <n v="959"/>
    <n v="0.23390243902439026"/>
    <x v="0"/>
    <n v="15"/>
    <n v="63.93333333333333"/>
    <x v="4"/>
    <s v="GBP"/>
    <n v="1453615200"/>
    <n v="1456812000"/>
    <x v="248"/>
    <d v="2016-03-01T06:00:00"/>
    <s v="Sun"/>
    <x v="22"/>
    <b v="0"/>
    <b v="0"/>
    <s v="music/rock"/>
    <x v="1"/>
    <x v="1"/>
  </r>
  <r>
    <n v="257"/>
    <s v="Williams Inc"/>
    <s v="Decentralized exuding strategy"/>
    <n v="5700"/>
    <n v="8322"/>
    <n v="1.46"/>
    <x v="1"/>
    <n v="92"/>
    <n v="90.456521739130437"/>
    <x v="1"/>
    <s v="USD"/>
    <n v="1362463200"/>
    <n v="1363669200"/>
    <x v="249"/>
    <d v="2013-03-19T05:00:00"/>
    <s v="Tue"/>
    <x v="26"/>
    <b v="0"/>
    <b v="0"/>
    <s v="theater/plays"/>
    <x v="3"/>
    <x v="3"/>
  </r>
  <r>
    <n v="258"/>
    <s v="Duncan, Mcdonald and Miller"/>
    <s v="Assimilated coherent hardware"/>
    <n v="5000"/>
    <n v="13424"/>
    <n v="2.6848000000000001"/>
    <x v="1"/>
    <n v="186"/>
    <n v="72.172043010752688"/>
    <x v="1"/>
    <s v="USD"/>
    <n v="1481176800"/>
    <n v="1482904800"/>
    <x v="250"/>
    <d v="2016-12-28T06:00:00"/>
    <s v="Thu"/>
    <x v="18"/>
    <b v="0"/>
    <b v="1"/>
    <s v="theater/plays"/>
    <x v="3"/>
    <x v="3"/>
  </r>
  <r>
    <n v="259"/>
    <s v="Watkins Ltd"/>
    <s v="Multi-channeled responsive implementation"/>
    <n v="1800"/>
    <n v="10755"/>
    <n v="5.9749999999999996"/>
    <x v="1"/>
    <n v="138"/>
    <n v="77.934782608695656"/>
    <x v="1"/>
    <s v="USD"/>
    <n v="1354946400"/>
    <n v="1356588000"/>
    <x v="251"/>
    <d v="2012-12-27T06:00:00"/>
    <s v="Sat"/>
    <x v="27"/>
    <b v="1"/>
    <b v="0"/>
    <s v="photography/photography books"/>
    <x v="7"/>
    <x v="14"/>
  </r>
  <r>
    <n v="260"/>
    <s v="Allen-Jones"/>
    <s v="Centralized modular initiative"/>
    <n v="6300"/>
    <n v="9935"/>
    <n v="1.5769841269841269"/>
    <x v="1"/>
    <n v="261"/>
    <n v="38.065134099616856"/>
    <x v="1"/>
    <s v="USD"/>
    <n v="1348808400"/>
    <n v="1349845200"/>
    <x v="136"/>
    <d v="2012-10-10T05:00:00"/>
    <s v="Fri"/>
    <x v="10"/>
    <b v="0"/>
    <b v="0"/>
    <s v="music/rock"/>
    <x v="1"/>
    <x v="1"/>
  </r>
  <r>
    <n v="261"/>
    <s v="Mason-Smith"/>
    <s v="Reverse-engineered cohesive migration"/>
    <n v="84300"/>
    <n v="26303"/>
    <n v="0.31201660735468567"/>
    <x v="0"/>
    <n v="454"/>
    <n v="57.936123348017624"/>
    <x v="1"/>
    <s v="USD"/>
    <n v="1282712400"/>
    <n v="1283058000"/>
    <x v="252"/>
    <d v="2010-08-29T05:00:00"/>
    <s v="Wed"/>
    <x v="3"/>
    <b v="0"/>
    <b v="1"/>
    <s v="music/rock"/>
    <x v="1"/>
    <x v="1"/>
  </r>
  <r>
    <n v="262"/>
    <s v="Lloyd, Kennedy and Davis"/>
    <s v="Compatible multimedia hub"/>
    <n v="1700"/>
    <n v="5328"/>
    <n v="3.1341176470588237"/>
    <x v="1"/>
    <n v="107"/>
    <n v="49.794392523364486"/>
    <x v="1"/>
    <s v="USD"/>
    <n v="1301979600"/>
    <n v="1304226000"/>
    <x v="253"/>
    <d v="2011-05-01T05:00:00"/>
    <s v="Tue"/>
    <x v="28"/>
    <b v="0"/>
    <b v="1"/>
    <s v="music/indie rock"/>
    <x v="1"/>
    <x v="7"/>
  </r>
  <r>
    <n v="263"/>
    <s v="Walker Ltd"/>
    <s v="Organic eco-centric success"/>
    <n v="2900"/>
    <n v="10756"/>
    <n v="3.7089655172413791"/>
    <x v="1"/>
    <n v="199"/>
    <n v="54.050251256281406"/>
    <x v="1"/>
    <s v="USD"/>
    <n v="1263016800"/>
    <n v="1263016800"/>
    <x v="254"/>
    <d v="2010-01-09T06:00:00"/>
    <s v="Sat"/>
    <x v="14"/>
    <b v="0"/>
    <b v="0"/>
    <s v="photography/photography books"/>
    <x v="7"/>
    <x v="14"/>
  </r>
  <r>
    <n v="264"/>
    <s v="Gordon PLC"/>
    <s v="Virtual reciprocal policy"/>
    <n v="45600"/>
    <n v="165375"/>
    <n v="3.6266447368421053"/>
    <x v="1"/>
    <n v="5512"/>
    <n v="30.002721335268504"/>
    <x v="1"/>
    <s v="USD"/>
    <n v="1360648800"/>
    <n v="1362031200"/>
    <x v="255"/>
    <d v="2013-02-28T06:00:00"/>
    <s v="Tue"/>
    <x v="30"/>
    <b v="0"/>
    <b v="0"/>
    <s v="theater/plays"/>
    <x v="3"/>
    <x v="3"/>
  </r>
  <r>
    <n v="265"/>
    <s v="Lee and Sons"/>
    <s v="Persevering interactive emulation"/>
    <n v="4900"/>
    <n v="6031"/>
    <n v="1.2308163265306122"/>
    <x v="1"/>
    <n v="86"/>
    <n v="70.127906976744185"/>
    <x v="1"/>
    <s v="USD"/>
    <n v="1451800800"/>
    <n v="1455602400"/>
    <x v="256"/>
    <d v="2016-02-16T06:00:00"/>
    <s v="Sun"/>
    <x v="51"/>
    <b v="0"/>
    <b v="0"/>
    <s v="theater/plays"/>
    <x v="3"/>
    <x v="3"/>
  </r>
  <r>
    <n v="266"/>
    <s v="Cole LLC"/>
    <s v="Proactive responsive emulation"/>
    <n v="111900"/>
    <n v="85902"/>
    <n v="0.76766756032171579"/>
    <x v="0"/>
    <n v="3182"/>
    <n v="26.996228786926462"/>
    <x v="6"/>
    <s v="EUR"/>
    <n v="1415340000"/>
    <n v="1418191200"/>
    <x v="257"/>
    <d v="2014-12-10T06:00:00"/>
    <s v="Fri"/>
    <x v="25"/>
    <b v="0"/>
    <b v="1"/>
    <s v="music/jazz"/>
    <x v="1"/>
    <x v="17"/>
  </r>
  <r>
    <n v="267"/>
    <s v="Acosta PLC"/>
    <s v="Extended eco-centric function"/>
    <n v="61600"/>
    <n v="143910"/>
    <n v="2.3362012987012988"/>
    <x v="1"/>
    <n v="2768"/>
    <n v="51.990606936416185"/>
    <x v="2"/>
    <s v="AUD"/>
    <n v="1351054800"/>
    <n v="1352440800"/>
    <x v="258"/>
    <d v="2012-11-09T06:00:00"/>
    <s v="Wed"/>
    <x v="30"/>
    <b v="0"/>
    <b v="0"/>
    <s v="theater/plays"/>
    <x v="3"/>
    <x v="3"/>
  </r>
  <r>
    <n v="268"/>
    <s v="Brown-Mckee"/>
    <s v="Networked optimal productivity"/>
    <n v="1500"/>
    <n v="2708"/>
    <n v="1.8053333333333332"/>
    <x v="1"/>
    <n v="48"/>
    <n v="56.416666666666664"/>
    <x v="1"/>
    <s v="USD"/>
    <n v="1349326800"/>
    <n v="1353304800"/>
    <x v="259"/>
    <d v="2012-11-19T06:00:00"/>
    <s v="Thu"/>
    <x v="49"/>
    <b v="0"/>
    <b v="0"/>
    <s v="film &amp; video/documentary"/>
    <x v="4"/>
    <x v="4"/>
  </r>
  <r>
    <n v="269"/>
    <s v="Miles and Sons"/>
    <s v="Persistent attitude-oriented approach"/>
    <n v="3500"/>
    <n v="8842"/>
    <n v="2.5262857142857142"/>
    <x v="1"/>
    <n v="87"/>
    <n v="101.63218390804597"/>
    <x v="1"/>
    <s v="USD"/>
    <n v="1548914400"/>
    <n v="1550728800"/>
    <x v="260"/>
    <d v="2019-02-21T06:00:00"/>
    <s v="Thu"/>
    <x v="13"/>
    <b v="0"/>
    <b v="0"/>
    <s v="film &amp; video/television"/>
    <x v="4"/>
    <x v="19"/>
  </r>
  <r>
    <n v="270"/>
    <s v="Sawyer, Horton and Williams"/>
    <s v="Triple-buffered 4thgeneration toolset"/>
    <n v="173900"/>
    <n v="47260"/>
    <n v="0.27176538240368026"/>
    <x v="3"/>
    <n v="1890"/>
    <n v="25.005291005291006"/>
    <x v="1"/>
    <s v="USD"/>
    <n v="1291269600"/>
    <n v="1291442400"/>
    <x v="261"/>
    <d v="2010-12-04T06:00:00"/>
    <s v="Thu"/>
    <x v="1"/>
    <b v="0"/>
    <b v="0"/>
    <s v="games/video games"/>
    <x v="6"/>
    <x v="11"/>
  </r>
  <r>
    <n v="271"/>
    <s v="Foley-Cox"/>
    <s v="Progressive zero administration leverage"/>
    <n v="153700"/>
    <n v="1953"/>
    <n v="1.2706571242680547E-2"/>
    <x v="2"/>
    <n v="61"/>
    <n v="32.016393442622949"/>
    <x v="1"/>
    <s v="USD"/>
    <n v="1449468000"/>
    <n v="1452146400"/>
    <x v="262"/>
    <d v="2016-01-07T06:00:00"/>
    <s v="Mon"/>
    <x v="52"/>
    <b v="0"/>
    <b v="0"/>
    <s v="photography/photography books"/>
    <x v="7"/>
    <x v="14"/>
  </r>
  <r>
    <n v="272"/>
    <s v="Horton, Morrison and Clark"/>
    <s v="Networked radical neural-net"/>
    <n v="51100"/>
    <n v="155349"/>
    <n v="3.0400978473581213"/>
    <x v="1"/>
    <n v="1894"/>
    <n v="82.021647307286173"/>
    <x v="1"/>
    <s v="USD"/>
    <n v="1562734800"/>
    <n v="1564894800"/>
    <x v="263"/>
    <d v="2019-08-04T05:00:00"/>
    <s v="Wed"/>
    <x v="24"/>
    <b v="0"/>
    <b v="1"/>
    <s v="theater/plays"/>
    <x v="3"/>
    <x v="3"/>
  </r>
  <r>
    <n v="273"/>
    <s v="Thomas and Sons"/>
    <s v="Re-engineered heuristic forecast"/>
    <n v="7800"/>
    <n v="10704"/>
    <n v="1.3723076923076922"/>
    <x v="1"/>
    <n v="282"/>
    <n v="37.957446808510639"/>
    <x v="0"/>
    <s v="CAD"/>
    <n v="1505624400"/>
    <n v="1505883600"/>
    <x v="264"/>
    <d v="2017-09-20T05:00:00"/>
    <s v="Sun"/>
    <x v="36"/>
    <b v="0"/>
    <b v="0"/>
    <s v="theater/plays"/>
    <x v="3"/>
    <x v="3"/>
  </r>
  <r>
    <n v="274"/>
    <s v="Morgan-Jenkins"/>
    <s v="Fully-configurable background algorithm"/>
    <n v="2400"/>
    <n v="773"/>
    <n v="0.32208333333333333"/>
    <x v="0"/>
    <n v="15"/>
    <n v="51.533333333333331"/>
    <x v="1"/>
    <s v="USD"/>
    <n v="1509948000"/>
    <n v="1510380000"/>
    <x v="265"/>
    <d v="2017-11-11T06:00:00"/>
    <s v="Mon"/>
    <x v="20"/>
    <b v="0"/>
    <b v="0"/>
    <s v="theater/plays"/>
    <x v="3"/>
    <x v="3"/>
  </r>
  <r>
    <n v="275"/>
    <s v="Ward, Sanchez and Kemp"/>
    <s v="Stand-alone discrete Graphical User Interface"/>
    <n v="3900"/>
    <n v="9419"/>
    <n v="2.4151282051282053"/>
    <x v="1"/>
    <n v="116"/>
    <n v="81.198275862068968"/>
    <x v="1"/>
    <s v="USD"/>
    <n v="1554526800"/>
    <n v="1555218000"/>
    <x v="266"/>
    <d v="2019-04-14T05:00:00"/>
    <s v="Sat"/>
    <x v="9"/>
    <b v="0"/>
    <b v="0"/>
    <s v="publishing/translations"/>
    <x v="5"/>
    <x v="18"/>
  </r>
  <r>
    <n v="276"/>
    <s v="Fields Ltd"/>
    <s v="Front-line foreground project"/>
    <n v="5500"/>
    <n v="5324"/>
    <n v="0.96799999999999997"/>
    <x v="0"/>
    <n v="133"/>
    <n v="40.030075187969928"/>
    <x v="1"/>
    <s v="USD"/>
    <n v="1334811600"/>
    <n v="1335243600"/>
    <x v="267"/>
    <d v="2012-04-24T05:00:00"/>
    <s v="Thu"/>
    <x v="20"/>
    <b v="0"/>
    <b v="1"/>
    <s v="games/video games"/>
    <x v="6"/>
    <x v="11"/>
  </r>
  <r>
    <n v="277"/>
    <s v="Ramos-Mitchell"/>
    <s v="Persevering system-worthy info-mediaries"/>
    <n v="700"/>
    <n v="7465"/>
    <n v="10.664285714285715"/>
    <x v="1"/>
    <n v="83"/>
    <n v="89.939759036144579"/>
    <x v="1"/>
    <s v="USD"/>
    <n v="1279515600"/>
    <n v="1279688400"/>
    <x v="268"/>
    <d v="2010-07-21T05:00:00"/>
    <s v="Mon"/>
    <x v="1"/>
    <b v="0"/>
    <b v="0"/>
    <s v="theater/plays"/>
    <x v="3"/>
    <x v="3"/>
  </r>
  <r>
    <n v="278"/>
    <s v="Higgins, Davis and Salazar"/>
    <s v="Distributed multi-tasking strategy"/>
    <n v="2700"/>
    <n v="8799"/>
    <n v="3.2588888888888889"/>
    <x v="1"/>
    <n v="91"/>
    <n v="96.692307692307693"/>
    <x v="1"/>
    <s v="USD"/>
    <n v="1353909600"/>
    <n v="1356069600"/>
    <x v="269"/>
    <d v="2012-12-21T06:00:00"/>
    <s v="Mon"/>
    <x v="24"/>
    <b v="0"/>
    <b v="0"/>
    <s v="technology/web"/>
    <x v="2"/>
    <x v="2"/>
  </r>
  <r>
    <n v="279"/>
    <s v="Smith-Jenkins"/>
    <s v="Vision-oriented methodical application"/>
    <n v="8000"/>
    <n v="13656"/>
    <n v="1.7070000000000001"/>
    <x v="1"/>
    <n v="546"/>
    <n v="25.010989010989011"/>
    <x v="1"/>
    <s v="USD"/>
    <n v="1535950800"/>
    <n v="1536210000"/>
    <x v="270"/>
    <d v="2018-09-06T05:00:00"/>
    <s v="Mon"/>
    <x v="36"/>
    <b v="0"/>
    <b v="0"/>
    <s v="theater/plays"/>
    <x v="3"/>
    <x v="3"/>
  </r>
  <r>
    <n v="280"/>
    <s v="Braun PLC"/>
    <s v="Function-based high-level infrastructure"/>
    <n v="2500"/>
    <n v="14536"/>
    <n v="5.8144"/>
    <x v="1"/>
    <n v="393"/>
    <n v="36.987277353689571"/>
    <x v="1"/>
    <s v="USD"/>
    <n v="1511244000"/>
    <n v="1511762400"/>
    <x v="271"/>
    <d v="2017-11-27T06:00:00"/>
    <s v="Tue"/>
    <x v="8"/>
    <b v="0"/>
    <b v="0"/>
    <s v="film &amp; video/animation"/>
    <x v="4"/>
    <x v="10"/>
  </r>
  <r>
    <n v="281"/>
    <s v="Drake PLC"/>
    <s v="Profound object-oriented paradigm"/>
    <n v="164500"/>
    <n v="150552"/>
    <n v="0.91520972644376897"/>
    <x v="0"/>
    <n v="2062"/>
    <n v="73.012609117361791"/>
    <x v="1"/>
    <s v="USD"/>
    <n v="1331445600"/>
    <n v="1333256400"/>
    <x v="272"/>
    <d v="2012-04-01T05:00:00"/>
    <s v="Sun"/>
    <x v="13"/>
    <b v="0"/>
    <b v="1"/>
    <s v="theater/plays"/>
    <x v="3"/>
    <x v="3"/>
  </r>
  <r>
    <n v="282"/>
    <s v="Ross, Kelly and Brown"/>
    <s v="Virtual contextually-based circuit"/>
    <n v="8400"/>
    <n v="9076"/>
    <n v="1.0804761904761904"/>
    <x v="1"/>
    <n v="133"/>
    <n v="68.240601503759393"/>
    <x v="1"/>
    <s v="USD"/>
    <n v="1480226400"/>
    <n v="1480744800"/>
    <x v="73"/>
    <d v="2016-12-03T06:00:00"/>
    <s v="Sun"/>
    <x v="8"/>
    <b v="0"/>
    <b v="1"/>
    <s v="film &amp; video/television"/>
    <x v="4"/>
    <x v="19"/>
  </r>
  <r>
    <n v="283"/>
    <s v="Lucas-Mullins"/>
    <s v="Business-focused dynamic instruction set"/>
    <n v="8100"/>
    <n v="1517"/>
    <n v="0.18728395061728395"/>
    <x v="0"/>
    <n v="29"/>
    <n v="52.310344827586206"/>
    <x v="3"/>
    <s v="DKK"/>
    <n v="1464584400"/>
    <n v="1465016400"/>
    <x v="273"/>
    <d v="2016-06-04T05:00:00"/>
    <s v="Mon"/>
    <x v="20"/>
    <b v="0"/>
    <b v="0"/>
    <s v="music/rock"/>
    <x v="1"/>
    <x v="1"/>
  </r>
  <r>
    <n v="284"/>
    <s v="Tran LLC"/>
    <s v="Ameliorated fresh-thinking protocol"/>
    <n v="9800"/>
    <n v="8153"/>
    <n v="0.83193877551020412"/>
    <x v="0"/>
    <n v="132"/>
    <n v="61.765151515151516"/>
    <x v="1"/>
    <s v="USD"/>
    <n v="1335848400"/>
    <n v="1336280400"/>
    <x v="274"/>
    <d v="2012-05-06T05:00:00"/>
    <s v="Tue"/>
    <x v="20"/>
    <b v="0"/>
    <b v="0"/>
    <s v="technology/web"/>
    <x v="2"/>
    <x v="2"/>
  </r>
  <r>
    <n v="285"/>
    <s v="Dawson, Brady and Gilbert"/>
    <s v="Front-line optimizing emulation"/>
    <n v="900"/>
    <n v="6357"/>
    <n v="7.0633333333333335"/>
    <x v="1"/>
    <n v="254"/>
    <n v="25.027559055118111"/>
    <x v="1"/>
    <s v="USD"/>
    <n v="1473483600"/>
    <n v="1476766800"/>
    <x v="275"/>
    <d v="2016-10-18T05:00:00"/>
    <s v="Sat"/>
    <x v="53"/>
    <b v="0"/>
    <b v="0"/>
    <s v="theater/plays"/>
    <x v="3"/>
    <x v="3"/>
  </r>
  <r>
    <n v="286"/>
    <s v="Obrien-Aguirre"/>
    <s v="Devolved uniform complexity"/>
    <n v="112100"/>
    <n v="19557"/>
    <n v="0.17446030330062445"/>
    <x v="3"/>
    <n v="184"/>
    <n v="106.28804347826087"/>
    <x v="1"/>
    <s v="USD"/>
    <n v="1479880800"/>
    <n v="1480485600"/>
    <x v="276"/>
    <d v="2016-11-30T06:00:00"/>
    <s v="Wed"/>
    <x v="34"/>
    <b v="0"/>
    <b v="0"/>
    <s v="theater/plays"/>
    <x v="3"/>
    <x v="3"/>
  </r>
  <r>
    <n v="287"/>
    <s v="Ferguson PLC"/>
    <s v="Public-key intangible superstructure"/>
    <n v="6300"/>
    <n v="13213"/>
    <n v="2.0973015873015872"/>
    <x v="1"/>
    <n v="176"/>
    <n v="75.07386363636364"/>
    <x v="1"/>
    <s v="USD"/>
    <n v="1430197200"/>
    <n v="1430197200"/>
    <x v="277"/>
    <d v="2015-04-28T05:00:00"/>
    <s v="Tue"/>
    <x v="14"/>
    <b v="0"/>
    <b v="0"/>
    <s v="music/electric music"/>
    <x v="1"/>
    <x v="5"/>
  </r>
  <r>
    <n v="288"/>
    <s v="Garcia Ltd"/>
    <s v="Secured global success"/>
    <n v="5600"/>
    <n v="5476"/>
    <n v="0.97785714285714287"/>
    <x v="0"/>
    <n v="137"/>
    <n v="39.970802919708028"/>
    <x v="3"/>
    <s v="DKK"/>
    <n v="1331701200"/>
    <n v="1331787600"/>
    <x v="278"/>
    <d v="2012-03-15T05:00:00"/>
    <s v="Wed"/>
    <x v="5"/>
    <b v="0"/>
    <b v="1"/>
    <s v="music/metal"/>
    <x v="1"/>
    <x v="16"/>
  </r>
  <r>
    <n v="289"/>
    <s v="Smith, Love and Smith"/>
    <s v="Grass-roots mission-critical capability"/>
    <n v="800"/>
    <n v="13474"/>
    <n v="16.842500000000001"/>
    <x v="1"/>
    <n v="337"/>
    <n v="39.982195845697326"/>
    <x v="0"/>
    <s v="CAD"/>
    <n v="1438578000"/>
    <n v="1438837200"/>
    <x v="279"/>
    <d v="2015-08-06T05:00:00"/>
    <s v="Mon"/>
    <x v="36"/>
    <b v="0"/>
    <b v="0"/>
    <s v="theater/plays"/>
    <x v="3"/>
    <x v="3"/>
  </r>
  <r>
    <n v="290"/>
    <s v="Wilson, Hall and Osborne"/>
    <s v="Advanced global data-warehouse"/>
    <n v="168600"/>
    <n v="91722"/>
    <n v="0.54402135231316728"/>
    <x v="0"/>
    <n v="908"/>
    <n v="101.01541850220265"/>
    <x v="1"/>
    <s v="USD"/>
    <n v="1368162000"/>
    <n v="1370926800"/>
    <x v="280"/>
    <d v="2013-06-11T05:00:00"/>
    <s v="Fri"/>
    <x v="48"/>
    <b v="0"/>
    <b v="1"/>
    <s v="film &amp; video/documentary"/>
    <x v="4"/>
    <x v="4"/>
  </r>
  <r>
    <n v="291"/>
    <s v="Bell, Grimes and Kerr"/>
    <s v="Self-enabling uniform complexity"/>
    <n v="1800"/>
    <n v="8219"/>
    <n v="4.5661111111111108"/>
    <x v="1"/>
    <n v="107"/>
    <n v="76.813084112149539"/>
    <x v="1"/>
    <s v="USD"/>
    <n v="1318654800"/>
    <n v="1319000400"/>
    <x v="281"/>
    <d v="2011-10-19T05:00:00"/>
    <s v="Sat"/>
    <x v="3"/>
    <b v="1"/>
    <b v="0"/>
    <s v="technology/web"/>
    <x v="2"/>
    <x v="2"/>
  </r>
  <r>
    <n v="292"/>
    <s v="Ho-Harris"/>
    <s v="Versatile cohesive encoding"/>
    <n v="7300"/>
    <n v="717"/>
    <n v="9.8219178082191785E-2"/>
    <x v="0"/>
    <n v="10"/>
    <n v="71.7"/>
    <x v="1"/>
    <s v="USD"/>
    <n v="1331874000"/>
    <n v="1333429200"/>
    <x v="282"/>
    <d v="2012-04-03T05:00:00"/>
    <s v="Fri"/>
    <x v="42"/>
    <b v="0"/>
    <b v="0"/>
    <s v="food/food trucks"/>
    <x v="0"/>
    <x v="0"/>
  </r>
  <r>
    <n v="293"/>
    <s v="Ross Group"/>
    <s v="Organized executive solution"/>
    <n v="6500"/>
    <n v="1065"/>
    <n v="0.16384615384615384"/>
    <x v="3"/>
    <n v="32"/>
    <n v="33.28125"/>
    <x v="6"/>
    <s v="EUR"/>
    <n v="1286254800"/>
    <n v="1287032400"/>
    <x v="283"/>
    <d v="2010-10-14T05:00:00"/>
    <s v="Tue"/>
    <x v="29"/>
    <b v="0"/>
    <b v="0"/>
    <s v="theater/plays"/>
    <x v="3"/>
    <x v="3"/>
  </r>
  <r>
    <n v="294"/>
    <s v="Turner-Davis"/>
    <s v="Automated local emulation"/>
    <n v="600"/>
    <n v="8038"/>
    <n v="13.396666666666667"/>
    <x v="1"/>
    <n v="183"/>
    <n v="43.923497267759565"/>
    <x v="1"/>
    <s v="USD"/>
    <n v="1540530000"/>
    <n v="1541570400"/>
    <x v="284"/>
    <d v="2018-11-07T06:00:00"/>
    <s v="Fri"/>
    <x v="10"/>
    <b v="0"/>
    <b v="0"/>
    <s v="theater/plays"/>
    <x v="3"/>
    <x v="3"/>
  </r>
  <r>
    <n v="295"/>
    <s v="Smith, Jackson and Herrera"/>
    <s v="Enterprise-wide intermediate middleware"/>
    <n v="192900"/>
    <n v="68769"/>
    <n v="0.35650077760497667"/>
    <x v="0"/>
    <n v="1910"/>
    <n v="36.004712041884815"/>
    <x v="5"/>
    <s v="CHF"/>
    <n v="1381813200"/>
    <n v="1383976800"/>
    <x v="285"/>
    <d v="2013-11-09T06:00:00"/>
    <s v="Tue"/>
    <x v="24"/>
    <b v="0"/>
    <b v="0"/>
    <s v="theater/plays"/>
    <x v="3"/>
    <x v="3"/>
  </r>
  <r>
    <n v="296"/>
    <s v="Smith-Hess"/>
    <s v="Grass-roots real-time Local Area Network"/>
    <n v="6100"/>
    <n v="3352"/>
    <n v="0.54950819672131146"/>
    <x v="0"/>
    <n v="38"/>
    <n v="88.21052631578948"/>
    <x v="2"/>
    <s v="AUD"/>
    <n v="1548655200"/>
    <n v="1550556000"/>
    <x v="286"/>
    <d v="2019-02-19T06:00:00"/>
    <s v="Mon"/>
    <x v="12"/>
    <b v="0"/>
    <b v="0"/>
    <s v="theater/plays"/>
    <x v="3"/>
    <x v="3"/>
  </r>
  <r>
    <n v="297"/>
    <s v="Brown, Herring and Bass"/>
    <s v="Organized client-driven capacity"/>
    <n v="7200"/>
    <n v="6785"/>
    <n v="0.94236111111111109"/>
    <x v="0"/>
    <n v="104"/>
    <n v="65.240384615384613"/>
    <x v="2"/>
    <s v="AUD"/>
    <n v="1389679200"/>
    <n v="1390456800"/>
    <x v="287"/>
    <d v="2014-01-23T06:00:00"/>
    <s v="Tue"/>
    <x v="29"/>
    <b v="0"/>
    <b v="1"/>
    <s v="theater/plays"/>
    <x v="3"/>
    <x v="3"/>
  </r>
  <r>
    <n v="298"/>
    <s v="Chase, Garcia and Johnson"/>
    <s v="Adaptive intangible database"/>
    <n v="3500"/>
    <n v="5037"/>
    <n v="1.4391428571428571"/>
    <x v="1"/>
    <n v="72"/>
    <n v="69.958333333333329"/>
    <x v="1"/>
    <s v="USD"/>
    <n v="1456466400"/>
    <n v="1458018000"/>
    <x v="288"/>
    <d v="2016-03-15T05:00:00"/>
    <s v="Fri"/>
    <x v="42"/>
    <b v="0"/>
    <b v="1"/>
    <s v="music/rock"/>
    <x v="1"/>
    <x v="1"/>
  </r>
  <r>
    <n v="299"/>
    <s v="Ramsey and Sons"/>
    <s v="Grass-roots contextually-based algorithm"/>
    <n v="3800"/>
    <n v="1954"/>
    <n v="0.51421052631578945"/>
    <x v="0"/>
    <n v="49"/>
    <n v="39.877551020408163"/>
    <x v="1"/>
    <s v="USD"/>
    <n v="1456984800"/>
    <n v="1461819600"/>
    <x v="289"/>
    <d v="2016-04-28T05:00:00"/>
    <s v="Thu"/>
    <x v="54"/>
    <b v="0"/>
    <b v="0"/>
    <s v="food/food trucks"/>
    <x v="0"/>
    <x v="0"/>
  </r>
  <r>
    <n v="300"/>
    <s v="Cooke PLC"/>
    <s v="Focused executive core"/>
    <n v="100"/>
    <n v="5"/>
    <n v="0.05"/>
    <x v="0"/>
    <n v="1"/>
    <n v="5"/>
    <x v="3"/>
    <s v="DKK"/>
    <n v="1504069200"/>
    <n v="1504155600"/>
    <x v="290"/>
    <d v="2017-08-31T05:00:00"/>
    <s v="Wed"/>
    <x v="5"/>
    <b v="0"/>
    <b v="1"/>
    <s v="publishing/nonfiction"/>
    <x v="5"/>
    <x v="9"/>
  </r>
  <r>
    <n v="301"/>
    <s v="Wong-Walker"/>
    <s v="Multi-channeled disintermediate policy"/>
    <n v="900"/>
    <n v="12102"/>
    <n v="13.446666666666667"/>
    <x v="1"/>
    <n v="295"/>
    <n v="41.023728813559323"/>
    <x v="1"/>
    <s v="USD"/>
    <n v="1424930400"/>
    <n v="1426395600"/>
    <x v="291"/>
    <d v="2015-03-15T05:00:00"/>
    <s v="Thu"/>
    <x v="0"/>
    <b v="0"/>
    <b v="0"/>
    <s v="film &amp; video/documentary"/>
    <x v="4"/>
    <x v="4"/>
  </r>
  <r>
    <n v="302"/>
    <s v="Ferguson, Collins and Mata"/>
    <s v="Customizable bi-directional hardware"/>
    <n v="76100"/>
    <n v="24234"/>
    <n v="0.31844940867279897"/>
    <x v="0"/>
    <n v="245"/>
    <n v="98.914285714285711"/>
    <x v="1"/>
    <s v="USD"/>
    <n v="1535864400"/>
    <n v="1537074000"/>
    <x v="292"/>
    <d v="2018-09-16T05:00:00"/>
    <s v="Sun"/>
    <x v="26"/>
    <b v="0"/>
    <b v="0"/>
    <s v="theater/plays"/>
    <x v="3"/>
    <x v="3"/>
  </r>
  <r>
    <n v="303"/>
    <s v="Guerrero, Flores and Jenkins"/>
    <s v="Networked optimal architecture"/>
    <n v="3400"/>
    <n v="2809"/>
    <n v="0.82617647058823529"/>
    <x v="0"/>
    <n v="32"/>
    <n v="87.78125"/>
    <x v="1"/>
    <s v="USD"/>
    <n v="1452146400"/>
    <n v="1452578400"/>
    <x v="293"/>
    <d v="2016-01-12T06:00:00"/>
    <s v="Thu"/>
    <x v="20"/>
    <b v="0"/>
    <b v="0"/>
    <s v="music/indie rock"/>
    <x v="1"/>
    <x v="7"/>
  </r>
  <r>
    <n v="304"/>
    <s v="Peterson PLC"/>
    <s v="User-friendly discrete benchmark"/>
    <n v="2100"/>
    <n v="11469"/>
    <n v="5.4614285714285717"/>
    <x v="1"/>
    <n v="142"/>
    <n v="80.767605633802816"/>
    <x v="1"/>
    <s v="USD"/>
    <n v="1470546000"/>
    <n v="1474088400"/>
    <x v="294"/>
    <d v="2016-09-17T05:00:00"/>
    <s v="Sun"/>
    <x v="44"/>
    <b v="0"/>
    <b v="0"/>
    <s v="film &amp; video/documentary"/>
    <x v="4"/>
    <x v="4"/>
  </r>
  <r>
    <n v="305"/>
    <s v="Townsend Ltd"/>
    <s v="Grass-roots actuating policy"/>
    <n v="2800"/>
    <n v="8014"/>
    <n v="2.8621428571428571"/>
    <x v="1"/>
    <n v="85"/>
    <n v="94.28235294117647"/>
    <x v="1"/>
    <s v="USD"/>
    <n v="1458363600"/>
    <n v="1461906000"/>
    <x v="295"/>
    <d v="2016-04-29T05:00:00"/>
    <s v="Sat"/>
    <x v="44"/>
    <b v="0"/>
    <b v="0"/>
    <s v="theater/plays"/>
    <x v="3"/>
    <x v="3"/>
  </r>
  <r>
    <n v="306"/>
    <s v="Rush, Reed and Hall"/>
    <s v="Enterprise-wide 3rdgeneration knowledge user"/>
    <n v="6500"/>
    <n v="514"/>
    <n v="7.9076923076923072E-2"/>
    <x v="0"/>
    <n v="7"/>
    <n v="73.428571428571431"/>
    <x v="1"/>
    <s v="USD"/>
    <n v="1500008400"/>
    <n v="1500267600"/>
    <x v="296"/>
    <d v="2017-07-17T05:00:00"/>
    <s v="Fri"/>
    <x v="36"/>
    <b v="0"/>
    <b v="1"/>
    <s v="theater/plays"/>
    <x v="3"/>
    <x v="3"/>
  </r>
  <r>
    <n v="307"/>
    <s v="Salazar-Dodson"/>
    <s v="Face-to-face zero tolerance moderator"/>
    <n v="32900"/>
    <n v="43473"/>
    <n v="1.3213677811550153"/>
    <x v="1"/>
    <n v="659"/>
    <n v="65.968133535660087"/>
    <x v="3"/>
    <s v="DKK"/>
    <n v="1338958800"/>
    <n v="1340686800"/>
    <x v="297"/>
    <d v="2012-06-26T05:00:00"/>
    <s v="Wed"/>
    <x v="18"/>
    <b v="0"/>
    <b v="1"/>
    <s v="publishing/fiction"/>
    <x v="5"/>
    <x v="13"/>
  </r>
  <r>
    <n v="308"/>
    <s v="Davis Ltd"/>
    <s v="Grass-roots optimizing projection"/>
    <n v="118200"/>
    <n v="87560"/>
    <n v="0.74077834179357027"/>
    <x v="0"/>
    <n v="803"/>
    <n v="109.04109589041096"/>
    <x v="1"/>
    <s v="USD"/>
    <n v="1303102800"/>
    <n v="1303189200"/>
    <x v="298"/>
    <d v="2011-04-19T05:00:00"/>
    <s v="Mon"/>
    <x v="5"/>
    <b v="0"/>
    <b v="0"/>
    <s v="theater/plays"/>
    <x v="3"/>
    <x v="3"/>
  </r>
  <r>
    <n v="309"/>
    <s v="Harris-Perry"/>
    <s v="User-centric 6thgeneration attitude"/>
    <n v="4100"/>
    <n v="3087"/>
    <n v="0.75292682926829269"/>
    <x v="3"/>
    <n v="75"/>
    <n v="41.16"/>
    <x v="1"/>
    <s v="USD"/>
    <n v="1316581200"/>
    <n v="1318309200"/>
    <x v="299"/>
    <d v="2011-10-11T05:00:00"/>
    <s v="Wed"/>
    <x v="18"/>
    <b v="0"/>
    <b v="1"/>
    <s v="music/indie rock"/>
    <x v="1"/>
    <x v="7"/>
  </r>
  <r>
    <n v="310"/>
    <s v="Velazquez, Hunt and Ortiz"/>
    <s v="Switchable zero tolerance website"/>
    <n v="7800"/>
    <n v="1586"/>
    <n v="0.20333333333333334"/>
    <x v="0"/>
    <n v="16"/>
    <n v="99.125"/>
    <x v="1"/>
    <s v="USD"/>
    <n v="1270789200"/>
    <n v="1272171600"/>
    <x v="300"/>
    <d v="2010-04-25T05:00:00"/>
    <s v="Fri"/>
    <x v="30"/>
    <b v="0"/>
    <b v="0"/>
    <s v="games/video games"/>
    <x v="6"/>
    <x v="11"/>
  </r>
  <r>
    <n v="311"/>
    <s v="Flores PLC"/>
    <s v="Focused real-time help-desk"/>
    <n v="6300"/>
    <n v="12812"/>
    <n v="2.0336507936507937"/>
    <x v="1"/>
    <n v="121"/>
    <n v="105.88429752066116"/>
    <x v="1"/>
    <s v="USD"/>
    <n v="1297836000"/>
    <n v="1298872800"/>
    <x v="247"/>
    <d v="2011-02-28T06:00:00"/>
    <s v="Wed"/>
    <x v="10"/>
    <b v="0"/>
    <b v="0"/>
    <s v="theater/plays"/>
    <x v="3"/>
    <x v="3"/>
  </r>
  <r>
    <n v="312"/>
    <s v="Martinez LLC"/>
    <s v="Robust impactful approach"/>
    <n v="59100"/>
    <n v="183345"/>
    <n v="3.1022842639593908"/>
    <x v="1"/>
    <n v="3742"/>
    <n v="48.996525921966864"/>
    <x v="1"/>
    <s v="USD"/>
    <n v="1382677200"/>
    <n v="1383282000"/>
    <x v="244"/>
    <d v="2013-11-01T05:00:00"/>
    <s v="Fri"/>
    <x v="34"/>
    <b v="0"/>
    <b v="0"/>
    <s v="theater/plays"/>
    <x v="3"/>
    <x v="3"/>
  </r>
  <r>
    <n v="313"/>
    <s v="Miller-Irwin"/>
    <s v="Secured maximized policy"/>
    <n v="2200"/>
    <n v="8697"/>
    <n v="3.9531818181818181"/>
    <x v="1"/>
    <n v="223"/>
    <n v="39"/>
    <x v="1"/>
    <s v="USD"/>
    <n v="1330322400"/>
    <n v="1330495200"/>
    <x v="301"/>
    <d v="2012-02-29T06:00:00"/>
    <s v="Mon"/>
    <x v="1"/>
    <b v="0"/>
    <b v="0"/>
    <s v="music/rock"/>
    <x v="1"/>
    <x v="1"/>
  </r>
  <r>
    <n v="314"/>
    <s v="Sanchez-Morgan"/>
    <s v="Realigned upward-trending strategy"/>
    <n v="1400"/>
    <n v="4126"/>
    <n v="2.9471428571428571"/>
    <x v="1"/>
    <n v="133"/>
    <n v="31.022556390977442"/>
    <x v="1"/>
    <s v="USD"/>
    <n v="1552366800"/>
    <n v="1552798800"/>
    <x v="188"/>
    <d v="2019-03-17T05:00:00"/>
    <s v="Tue"/>
    <x v="20"/>
    <b v="0"/>
    <b v="1"/>
    <s v="film &amp; video/documentary"/>
    <x v="4"/>
    <x v="4"/>
  </r>
  <r>
    <n v="315"/>
    <s v="Lopez, Adams and Johnson"/>
    <s v="Open-source interactive knowledge user"/>
    <n v="9500"/>
    <n v="3220"/>
    <n v="0.33894736842105261"/>
    <x v="0"/>
    <n v="31"/>
    <n v="103.87096774193549"/>
    <x v="1"/>
    <s v="USD"/>
    <n v="1400907600"/>
    <n v="1403413200"/>
    <x v="302"/>
    <d v="2014-06-22T05:00:00"/>
    <s v="Sat"/>
    <x v="41"/>
    <b v="0"/>
    <b v="0"/>
    <s v="theater/plays"/>
    <x v="3"/>
    <x v="3"/>
  </r>
  <r>
    <n v="316"/>
    <s v="Martin-Marshall"/>
    <s v="Configurable demand-driven matrix"/>
    <n v="9600"/>
    <n v="6401"/>
    <n v="0.66677083333333331"/>
    <x v="0"/>
    <n v="108"/>
    <n v="59.268518518518519"/>
    <x v="6"/>
    <s v="EUR"/>
    <n v="1574143200"/>
    <n v="1574229600"/>
    <x v="303"/>
    <d v="2019-11-20T06:00:00"/>
    <s v="Tue"/>
    <x v="5"/>
    <b v="0"/>
    <b v="1"/>
    <s v="food/food trucks"/>
    <x v="0"/>
    <x v="0"/>
  </r>
  <r>
    <n v="317"/>
    <s v="Summers PLC"/>
    <s v="Cross-group coherent hierarchy"/>
    <n v="6600"/>
    <n v="1269"/>
    <n v="0.19227272727272726"/>
    <x v="0"/>
    <n v="30"/>
    <n v="42.3"/>
    <x v="1"/>
    <s v="USD"/>
    <n v="1494738000"/>
    <n v="1495861200"/>
    <x v="304"/>
    <d v="2017-05-27T05:00:00"/>
    <s v="Sun"/>
    <x v="35"/>
    <b v="0"/>
    <b v="0"/>
    <s v="theater/plays"/>
    <x v="3"/>
    <x v="3"/>
  </r>
  <r>
    <n v="318"/>
    <s v="Young, Hart and Ryan"/>
    <s v="Decentralized demand-driven open system"/>
    <n v="5700"/>
    <n v="903"/>
    <n v="0.15842105263157893"/>
    <x v="0"/>
    <n v="17"/>
    <n v="53.117647058823529"/>
    <x v="1"/>
    <s v="USD"/>
    <n v="1392357600"/>
    <n v="1392530400"/>
    <x v="305"/>
    <d v="2014-02-16T06:00:00"/>
    <s v="Fri"/>
    <x v="1"/>
    <b v="0"/>
    <b v="0"/>
    <s v="music/rock"/>
    <x v="1"/>
    <x v="1"/>
  </r>
  <r>
    <n v="319"/>
    <s v="Mills Group"/>
    <s v="Advanced empowering matrix"/>
    <n v="8400"/>
    <n v="3251"/>
    <n v="0.38702380952380955"/>
    <x v="3"/>
    <n v="64"/>
    <n v="50.796875"/>
    <x v="1"/>
    <s v="USD"/>
    <n v="1281589200"/>
    <n v="1283662800"/>
    <x v="306"/>
    <d v="2010-09-05T05:00:00"/>
    <s v="Thu"/>
    <x v="47"/>
    <b v="0"/>
    <b v="0"/>
    <s v="technology/web"/>
    <x v="2"/>
    <x v="2"/>
  </r>
  <r>
    <n v="320"/>
    <s v="Sandoval-Powell"/>
    <s v="Phased holistic implementation"/>
    <n v="84400"/>
    <n v="8092"/>
    <n v="9.5876777251184833E-2"/>
    <x v="0"/>
    <n v="80"/>
    <n v="101.15"/>
    <x v="1"/>
    <s v="USD"/>
    <n v="1305003600"/>
    <n v="1305781200"/>
    <x v="307"/>
    <d v="2011-05-19T05:00:00"/>
    <s v="Tue"/>
    <x v="29"/>
    <b v="0"/>
    <b v="0"/>
    <s v="publishing/fiction"/>
    <x v="5"/>
    <x v="13"/>
  </r>
  <r>
    <n v="321"/>
    <s v="Mills, Frazier and Perez"/>
    <s v="Proactive attitude-oriented knowledge user"/>
    <n v="170400"/>
    <n v="160422"/>
    <n v="0.94144366197183094"/>
    <x v="0"/>
    <n v="2468"/>
    <n v="65.000810372771468"/>
    <x v="1"/>
    <s v="USD"/>
    <n v="1301634000"/>
    <n v="1302325200"/>
    <x v="308"/>
    <d v="2011-04-09T05:00:00"/>
    <s v="Fri"/>
    <x v="9"/>
    <b v="0"/>
    <b v="0"/>
    <s v="film &amp; video/shorts"/>
    <x v="4"/>
    <x v="12"/>
  </r>
  <r>
    <n v="322"/>
    <s v="Hebert Group"/>
    <s v="Visionary asymmetric Graphical User Interface"/>
    <n v="117900"/>
    <n v="196377"/>
    <n v="1.6656234096692113"/>
    <x v="1"/>
    <n v="5168"/>
    <n v="37.998645510835914"/>
    <x v="1"/>
    <s v="USD"/>
    <n v="1290664800"/>
    <n v="1291788000"/>
    <x v="309"/>
    <d v="2010-12-08T06:00:00"/>
    <s v="Thu"/>
    <x v="35"/>
    <b v="0"/>
    <b v="0"/>
    <s v="theater/plays"/>
    <x v="3"/>
    <x v="3"/>
  </r>
  <r>
    <n v="323"/>
    <s v="Cole, Smith and Wood"/>
    <s v="Integrated zero-defect help-desk"/>
    <n v="8900"/>
    <n v="2148"/>
    <n v="0.24134831460674158"/>
    <x v="0"/>
    <n v="26"/>
    <n v="82.615384615384613"/>
    <x v="4"/>
    <s v="GBP"/>
    <n v="1395896400"/>
    <n v="1396069200"/>
    <x v="310"/>
    <d v="2014-03-29T05:00:00"/>
    <s v="Thu"/>
    <x v="1"/>
    <b v="0"/>
    <b v="0"/>
    <s v="film &amp; video/documentary"/>
    <x v="4"/>
    <x v="4"/>
  </r>
  <r>
    <n v="324"/>
    <s v="Harris, Hall and Harris"/>
    <s v="Inverse analyzing matrices"/>
    <n v="7100"/>
    <n v="11648"/>
    <n v="1.6405633802816901"/>
    <x v="1"/>
    <n v="307"/>
    <n v="37.941368078175898"/>
    <x v="1"/>
    <s v="USD"/>
    <n v="1434862800"/>
    <n v="1435899600"/>
    <x v="311"/>
    <d v="2015-07-03T05:00:00"/>
    <s v="Sun"/>
    <x v="10"/>
    <b v="0"/>
    <b v="1"/>
    <s v="theater/plays"/>
    <x v="3"/>
    <x v="3"/>
  </r>
  <r>
    <n v="325"/>
    <s v="Saunders Group"/>
    <s v="Programmable systemic implementation"/>
    <n v="6500"/>
    <n v="5897"/>
    <n v="0.90723076923076929"/>
    <x v="0"/>
    <n v="73"/>
    <n v="80.780821917808225"/>
    <x v="1"/>
    <s v="USD"/>
    <n v="1529125200"/>
    <n v="1531112400"/>
    <x v="79"/>
    <d v="2018-07-09T05:00:00"/>
    <s v="Sat"/>
    <x v="19"/>
    <b v="0"/>
    <b v="1"/>
    <s v="theater/plays"/>
    <x v="3"/>
    <x v="3"/>
  </r>
  <r>
    <n v="326"/>
    <s v="Pham, Avila and Nash"/>
    <s v="Multi-channeled next generation architecture"/>
    <n v="7200"/>
    <n v="3326"/>
    <n v="0.46194444444444444"/>
    <x v="0"/>
    <n v="128"/>
    <n v="25.984375"/>
    <x v="1"/>
    <s v="USD"/>
    <n v="1451109600"/>
    <n v="1451628000"/>
    <x v="312"/>
    <d v="2016-01-01T06:00:00"/>
    <s v="Sat"/>
    <x v="8"/>
    <b v="0"/>
    <b v="0"/>
    <s v="film &amp; video/animation"/>
    <x v="4"/>
    <x v="10"/>
  </r>
  <r>
    <n v="327"/>
    <s v="Patterson, Salinas and Lucas"/>
    <s v="Digitized 3rdgeneration encoding"/>
    <n v="2600"/>
    <n v="1002"/>
    <n v="0.38538461538461538"/>
    <x v="0"/>
    <n v="33"/>
    <n v="30.363636363636363"/>
    <x v="1"/>
    <s v="USD"/>
    <n v="1566968400"/>
    <n v="1567314000"/>
    <x v="313"/>
    <d v="2019-09-01T05:00:00"/>
    <s v="Wed"/>
    <x v="3"/>
    <b v="0"/>
    <b v="1"/>
    <s v="theater/plays"/>
    <x v="3"/>
    <x v="3"/>
  </r>
  <r>
    <n v="328"/>
    <s v="Young PLC"/>
    <s v="Innovative well-modulated functionalities"/>
    <n v="98700"/>
    <n v="131826"/>
    <n v="1.3356231003039514"/>
    <x v="1"/>
    <n v="2441"/>
    <n v="54.004916018025398"/>
    <x v="1"/>
    <s v="USD"/>
    <n v="1543557600"/>
    <n v="1544508000"/>
    <x v="314"/>
    <d v="2018-12-11T06:00:00"/>
    <s v="Fri"/>
    <x v="4"/>
    <b v="0"/>
    <b v="0"/>
    <s v="music/rock"/>
    <x v="1"/>
    <x v="1"/>
  </r>
  <r>
    <n v="329"/>
    <s v="Willis and Sons"/>
    <s v="Fundamental incremental database"/>
    <n v="93800"/>
    <n v="21477"/>
    <n v="0.22896588486140726"/>
    <x v="2"/>
    <n v="211"/>
    <n v="101.78672985781991"/>
    <x v="1"/>
    <s v="USD"/>
    <n v="1481522400"/>
    <n v="1482472800"/>
    <x v="315"/>
    <d v="2016-12-23T06:00:00"/>
    <s v="Mon"/>
    <x v="4"/>
    <b v="0"/>
    <b v="0"/>
    <s v="games/video games"/>
    <x v="6"/>
    <x v="11"/>
  </r>
  <r>
    <n v="330"/>
    <s v="Thompson-Bates"/>
    <s v="Expanded encompassing open architecture"/>
    <n v="33700"/>
    <n v="62330"/>
    <n v="1.8495548961424333"/>
    <x v="1"/>
    <n v="1385"/>
    <n v="45.003610108303249"/>
    <x v="4"/>
    <s v="GBP"/>
    <n v="1512712800"/>
    <n v="1512799200"/>
    <x v="316"/>
    <d v="2017-12-09T06:00:00"/>
    <s v="Fri"/>
    <x v="5"/>
    <b v="0"/>
    <b v="0"/>
    <s v="film &amp; video/documentary"/>
    <x v="4"/>
    <x v="4"/>
  </r>
  <r>
    <n v="331"/>
    <s v="Rose-Silva"/>
    <s v="Intuitive static portal"/>
    <n v="3300"/>
    <n v="14643"/>
    <n v="4.4372727272727275"/>
    <x v="1"/>
    <n v="190"/>
    <n v="77.068421052631578"/>
    <x v="1"/>
    <s v="USD"/>
    <n v="1324274400"/>
    <n v="1324360800"/>
    <x v="317"/>
    <d v="2011-12-20T06:00:00"/>
    <s v="Mon"/>
    <x v="5"/>
    <b v="0"/>
    <b v="0"/>
    <s v="food/food trucks"/>
    <x v="0"/>
    <x v="0"/>
  </r>
  <r>
    <n v="332"/>
    <s v="Pacheco, Johnson and Torres"/>
    <s v="Optional bandwidth-monitored definition"/>
    <n v="20700"/>
    <n v="41396"/>
    <n v="1.999806763285024"/>
    <x v="1"/>
    <n v="470"/>
    <n v="88.076595744680844"/>
    <x v="1"/>
    <s v="USD"/>
    <n v="1364446800"/>
    <n v="1364533200"/>
    <x v="318"/>
    <d v="2013-03-29T05:00:00"/>
    <s v="Thu"/>
    <x v="5"/>
    <b v="0"/>
    <b v="0"/>
    <s v="technology/wearables"/>
    <x v="2"/>
    <x v="8"/>
  </r>
  <r>
    <n v="333"/>
    <s v="Carlson, Dixon and Jones"/>
    <s v="Persistent well-modulated synergy"/>
    <n v="9600"/>
    <n v="11900"/>
    <n v="1.2395833333333333"/>
    <x v="1"/>
    <n v="253"/>
    <n v="47.035573122529641"/>
    <x v="1"/>
    <s v="USD"/>
    <n v="1542693600"/>
    <n v="1545112800"/>
    <x v="319"/>
    <d v="2018-12-18T06:00:00"/>
    <s v="Tue"/>
    <x v="21"/>
    <b v="0"/>
    <b v="0"/>
    <s v="theater/plays"/>
    <x v="3"/>
    <x v="3"/>
  </r>
  <r>
    <n v="334"/>
    <s v="Mcgee Group"/>
    <s v="Assimilated discrete algorithm"/>
    <n v="66200"/>
    <n v="123538"/>
    <n v="1.8661329305135952"/>
    <x v="1"/>
    <n v="1113"/>
    <n v="110.99550763701707"/>
    <x v="1"/>
    <s v="USD"/>
    <n v="1515564000"/>
    <n v="1516168800"/>
    <x v="32"/>
    <d v="2018-01-17T06:00:00"/>
    <s v="Wed"/>
    <x v="34"/>
    <b v="0"/>
    <b v="0"/>
    <s v="music/rock"/>
    <x v="1"/>
    <x v="1"/>
  </r>
  <r>
    <n v="335"/>
    <s v="Jordan-Acosta"/>
    <s v="Operative uniform hub"/>
    <n v="173800"/>
    <n v="198628"/>
    <n v="1.1428538550057536"/>
    <x v="1"/>
    <n v="2283"/>
    <n v="87.003066141042481"/>
    <x v="1"/>
    <s v="USD"/>
    <n v="1573797600"/>
    <n v="1574920800"/>
    <x v="320"/>
    <d v="2019-11-28T06:00:00"/>
    <s v="Fri"/>
    <x v="35"/>
    <b v="0"/>
    <b v="0"/>
    <s v="music/rock"/>
    <x v="1"/>
    <x v="1"/>
  </r>
  <r>
    <n v="336"/>
    <s v="Nunez Inc"/>
    <s v="Customizable intangible capability"/>
    <n v="70700"/>
    <n v="68602"/>
    <n v="0.97032531824611035"/>
    <x v="0"/>
    <n v="1072"/>
    <n v="63.994402985074629"/>
    <x v="1"/>
    <s v="USD"/>
    <n v="1292392800"/>
    <n v="1292479200"/>
    <x v="321"/>
    <d v="2010-12-16T06:00:00"/>
    <s v="Wed"/>
    <x v="5"/>
    <b v="0"/>
    <b v="1"/>
    <s v="music/rock"/>
    <x v="1"/>
    <x v="1"/>
  </r>
  <r>
    <n v="337"/>
    <s v="Hayden Ltd"/>
    <s v="Innovative didactic analyzer"/>
    <n v="94500"/>
    <n v="116064"/>
    <n v="1.2281904761904763"/>
    <x v="1"/>
    <n v="1095"/>
    <n v="105.9945205479452"/>
    <x v="1"/>
    <s v="USD"/>
    <n v="1573452000"/>
    <n v="1573538400"/>
    <x v="322"/>
    <d v="2019-11-12T06:00:00"/>
    <s v="Mon"/>
    <x v="5"/>
    <b v="0"/>
    <b v="0"/>
    <s v="theater/plays"/>
    <x v="3"/>
    <x v="3"/>
  </r>
  <r>
    <n v="338"/>
    <s v="Gonzalez-Burton"/>
    <s v="Decentralized intangible encoding"/>
    <n v="69800"/>
    <n v="125042"/>
    <n v="1.7914326647564469"/>
    <x v="1"/>
    <n v="1690"/>
    <n v="73.989349112426041"/>
    <x v="1"/>
    <s v="USD"/>
    <n v="1317790800"/>
    <n v="1320382800"/>
    <x v="323"/>
    <d v="2011-11-04T05:00:00"/>
    <s v="Wed"/>
    <x v="31"/>
    <b v="0"/>
    <b v="0"/>
    <s v="theater/plays"/>
    <x v="3"/>
    <x v="3"/>
  </r>
  <r>
    <n v="339"/>
    <s v="Lewis, Taylor and Rivers"/>
    <s v="Front-line transitional algorithm"/>
    <n v="136300"/>
    <n v="108974"/>
    <n v="0.79951577402787966"/>
    <x v="3"/>
    <n v="1297"/>
    <n v="84.02004626060139"/>
    <x v="0"/>
    <s v="CAD"/>
    <n v="1501650000"/>
    <n v="1502859600"/>
    <x v="324"/>
    <d v="2017-08-16T05:00:00"/>
    <s v="Wed"/>
    <x v="26"/>
    <b v="0"/>
    <b v="0"/>
    <s v="theater/plays"/>
    <x v="3"/>
    <x v="3"/>
  </r>
  <r>
    <n v="340"/>
    <s v="Butler, Henry and Espinoza"/>
    <s v="Switchable didactic matrices"/>
    <n v="37100"/>
    <n v="34964"/>
    <n v="0.94242587601078165"/>
    <x v="0"/>
    <n v="393"/>
    <n v="88.966921119592882"/>
    <x v="1"/>
    <s v="USD"/>
    <n v="1323669600"/>
    <n v="1323756000"/>
    <x v="325"/>
    <d v="2011-12-13T06:00:00"/>
    <s v="Mon"/>
    <x v="5"/>
    <b v="0"/>
    <b v="0"/>
    <s v="photography/photography books"/>
    <x v="7"/>
    <x v="14"/>
  </r>
  <r>
    <n v="341"/>
    <s v="Guzman Group"/>
    <s v="Ameliorated disintermediate utilization"/>
    <n v="114300"/>
    <n v="96777"/>
    <n v="0.84669291338582675"/>
    <x v="0"/>
    <n v="1257"/>
    <n v="76.990453460620529"/>
    <x v="1"/>
    <s v="USD"/>
    <n v="1440738000"/>
    <n v="1441342800"/>
    <x v="326"/>
    <d v="2015-09-04T05:00:00"/>
    <s v="Fri"/>
    <x v="34"/>
    <b v="0"/>
    <b v="0"/>
    <s v="music/indie rock"/>
    <x v="1"/>
    <x v="7"/>
  </r>
  <r>
    <n v="342"/>
    <s v="Gibson-Hernandez"/>
    <s v="Visionary foreground middleware"/>
    <n v="47900"/>
    <n v="31864"/>
    <n v="0.66521920668058454"/>
    <x v="0"/>
    <n v="328"/>
    <n v="97.146341463414629"/>
    <x v="1"/>
    <s v="USD"/>
    <n v="1374296400"/>
    <n v="1375333200"/>
    <x v="327"/>
    <d v="2013-08-01T05:00:00"/>
    <s v="Sat"/>
    <x v="10"/>
    <b v="0"/>
    <b v="0"/>
    <s v="theater/plays"/>
    <x v="3"/>
    <x v="3"/>
  </r>
  <r>
    <n v="343"/>
    <s v="Spencer-Weber"/>
    <s v="Optional zero-defect task-force"/>
    <n v="9000"/>
    <n v="4853"/>
    <n v="0.53922222222222227"/>
    <x v="0"/>
    <n v="147"/>
    <n v="33.013605442176868"/>
    <x v="1"/>
    <s v="USD"/>
    <n v="1384840800"/>
    <n v="1389420000"/>
    <x v="328"/>
    <d v="2014-01-11T06:00:00"/>
    <s v="Tue"/>
    <x v="17"/>
    <b v="0"/>
    <b v="0"/>
    <s v="theater/plays"/>
    <x v="3"/>
    <x v="3"/>
  </r>
  <r>
    <n v="344"/>
    <s v="Berger, Johnson and Marshall"/>
    <s v="Devolved exuding emulation"/>
    <n v="197600"/>
    <n v="82959"/>
    <n v="0.41983299595141699"/>
    <x v="0"/>
    <n v="830"/>
    <n v="99.950602409638549"/>
    <x v="1"/>
    <s v="USD"/>
    <n v="1516600800"/>
    <n v="1520056800"/>
    <x v="329"/>
    <d v="2018-03-03T06:00:00"/>
    <s v="Mon"/>
    <x v="2"/>
    <b v="0"/>
    <b v="0"/>
    <s v="games/video games"/>
    <x v="6"/>
    <x v="11"/>
  </r>
  <r>
    <n v="345"/>
    <s v="Taylor, Cisneros and Romero"/>
    <s v="Open-source neutral task-force"/>
    <n v="157600"/>
    <n v="23159"/>
    <n v="0.14694796954314721"/>
    <x v="0"/>
    <n v="331"/>
    <n v="69.966767371601208"/>
    <x v="4"/>
    <s v="GBP"/>
    <n v="1436418000"/>
    <n v="1436504400"/>
    <x v="330"/>
    <d v="2015-07-10T05:00:00"/>
    <s v="Thu"/>
    <x v="5"/>
    <b v="0"/>
    <b v="0"/>
    <s v="film &amp; video/drama"/>
    <x v="4"/>
    <x v="6"/>
  </r>
  <r>
    <n v="346"/>
    <s v="Little-Marsh"/>
    <s v="Virtual attitude-oriented migration"/>
    <n v="8000"/>
    <n v="2758"/>
    <n v="0.34475"/>
    <x v="0"/>
    <n v="25"/>
    <n v="110.32"/>
    <x v="1"/>
    <s v="USD"/>
    <n v="1503550800"/>
    <n v="1508302800"/>
    <x v="331"/>
    <d v="2017-10-18T05:00:00"/>
    <s v="Thu"/>
    <x v="55"/>
    <b v="0"/>
    <b v="1"/>
    <s v="music/indie rock"/>
    <x v="1"/>
    <x v="7"/>
  </r>
  <r>
    <n v="347"/>
    <s v="Petersen and Sons"/>
    <s v="Open-source full-range portal"/>
    <n v="900"/>
    <n v="12607"/>
    <n v="14.007777777777777"/>
    <x v="1"/>
    <n v="191"/>
    <n v="66.005235602094245"/>
    <x v="1"/>
    <s v="USD"/>
    <n v="1423634400"/>
    <n v="1425708000"/>
    <x v="332"/>
    <d v="2015-03-07T06:00:00"/>
    <s v="Wed"/>
    <x v="47"/>
    <b v="0"/>
    <b v="0"/>
    <s v="technology/web"/>
    <x v="2"/>
    <x v="2"/>
  </r>
  <r>
    <n v="348"/>
    <s v="Hensley Ltd"/>
    <s v="Versatile cohesive open system"/>
    <n v="199000"/>
    <n v="142823"/>
    <n v="0.71770351758793971"/>
    <x v="0"/>
    <n v="3483"/>
    <n v="41.005742176284812"/>
    <x v="1"/>
    <s v="USD"/>
    <n v="1487224800"/>
    <n v="1488348000"/>
    <x v="333"/>
    <d v="2017-03-01T06:00:00"/>
    <s v="Thu"/>
    <x v="35"/>
    <b v="0"/>
    <b v="0"/>
    <s v="food/food trucks"/>
    <x v="0"/>
    <x v="0"/>
  </r>
  <r>
    <n v="349"/>
    <s v="Navarro and Sons"/>
    <s v="Multi-layered bottom-line frame"/>
    <n v="180800"/>
    <n v="95958"/>
    <n v="0.53074115044247783"/>
    <x v="0"/>
    <n v="923"/>
    <n v="103.96316359696641"/>
    <x v="1"/>
    <s v="USD"/>
    <n v="1500008400"/>
    <n v="1502600400"/>
    <x v="296"/>
    <d v="2017-08-13T05:00:00"/>
    <s v="Fri"/>
    <x v="31"/>
    <b v="0"/>
    <b v="0"/>
    <s v="theater/plays"/>
    <x v="3"/>
    <x v="3"/>
  </r>
  <r>
    <n v="350"/>
    <s v="Shannon Ltd"/>
    <s v="Pre-emptive neutral capacity"/>
    <n v="100"/>
    <n v="5"/>
    <n v="0.05"/>
    <x v="0"/>
    <n v="1"/>
    <n v="5"/>
    <x v="1"/>
    <s v="USD"/>
    <n v="1432098000"/>
    <n v="1433653200"/>
    <x v="334"/>
    <d v="2015-06-07T05:00:00"/>
    <s v="Wed"/>
    <x v="42"/>
    <b v="0"/>
    <b v="1"/>
    <s v="music/jazz"/>
    <x v="1"/>
    <x v="17"/>
  </r>
  <r>
    <n v="351"/>
    <s v="Young LLC"/>
    <s v="Universal maximized methodology"/>
    <n v="74100"/>
    <n v="94631"/>
    <n v="1.2770715249662619"/>
    <x v="1"/>
    <n v="2013"/>
    <n v="47.009935419771487"/>
    <x v="1"/>
    <s v="USD"/>
    <n v="1440392400"/>
    <n v="1441602000"/>
    <x v="335"/>
    <d v="2015-09-07T05:00:00"/>
    <s v="Mon"/>
    <x v="26"/>
    <b v="0"/>
    <b v="0"/>
    <s v="music/rock"/>
    <x v="1"/>
    <x v="1"/>
  </r>
  <r>
    <n v="352"/>
    <s v="Adams, Willis and Sanchez"/>
    <s v="Expanded hybrid hardware"/>
    <n v="2800"/>
    <n v="977"/>
    <n v="0.34892857142857142"/>
    <x v="0"/>
    <n v="33"/>
    <n v="29.606060606060606"/>
    <x v="0"/>
    <s v="CAD"/>
    <n v="1446876000"/>
    <n v="1447567200"/>
    <x v="336"/>
    <d v="2015-11-15T06:00:00"/>
    <s v="Sat"/>
    <x v="9"/>
    <b v="0"/>
    <b v="0"/>
    <s v="theater/plays"/>
    <x v="3"/>
    <x v="3"/>
  </r>
  <r>
    <n v="353"/>
    <s v="Mills-Roy"/>
    <s v="Profit-focused multi-tasking access"/>
    <n v="33600"/>
    <n v="137961"/>
    <n v="4.105982142857143"/>
    <x v="1"/>
    <n v="1703"/>
    <n v="81.010569583088667"/>
    <x v="1"/>
    <s v="USD"/>
    <n v="1562302800"/>
    <n v="1562389200"/>
    <x v="337"/>
    <d v="2019-07-06T05:00:00"/>
    <s v="Fri"/>
    <x v="5"/>
    <b v="0"/>
    <b v="0"/>
    <s v="theater/plays"/>
    <x v="3"/>
    <x v="3"/>
  </r>
  <r>
    <n v="354"/>
    <s v="Brown Group"/>
    <s v="Profit-focused transitional capability"/>
    <n v="6100"/>
    <n v="7548"/>
    <n v="1.2373770491803278"/>
    <x v="1"/>
    <n v="80"/>
    <n v="94.35"/>
    <x v="3"/>
    <s v="DKK"/>
    <n v="1378184400"/>
    <n v="1378789200"/>
    <x v="338"/>
    <d v="2013-09-10T05:00:00"/>
    <s v="Tue"/>
    <x v="34"/>
    <b v="0"/>
    <b v="0"/>
    <s v="film &amp; video/documentary"/>
    <x v="4"/>
    <x v="4"/>
  </r>
  <r>
    <n v="355"/>
    <s v="Burns-Burnett"/>
    <s v="Front-line scalable definition"/>
    <n v="3800"/>
    <n v="2241"/>
    <n v="0.58973684210526311"/>
    <x v="2"/>
    <n v="86"/>
    <n v="26.058139534883722"/>
    <x v="1"/>
    <s v="USD"/>
    <n v="1485064800"/>
    <n v="1488520800"/>
    <x v="339"/>
    <d v="2017-03-03T06:00:00"/>
    <s v="Sun"/>
    <x v="2"/>
    <b v="0"/>
    <b v="0"/>
    <s v="technology/wearables"/>
    <x v="2"/>
    <x v="8"/>
  </r>
  <r>
    <n v="356"/>
    <s v="Glass, Nunez and Mcdonald"/>
    <s v="Open-source systematic protocol"/>
    <n v="9300"/>
    <n v="3431"/>
    <n v="0.36892473118279567"/>
    <x v="0"/>
    <n v="40"/>
    <n v="85.775000000000006"/>
    <x v="6"/>
    <s v="EUR"/>
    <n v="1326520800"/>
    <n v="1327298400"/>
    <x v="340"/>
    <d v="2012-01-23T06:00:00"/>
    <s v="Sat"/>
    <x v="29"/>
    <b v="0"/>
    <b v="0"/>
    <s v="theater/plays"/>
    <x v="3"/>
    <x v="3"/>
  </r>
  <r>
    <n v="357"/>
    <s v="Perez, Davis and Wilson"/>
    <s v="Implemented tangible algorithm"/>
    <n v="2300"/>
    <n v="4253"/>
    <n v="1.8491304347826087"/>
    <x v="1"/>
    <n v="41"/>
    <n v="103.73170731707317"/>
    <x v="1"/>
    <s v="USD"/>
    <n v="1441256400"/>
    <n v="1443416400"/>
    <x v="341"/>
    <d v="2015-09-28T05:00:00"/>
    <s v="Thu"/>
    <x v="24"/>
    <b v="0"/>
    <b v="0"/>
    <s v="games/video games"/>
    <x v="6"/>
    <x v="11"/>
  </r>
  <r>
    <n v="358"/>
    <s v="Diaz-Garcia"/>
    <s v="Profit-focused 3rdgeneration circuit"/>
    <n v="9700"/>
    <n v="1146"/>
    <n v="0.11814432989690722"/>
    <x v="0"/>
    <n v="23"/>
    <n v="49.826086956521742"/>
    <x v="0"/>
    <s v="CAD"/>
    <n v="1533877200"/>
    <n v="1534136400"/>
    <x v="342"/>
    <d v="2018-08-13T05:00:00"/>
    <s v="Fri"/>
    <x v="36"/>
    <b v="1"/>
    <b v="0"/>
    <s v="photography/photography books"/>
    <x v="7"/>
    <x v="14"/>
  </r>
  <r>
    <n v="359"/>
    <s v="Salazar-Moon"/>
    <s v="Compatible needs-based architecture"/>
    <n v="4000"/>
    <n v="11948"/>
    <n v="2.9870000000000001"/>
    <x v="1"/>
    <n v="187"/>
    <n v="63.893048128342244"/>
    <x v="1"/>
    <s v="USD"/>
    <n v="1314421200"/>
    <n v="1315026000"/>
    <x v="343"/>
    <d v="2011-09-03T05:00:00"/>
    <s v="Sat"/>
    <x v="34"/>
    <b v="0"/>
    <b v="0"/>
    <s v="film &amp; video/animation"/>
    <x v="4"/>
    <x v="10"/>
  </r>
  <r>
    <n v="360"/>
    <s v="Larsen-Chung"/>
    <s v="Right-sized zero tolerance migration"/>
    <n v="59700"/>
    <n v="135132"/>
    <n v="2.2635175879396985"/>
    <x v="1"/>
    <n v="2875"/>
    <n v="47.002434782608695"/>
    <x v="4"/>
    <s v="GBP"/>
    <n v="1293861600"/>
    <n v="1295071200"/>
    <x v="344"/>
    <d v="2011-01-15T06:00:00"/>
    <s v="Sat"/>
    <x v="26"/>
    <b v="0"/>
    <b v="1"/>
    <s v="theater/plays"/>
    <x v="3"/>
    <x v="3"/>
  </r>
  <r>
    <n v="361"/>
    <s v="Anderson and Sons"/>
    <s v="Quality-focused reciprocal structure"/>
    <n v="5500"/>
    <n v="9546"/>
    <n v="1.7356363636363636"/>
    <x v="1"/>
    <n v="88"/>
    <n v="108.47727272727273"/>
    <x v="1"/>
    <s v="USD"/>
    <n v="1507352400"/>
    <n v="1509426000"/>
    <x v="345"/>
    <d v="2017-10-31T05:00:00"/>
    <s v="Sat"/>
    <x v="47"/>
    <b v="0"/>
    <b v="0"/>
    <s v="theater/plays"/>
    <x v="3"/>
    <x v="3"/>
  </r>
  <r>
    <n v="362"/>
    <s v="Lawrence Group"/>
    <s v="Automated actuating conglomeration"/>
    <n v="3700"/>
    <n v="13755"/>
    <n v="3.7175675675675675"/>
    <x v="1"/>
    <n v="191"/>
    <n v="72.015706806282722"/>
    <x v="1"/>
    <s v="USD"/>
    <n v="1296108000"/>
    <n v="1299391200"/>
    <x v="65"/>
    <d v="2011-03-06T06:00:00"/>
    <s v="Thu"/>
    <x v="53"/>
    <b v="0"/>
    <b v="0"/>
    <s v="music/rock"/>
    <x v="1"/>
    <x v="1"/>
  </r>
  <r>
    <n v="363"/>
    <s v="Gray-Davis"/>
    <s v="Re-contextualized local initiative"/>
    <n v="5200"/>
    <n v="8330"/>
    <n v="1.601923076923077"/>
    <x v="1"/>
    <n v="139"/>
    <n v="59.928057553956833"/>
    <x v="1"/>
    <s v="USD"/>
    <n v="1324965600"/>
    <n v="1325052000"/>
    <x v="346"/>
    <d v="2011-12-28T06:00:00"/>
    <s v="Tue"/>
    <x v="5"/>
    <b v="0"/>
    <b v="0"/>
    <s v="music/rock"/>
    <x v="1"/>
    <x v="1"/>
  </r>
  <r>
    <n v="364"/>
    <s v="Ramirez-Myers"/>
    <s v="Switchable intangible definition"/>
    <n v="900"/>
    <n v="14547"/>
    <n v="16.163333333333334"/>
    <x v="1"/>
    <n v="186"/>
    <n v="78.209677419354833"/>
    <x v="1"/>
    <s v="USD"/>
    <n v="1520229600"/>
    <n v="1522818000"/>
    <x v="347"/>
    <d v="2018-04-04T05:00:00"/>
    <s v="Mon"/>
    <x v="31"/>
    <b v="0"/>
    <b v="0"/>
    <s v="music/indie rock"/>
    <x v="1"/>
    <x v="7"/>
  </r>
  <r>
    <n v="365"/>
    <s v="Lucas, Hall and Bonilla"/>
    <s v="Networked bottom-line initiative"/>
    <n v="1600"/>
    <n v="11735"/>
    <n v="7.3343749999999996"/>
    <x v="1"/>
    <n v="112"/>
    <n v="104.77678571428571"/>
    <x v="2"/>
    <s v="AUD"/>
    <n v="1482991200"/>
    <n v="1485324000"/>
    <x v="348"/>
    <d v="2017-01-25T06:00:00"/>
    <s v="Thu"/>
    <x v="11"/>
    <b v="0"/>
    <b v="0"/>
    <s v="theater/plays"/>
    <x v="3"/>
    <x v="3"/>
  </r>
  <r>
    <n v="366"/>
    <s v="Williams, Perez and Villegas"/>
    <s v="Robust directional system engine"/>
    <n v="1800"/>
    <n v="10658"/>
    <n v="5.9211111111111112"/>
    <x v="1"/>
    <n v="101"/>
    <n v="105.52475247524752"/>
    <x v="1"/>
    <s v="USD"/>
    <n v="1294034400"/>
    <n v="1294120800"/>
    <x v="349"/>
    <d v="2011-01-04T06:00:00"/>
    <s v="Mon"/>
    <x v="5"/>
    <b v="0"/>
    <b v="1"/>
    <s v="theater/plays"/>
    <x v="3"/>
    <x v="3"/>
  </r>
  <r>
    <n v="367"/>
    <s v="Brooks, Jones and Ingram"/>
    <s v="Triple-buffered explicit methodology"/>
    <n v="9900"/>
    <n v="1870"/>
    <n v="0.18888888888888888"/>
    <x v="0"/>
    <n v="75"/>
    <n v="24.933333333333334"/>
    <x v="1"/>
    <s v="USD"/>
    <n v="1413608400"/>
    <n v="1415685600"/>
    <x v="350"/>
    <d v="2014-11-11T06:00:00"/>
    <s v="Sat"/>
    <x v="47"/>
    <b v="0"/>
    <b v="1"/>
    <s v="theater/plays"/>
    <x v="3"/>
    <x v="3"/>
  </r>
  <r>
    <n v="368"/>
    <s v="Whitaker, Wallace and Daniels"/>
    <s v="Reactive directional capacity"/>
    <n v="5200"/>
    <n v="14394"/>
    <n v="2.7680769230769231"/>
    <x v="1"/>
    <n v="206"/>
    <n v="69.873786407766985"/>
    <x v="4"/>
    <s v="GBP"/>
    <n v="1286946000"/>
    <n v="1288933200"/>
    <x v="351"/>
    <d v="2010-11-05T05:00:00"/>
    <s v="Wed"/>
    <x v="19"/>
    <b v="0"/>
    <b v="1"/>
    <s v="film &amp; video/documentary"/>
    <x v="4"/>
    <x v="4"/>
  </r>
  <r>
    <n v="369"/>
    <s v="Smith-Gonzalez"/>
    <s v="Polarized needs-based approach"/>
    <n v="5400"/>
    <n v="14743"/>
    <n v="2.730185185185185"/>
    <x v="1"/>
    <n v="154"/>
    <n v="95.733766233766232"/>
    <x v="1"/>
    <s v="USD"/>
    <n v="1359871200"/>
    <n v="1363237200"/>
    <x v="352"/>
    <d v="2013-03-14T05:00:00"/>
    <s v="Sun"/>
    <x v="33"/>
    <b v="0"/>
    <b v="1"/>
    <s v="film &amp; video/television"/>
    <x v="4"/>
    <x v="19"/>
  </r>
  <r>
    <n v="370"/>
    <s v="Skinner PLC"/>
    <s v="Intuitive well-modulated middleware"/>
    <n v="112300"/>
    <n v="178965"/>
    <n v="1.593633125556545"/>
    <x v="1"/>
    <n v="5966"/>
    <n v="29.997485752598056"/>
    <x v="1"/>
    <s v="USD"/>
    <n v="1555304400"/>
    <n v="1555822800"/>
    <x v="353"/>
    <d v="2019-04-21T05:00:00"/>
    <s v="Mon"/>
    <x v="8"/>
    <b v="0"/>
    <b v="0"/>
    <s v="theater/plays"/>
    <x v="3"/>
    <x v="3"/>
  </r>
  <r>
    <n v="371"/>
    <s v="Nolan, Smith and Sanchez"/>
    <s v="Multi-channeled logistical matrices"/>
    <n v="189200"/>
    <n v="128410"/>
    <n v="0.67869978858350954"/>
    <x v="0"/>
    <n v="2176"/>
    <n v="59.011948529411768"/>
    <x v="1"/>
    <s v="USD"/>
    <n v="1423375200"/>
    <n v="1427778000"/>
    <x v="354"/>
    <d v="2015-03-31T05:00:00"/>
    <s v="Sun"/>
    <x v="46"/>
    <b v="0"/>
    <b v="0"/>
    <s v="theater/plays"/>
    <x v="3"/>
    <x v="3"/>
  </r>
  <r>
    <n v="372"/>
    <s v="Green-Carr"/>
    <s v="Pre-emptive bifurcated artificial intelligence"/>
    <n v="900"/>
    <n v="14324"/>
    <n v="15.915555555555555"/>
    <x v="1"/>
    <n v="169"/>
    <n v="84.757396449704146"/>
    <x v="1"/>
    <s v="USD"/>
    <n v="1420696800"/>
    <n v="1422424800"/>
    <x v="355"/>
    <d v="2015-01-28T06:00:00"/>
    <s v="Thu"/>
    <x v="18"/>
    <b v="0"/>
    <b v="1"/>
    <s v="film &amp; video/documentary"/>
    <x v="4"/>
    <x v="4"/>
  </r>
  <r>
    <n v="373"/>
    <s v="Brown-Parker"/>
    <s v="Down-sized coherent toolset"/>
    <n v="22500"/>
    <n v="164291"/>
    <n v="7.3018222222222224"/>
    <x v="1"/>
    <n v="2106"/>
    <n v="78.010921177587846"/>
    <x v="1"/>
    <s v="USD"/>
    <n v="1502946000"/>
    <n v="1503637200"/>
    <x v="356"/>
    <d v="2017-08-25T05:00:00"/>
    <s v="Thu"/>
    <x v="9"/>
    <b v="0"/>
    <b v="0"/>
    <s v="theater/plays"/>
    <x v="3"/>
    <x v="3"/>
  </r>
  <r>
    <n v="374"/>
    <s v="Marshall Inc"/>
    <s v="Open-source multi-tasking data-warehouse"/>
    <n v="167400"/>
    <n v="22073"/>
    <n v="0.13185782556750297"/>
    <x v="0"/>
    <n v="441"/>
    <n v="50.05215419501134"/>
    <x v="1"/>
    <s v="USD"/>
    <n v="1547186400"/>
    <n v="1547618400"/>
    <x v="357"/>
    <d v="2019-01-16T06:00:00"/>
    <s v="Fri"/>
    <x v="20"/>
    <b v="0"/>
    <b v="1"/>
    <s v="film &amp; video/documentary"/>
    <x v="4"/>
    <x v="4"/>
  </r>
  <r>
    <n v="375"/>
    <s v="Leblanc-Pineda"/>
    <s v="Future-proofed upward-trending contingency"/>
    <n v="2700"/>
    <n v="1479"/>
    <n v="0.54777777777777781"/>
    <x v="0"/>
    <n v="25"/>
    <n v="59.16"/>
    <x v="1"/>
    <s v="USD"/>
    <n v="1444971600"/>
    <n v="1449900000"/>
    <x v="358"/>
    <d v="2015-12-12T06:00:00"/>
    <s v="Fri"/>
    <x v="56"/>
    <b v="0"/>
    <b v="0"/>
    <s v="music/indie rock"/>
    <x v="1"/>
    <x v="7"/>
  </r>
  <r>
    <n v="376"/>
    <s v="Perry PLC"/>
    <s v="Mandatory uniform matrix"/>
    <n v="3400"/>
    <n v="12275"/>
    <n v="3.6102941176470589"/>
    <x v="1"/>
    <n v="131"/>
    <n v="93.702290076335885"/>
    <x v="1"/>
    <s v="USD"/>
    <n v="1404622800"/>
    <n v="1405141200"/>
    <x v="359"/>
    <d v="2014-07-12T05:00:00"/>
    <s v="Sun"/>
    <x v="8"/>
    <b v="0"/>
    <b v="0"/>
    <s v="music/rock"/>
    <x v="1"/>
    <x v="1"/>
  </r>
  <r>
    <n v="377"/>
    <s v="Klein, Stark and Livingston"/>
    <s v="Phased methodical initiative"/>
    <n v="49700"/>
    <n v="5098"/>
    <n v="0.10257545271629778"/>
    <x v="0"/>
    <n v="127"/>
    <n v="40.14173228346457"/>
    <x v="1"/>
    <s v="USD"/>
    <n v="1571720400"/>
    <n v="1572933600"/>
    <x v="12"/>
    <d v="2019-11-05T06:00:00"/>
    <s v="Tue"/>
    <x v="26"/>
    <b v="0"/>
    <b v="0"/>
    <s v="theater/plays"/>
    <x v="3"/>
    <x v="3"/>
  </r>
  <r>
    <n v="378"/>
    <s v="Fleming-Oliver"/>
    <s v="Managed stable function"/>
    <n v="178200"/>
    <n v="24882"/>
    <n v="0.13962962962962963"/>
    <x v="0"/>
    <n v="355"/>
    <n v="70.090140845070422"/>
    <x v="1"/>
    <s v="USD"/>
    <n v="1526878800"/>
    <n v="1530162000"/>
    <x v="360"/>
    <d v="2018-06-28T05:00:00"/>
    <s v="Mon"/>
    <x v="53"/>
    <b v="0"/>
    <b v="0"/>
    <s v="film &amp; video/documentary"/>
    <x v="4"/>
    <x v="4"/>
  </r>
  <r>
    <n v="379"/>
    <s v="Reilly, Aguirre and Johnson"/>
    <s v="Realigned clear-thinking migration"/>
    <n v="7200"/>
    <n v="2912"/>
    <n v="0.40444444444444444"/>
    <x v="0"/>
    <n v="44"/>
    <n v="66.181818181818187"/>
    <x v="4"/>
    <s v="GBP"/>
    <n v="1319691600"/>
    <n v="1320904800"/>
    <x v="361"/>
    <d v="2011-11-10T06:00:00"/>
    <s v="Thu"/>
    <x v="26"/>
    <b v="0"/>
    <b v="0"/>
    <s v="theater/plays"/>
    <x v="3"/>
    <x v="3"/>
  </r>
  <r>
    <n v="380"/>
    <s v="Davidson, Wilcox and Lewis"/>
    <s v="Optional clear-thinking process improvement"/>
    <n v="2500"/>
    <n v="4008"/>
    <n v="1.6032"/>
    <x v="1"/>
    <n v="84"/>
    <n v="47.714285714285715"/>
    <x v="1"/>
    <s v="USD"/>
    <n v="1371963600"/>
    <n v="1372395600"/>
    <x v="362"/>
    <d v="2013-06-28T05:00:00"/>
    <s v="Sun"/>
    <x v="20"/>
    <b v="0"/>
    <b v="0"/>
    <s v="theater/plays"/>
    <x v="3"/>
    <x v="3"/>
  </r>
  <r>
    <n v="381"/>
    <s v="Michael, Anderson and Vincent"/>
    <s v="Cross-group global moratorium"/>
    <n v="5300"/>
    <n v="9749"/>
    <n v="1.8394339622641509"/>
    <x v="1"/>
    <n v="155"/>
    <n v="62.896774193548389"/>
    <x v="1"/>
    <s v="USD"/>
    <n v="1433739600"/>
    <n v="1437714000"/>
    <x v="363"/>
    <d v="2015-07-24T05:00:00"/>
    <s v="Mon"/>
    <x v="49"/>
    <b v="0"/>
    <b v="0"/>
    <s v="theater/plays"/>
    <x v="3"/>
    <x v="3"/>
  </r>
  <r>
    <n v="382"/>
    <s v="King Ltd"/>
    <s v="Visionary systemic process improvement"/>
    <n v="9100"/>
    <n v="5803"/>
    <n v="0.63769230769230767"/>
    <x v="0"/>
    <n v="67"/>
    <n v="86.611940298507463"/>
    <x v="1"/>
    <s v="USD"/>
    <n v="1508130000"/>
    <n v="1509771600"/>
    <x v="364"/>
    <d v="2017-11-04T05:00:00"/>
    <s v="Mon"/>
    <x v="27"/>
    <b v="0"/>
    <b v="0"/>
    <s v="photography/photography books"/>
    <x v="7"/>
    <x v="14"/>
  </r>
  <r>
    <n v="383"/>
    <s v="Baker Ltd"/>
    <s v="Progressive intangible flexibility"/>
    <n v="6300"/>
    <n v="14199"/>
    <n v="2.2538095238095237"/>
    <x v="1"/>
    <n v="189"/>
    <n v="75.126984126984127"/>
    <x v="1"/>
    <s v="USD"/>
    <n v="1550037600"/>
    <n v="1550556000"/>
    <x v="210"/>
    <d v="2019-02-19T06:00:00"/>
    <s v="Wed"/>
    <x v="8"/>
    <b v="0"/>
    <b v="1"/>
    <s v="food/food trucks"/>
    <x v="0"/>
    <x v="0"/>
  </r>
  <r>
    <n v="384"/>
    <s v="Baker, Collins and Smith"/>
    <s v="Reactive real-time software"/>
    <n v="114400"/>
    <n v="196779"/>
    <n v="1.7200961538461539"/>
    <x v="1"/>
    <n v="4799"/>
    <n v="41.004167534903104"/>
    <x v="1"/>
    <s v="USD"/>
    <n v="1486706400"/>
    <n v="1489039200"/>
    <x v="365"/>
    <d v="2017-03-09T06:00:00"/>
    <s v="Fri"/>
    <x v="11"/>
    <b v="1"/>
    <b v="1"/>
    <s v="film &amp; video/documentary"/>
    <x v="4"/>
    <x v="4"/>
  </r>
  <r>
    <n v="385"/>
    <s v="Warren-Harrison"/>
    <s v="Programmable incremental knowledge user"/>
    <n v="38900"/>
    <n v="56859"/>
    <n v="1.4616709511568124"/>
    <x v="1"/>
    <n v="1137"/>
    <n v="50.007915567282325"/>
    <x v="1"/>
    <s v="USD"/>
    <n v="1553835600"/>
    <n v="1556600400"/>
    <x v="366"/>
    <d v="2019-04-30T05:00:00"/>
    <s v="Fri"/>
    <x v="48"/>
    <b v="0"/>
    <b v="0"/>
    <s v="publishing/nonfiction"/>
    <x v="5"/>
    <x v="9"/>
  </r>
  <r>
    <n v="386"/>
    <s v="Gardner Group"/>
    <s v="Progressive 5thgeneration customer loyalty"/>
    <n v="135500"/>
    <n v="103554"/>
    <n v="0.76423616236162362"/>
    <x v="0"/>
    <n v="1068"/>
    <n v="96.960674157303373"/>
    <x v="1"/>
    <s v="USD"/>
    <n v="1277528400"/>
    <n v="1278565200"/>
    <x v="367"/>
    <d v="2010-07-08T05:00:00"/>
    <s v="Sat"/>
    <x v="10"/>
    <b v="0"/>
    <b v="0"/>
    <s v="theater/plays"/>
    <x v="3"/>
    <x v="3"/>
  </r>
  <r>
    <n v="387"/>
    <s v="Flores-Lambert"/>
    <s v="Triple-buffered logistical frame"/>
    <n v="109000"/>
    <n v="42795"/>
    <n v="0.39261467889908258"/>
    <x v="0"/>
    <n v="424"/>
    <n v="100.93160377358491"/>
    <x v="1"/>
    <s v="USD"/>
    <n v="1339477200"/>
    <n v="1339909200"/>
    <x v="368"/>
    <d v="2012-06-17T05:00:00"/>
    <s v="Tue"/>
    <x v="20"/>
    <b v="0"/>
    <b v="0"/>
    <s v="technology/wearables"/>
    <x v="2"/>
    <x v="8"/>
  </r>
  <r>
    <n v="388"/>
    <s v="Cruz Ltd"/>
    <s v="Exclusive dynamic adapter"/>
    <n v="114800"/>
    <n v="12938"/>
    <n v="0.11270034843205574"/>
    <x v="3"/>
    <n v="145"/>
    <n v="89.227586206896547"/>
    <x v="5"/>
    <s v="CHF"/>
    <n v="1325656800"/>
    <n v="1325829600"/>
    <x v="369"/>
    <d v="2012-01-06T06:00:00"/>
    <s v="Wed"/>
    <x v="1"/>
    <b v="0"/>
    <b v="0"/>
    <s v="music/indie rock"/>
    <x v="1"/>
    <x v="7"/>
  </r>
  <r>
    <n v="389"/>
    <s v="Knox-Garner"/>
    <s v="Automated systemic hierarchy"/>
    <n v="83000"/>
    <n v="101352"/>
    <n v="1.2211084337349398"/>
    <x v="1"/>
    <n v="1152"/>
    <n v="87.979166666666671"/>
    <x v="1"/>
    <s v="USD"/>
    <n v="1288242000"/>
    <n v="1290578400"/>
    <x v="370"/>
    <d v="2010-11-24T06:00:00"/>
    <s v="Thu"/>
    <x v="11"/>
    <b v="0"/>
    <b v="0"/>
    <s v="theater/plays"/>
    <x v="3"/>
    <x v="3"/>
  </r>
  <r>
    <n v="390"/>
    <s v="Davis-Allen"/>
    <s v="Digitized eco-centric core"/>
    <n v="2400"/>
    <n v="4477"/>
    <n v="1.8654166666666667"/>
    <x v="1"/>
    <n v="50"/>
    <n v="89.54"/>
    <x v="1"/>
    <s v="USD"/>
    <n v="1379048400"/>
    <n v="1380344400"/>
    <x v="371"/>
    <d v="2013-09-28T05:00:00"/>
    <s v="Fri"/>
    <x v="16"/>
    <b v="0"/>
    <b v="0"/>
    <s v="photography/photography books"/>
    <x v="7"/>
    <x v="14"/>
  </r>
  <r>
    <n v="391"/>
    <s v="Miller-Patel"/>
    <s v="Mandatory uniform strategy"/>
    <n v="60400"/>
    <n v="4393"/>
    <n v="7.27317880794702E-2"/>
    <x v="0"/>
    <n v="151"/>
    <n v="29.09271523178808"/>
    <x v="1"/>
    <s v="USD"/>
    <n v="1389679200"/>
    <n v="1389852000"/>
    <x v="287"/>
    <d v="2014-01-16T06:00:00"/>
    <s v="Tue"/>
    <x v="1"/>
    <b v="0"/>
    <b v="0"/>
    <s v="publishing/nonfiction"/>
    <x v="5"/>
    <x v="9"/>
  </r>
  <r>
    <n v="392"/>
    <s v="Hernandez-Grimes"/>
    <s v="Profit-focused zero administration forecast"/>
    <n v="102900"/>
    <n v="67546"/>
    <n v="0.65642371234207963"/>
    <x v="0"/>
    <n v="1608"/>
    <n v="42.006218905472636"/>
    <x v="1"/>
    <s v="USD"/>
    <n v="1294293600"/>
    <n v="1294466400"/>
    <x v="372"/>
    <d v="2011-01-08T06:00:00"/>
    <s v="Thu"/>
    <x v="1"/>
    <b v="0"/>
    <b v="0"/>
    <s v="technology/wearables"/>
    <x v="2"/>
    <x v="8"/>
  </r>
  <r>
    <n v="393"/>
    <s v="Owens, Hall and Gonzalez"/>
    <s v="De-engineered static orchestration"/>
    <n v="62800"/>
    <n v="143788"/>
    <n v="2.2896178343949045"/>
    <x v="1"/>
    <n v="3059"/>
    <n v="47.004903563255965"/>
    <x v="0"/>
    <s v="CAD"/>
    <n v="1500267600"/>
    <n v="1500354000"/>
    <x v="373"/>
    <d v="2017-07-18T05:00:00"/>
    <s v="Mon"/>
    <x v="5"/>
    <b v="0"/>
    <b v="0"/>
    <s v="music/jazz"/>
    <x v="1"/>
    <x v="17"/>
  </r>
  <r>
    <n v="394"/>
    <s v="Noble-Bailey"/>
    <s v="Customizable dynamic info-mediaries"/>
    <n v="800"/>
    <n v="3755"/>
    <n v="4.6937499999999996"/>
    <x v="1"/>
    <n v="34"/>
    <n v="110.44117647058823"/>
    <x v="1"/>
    <s v="USD"/>
    <n v="1375074000"/>
    <n v="1375938000"/>
    <x v="374"/>
    <d v="2013-08-08T05:00:00"/>
    <s v="Mon"/>
    <x v="39"/>
    <b v="0"/>
    <b v="1"/>
    <s v="film &amp; video/documentary"/>
    <x v="4"/>
    <x v="4"/>
  </r>
  <r>
    <n v="395"/>
    <s v="Taylor PLC"/>
    <s v="Enhanced incremental budgetary management"/>
    <n v="7100"/>
    <n v="9238"/>
    <n v="1.3011267605633803"/>
    <x v="1"/>
    <n v="220"/>
    <n v="41.990909090909092"/>
    <x v="1"/>
    <s v="USD"/>
    <n v="1323324000"/>
    <n v="1323410400"/>
    <x v="375"/>
    <d v="2011-12-09T06:00:00"/>
    <s v="Thu"/>
    <x v="5"/>
    <b v="1"/>
    <b v="0"/>
    <s v="theater/plays"/>
    <x v="3"/>
    <x v="3"/>
  </r>
  <r>
    <n v="396"/>
    <s v="Holmes PLC"/>
    <s v="Digitized local info-mediaries"/>
    <n v="46100"/>
    <n v="77012"/>
    <n v="1.6705422993492407"/>
    <x v="1"/>
    <n v="1604"/>
    <n v="48.012468827930178"/>
    <x v="2"/>
    <s v="AUD"/>
    <n v="1538715600"/>
    <n v="1539406800"/>
    <x v="376"/>
    <d v="2018-10-13T05:00:00"/>
    <s v="Fri"/>
    <x v="9"/>
    <b v="0"/>
    <b v="0"/>
    <s v="film &amp; video/drama"/>
    <x v="4"/>
    <x v="6"/>
  </r>
  <r>
    <n v="397"/>
    <s v="Jones-Martin"/>
    <s v="Virtual systematic monitoring"/>
    <n v="8100"/>
    <n v="14083"/>
    <n v="1.738641975308642"/>
    <x v="1"/>
    <n v="454"/>
    <n v="31.019823788546255"/>
    <x v="1"/>
    <s v="USD"/>
    <n v="1369285200"/>
    <n v="1369803600"/>
    <x v="377"/>
    <d v="2013-05-29T05:00:00"/>
    <s v="Thu"/>
    <x v="8"/>
    <b v="0"/>
    <b v="0"/>
    <s v="music/rock"/>
    <x v="1"/>
    <x v="1"/>
  </r>
  <r>
    <n v="398"/>
    <s v="Myers LLC"/>
    <s v="Reactive bottom-line open architecture"/>
    <n v="1700"/>
    <n v="12202"/>
    <n v="7.1776470588235295"/>
    <x v="1"/>
    <n v="123"/>
    <n v="99.203252032520325"/>
    <x v="6"/>
    <s v="EUR"/>
    <n v="1525755600"/>
    <n v="1525928400"/>
    <x v="378"/>
    <d v="2018-05-10T05:00:00"/>
    <s v="Tue"/>
    <x v="1"/>
    <b v="0"/>
    <b v="1"/>
    <s v="film &amp; video/animation"/>
    <x v="4"/>
    <x v="10"/>
  </r>
  <r>
    <n v="399"/>
    <s v="Acosta, Mullins and Morris"/>
    <s v="Pre-emptive interactive model"/>
    <n v="97300"/>
    <n v="62127"/>
    <n v="0.63850976361767731"/>
    <x v="0"/>
    <n v="941"/>
    <n v="66.022316684378325"/>
    <x v="1"/>
    <s v="USD"/>
    <n v="1296626400"/>
    <n v="1297231200"/>
    <x v="379"/>
    <d v="2011-02-09T06:00:00"/>
    <s v="Wed"/>
    <x v="34"/>
    <b v="0"/>
    <b v="0"/>
    <s v="music/indie rock"/>
    <x v="1"/>
    <x v="7"/>
  </r>
  <r>
    <n v="400"/>
    <s v="Bell PLC"/>
    <s v="Ergonomic eco-centric open architecture"/>
    <n v="100"/>
    <n v="2"/>
    <n v="0.02"/>
    <x v="0"/>
    <n v="1"/>
    <n v="2"/>
    <x v="1"/>
    <s v="USD"/>
    <n v="1376629200"/>
    <n v="1378530000"/>
    <x v="380"/>
    <d v="2013-09-07T05:00:00"/>
    <s v="Fri"/>
    <x v="12"/>
    <b v="0"/>
    <b v="1"/>
    <s v="photography/photography books"/>
    <x v="7"/>
    <x v="14"/>
  </r>
  <r>
    <n v="401"/>
    <s v="Smith-Schmidt"/>
    <s v="Inverse radical hierarchy"/>
    <n v="900"/>
    <n v="13772"/>
    <n v="15.302222222222222"/>
    <x v="1"/>
    <n v="299"/>
    <n v="46.060200668896321"/>
    <x v="1"/>
    <s v="USD"/>
    <n v="1572152400"/>
    <n v="1572152400"/>
    <x v="381"/>
    <d v="2019-10-27T05:00:00"/>
    <s v="Sun"/>
    <x v="14"/>
    <b v="0"/>
    <b v="0"/>
    <s v="theater/plays"/>
    <x v="3"/>
    <x v="3"/>
  </r>
  <r>
    <n v="402"/>
    <s v="Ruiz, Richardson and Cole"/>
    <s v="Team-oriented static interface"/>
    <n v="7300"/>
    <n v="2946"/>
    <n v="0.40356164383561643"/>
    <x v="0"/>
    <n v="40"/>
    <n v="73.650000000000006"/>
    <x v="1"/>
    <s v="USD"/>
    <n v="1325829600"/>
    <n v="1329890400"/>
    <x v="382"/>
    <d v="2012-02-22T06:00:00"/>
    <s v="Fri"/>
    <x v="37"/>
    <b v="0"/>
    <b v="1"/>
    <s v="film &amp; video/shorts"/>
    <x v="4"/>
    <x v="12"/>
  </r>
  <r>
    <n v="403"/>
    <s v="Leonard-Mcclain"/>
    <s v="Virtual foreground throughput"/>
    <n v="195800"/>
    <n v="168820"/>
    <n v="0.86220633299284988"/>
    <x v="0"/>
    <n v="3015"/>
    <n v="55.99336650082919"/>
    <x v="0"/>
    <s v="CAD"/>
    <n v="1273640400"/>
    <n v="1276750800"/>
    <x v="125"/>
    <d v="2010-06-17T05:00:00"/>
    <s v="Wed"/>
    <x v="38"/>
    <b v="0"/>
    <b v="1"/>
    <s v="theater/plays"/>
    <x v="3"/>
    <x v="3"/>
  </r>
  <r>
    <n v="404"/>
    <s v="Bailey-Boyer"/>
    <s v="Visionary exuding Internet solution"/>
    <n v="48900"/>
    <n v="154321"/>
    <n v="3.1558486707566464"/>
    <x v="1"/>
    <n v="2237"/>
    <n v="68.985695127402778"/>
    <x v="1"/>
    <s v="USD"/>
    <n v="1510639200"/>
    <n v="1510898400"/>
    <x v="383"/>
    <d v="2017-11-17T06:00:00"/>
    <s v="Tue"/>
    <x v="36"/>
    <b v="0"/>
    <b v="0"/>
    <s v="theater/plays"/>
    <x v="3"/>
    <x v="3"/>
  </r>
  <r>
    <n v="405"/>
    <s v="Lee LLC"/>
    <s v="Synchronized secondary analyzer"/>
    <n v="29600"/>
    <n v="26527"/>
    <n v="0.89618243243243245"/>
    <x v="0"/>
    <n v="435"/>
    <n v="60.981609195402299"/>
    <x v="1"/>
    <s v="USD"/>
    <n v="1528088400"/>
    <n v="1532408400"/>
    <x v="384"/>
    <d v="2018-07-24T05:00:00"/>
    <s v="Mon"/>
    <x v="57"/>
    <b v="0"/>
    <b v="0"/>
    <s v="theater/plays"/>
    <x v="3"/>
    <x v="3"/>
  </r>
  <r>
    <n v="406"/>
    <s v="Lyons Inc"/>
    <s v="Balanced attitude-oriented parallelism"/>
    <n v="39300"/>
    <n v="71583"/>
    <n v="1.8214503816793892"/>
    <x v="1"/>
    <n v="645"/>
    <n v="110.98139534883721"/>
    <x v="1"/>
    <s v="USD"/>
    <n v="1359525600"/>
    <n v="1360562400"/>
    <x v="385"/>
    <d v="2013-02-11T06:00:00"/>
    <s v="Wed"/>
    <x v="10"/>
    <b v="1"/>
    <b v="0"/>
    <s v="film &amp; video/documentary"/>
    <x v="4"/>
    <x v="4"/>
  </r>
  <r>
    <n v="407"/>
    <s v="Herrera-Wilson"/>
    <s v="Organized bandwidth-monitored core"/>
    <n v="3400"/>
    <n v="12100"/>
    <n v="3.5588235294117645"/>
    <x v="1"/>
    <n v="484"/>
    <n v="25"/>
    <x v="3"/>
    <s v="DKK"/>
    <n v="1570942800"/>
    <n v="1571547600"/>
    <x v="386"/>
    <d v="2019-10-20T05:00:00"/>
    <s v="Sun"/>
    <x v="34"/>
    <b v="0"/>
    <b v="0"/>
    <s v="theater/plays"/>
    <x v="3"/>
    <x v="3"/>
  </r>
  <r>
    <n v="408"/>
    <s v="Mahoney, Adams and Lucas"/>
    <s v="Cloned leadingedge utilization"/>
    <n v="9200"/>
    <n v="12129"/>
    <n v="1.3183695652173912"/>
    <x v="1"/>
    <n v="154"/>
    <n v="78.759740259740255"/>
    <x v="0"/>
    <s v="CAD"/>
    <n v="1466398800"/>
    <n v="1468126800"/>
    <x v="387"/>
    <d v="2016-07-10T05:00:00"/>
    <s v="Mon"/>
    <x v="18"/>
    <b v="0"/>
    <b v="0"/>
    <s v="film &amp; video/documentary"/>
    <x v="4"/>
    <x v="4"/>
  </r>
  <r>
    <n v="409"/>
    <s v="Stewart LLC"/>
    <s v="Secured asymmetric projection"/>
    <n v="135600"/>
    <n v="62804"/>
    <n v="0.46315634218289087"/>
    <x v="0"/>
    <n v="714"/>
    <n v="87.960784313725483"/>
    <x v="1"/>
    <s v="USD"/>
    <n v="1492491600"/>
    <n v="1492837200"/>
    <x v="388"/>
    <d v="2017-04-22T05:00:00"/>
    <s v="Tue"/>
    <x v="3"/>
    <b v="0"/>
    <b v="0"/>
    <s v="music/rock"/>
    <x v="1"/>
    <x v="1"/>
  </r>
  <r>
    <n v="410"/>
    <s v="Mcmillan Group"/>
    <s v="Advanced cohesive Graphic Interface"/>
    <n v="153700"/>
    <n v="55536"/>
    <n v="0.36132726089785294"/>
    <x v="2"/>
    <n v="1111"/>
    <n v="49.987398739873989"/>
    <x v="1"/>
    <s v="USD"/>
    <n v="1430197200"/>
    <n v="1430197200"/>
    <x v="277"/>
    <d v="2015-04-28T05:00:00"/>
    <s v="Tue"/>
    <x v="14"/>
    <b v="0"/>
    <b v="0"/>
    <s v="games/mobile games"/>
    <x v="6"/>
    <x v="20"/>
  </r>
  <r>
    <n v="411"/>
    <s v="Beck, Thompson and Martinez"/>
    <s v="Down-sized maximized function"/>
    <n v="7800"/>
    <n v="8161"/>
    <n v="1.0462820512820512"/>
    <x v="1"/>
    <n v="82"/>
    <n v="99.524390243902445"/>
    <x v="1"/>
    <s v="USD"/>
    <n v="1496034000"/>
    <n v="1496206800"/>
    <x v="389"/>
    <d v="2017-05-31T05:00:00"/>
    <s v="Mon"/>
    <x v="1"/>
    <b v="0"/>
    <b v="0"/>
    <s v="theater/plays"/>
    <x v="3"/>
    <x v="3"/>
  </r>
  <r>
    <n v="412"/>
    <s v="Rodriguez-Scott"/>
    <s v="Realigned zero tolerance software"/>
    <n v="2100"/>
    <n v="14046"/>
    <n v="6.6885714285714286"/>
    <x v="1"/>
    <n v="134"/>
    <n v="104.82089552238806"/>
    <x v="1"/>
    <s v="USD"/>
    <n v="1388728800"/>
    <n v="1389592800"/>
    <x v="390"/>
    <d v="2014-01-13T06:00:00"/>
    <s v="Fri"/>
    <x v="39"/>
    <b v="0"/>
    <b v="0"/>
    <s v="publishing/fiction"/>
    <x v="5"/>
    <x v="13"/>
  </r>
  <r>
    <n v="413"/>
    <s v="Rush-Bowers"/>
    <s v="Persevering analyzing extranet"/>
    <n v="189500"/>
    <n v="117628"/>
    <n v="0.62072823218997364"/>
    <x v="2"/>
    <n v="1089"/>
    <n v="108.01469237832875"/>
    <x v="1"/>
    <s v="USD"/>
    <n v="1543298400"/>
    <n v="1545631200"/>
    <x v="391"/>
    <d v="2018-12-24T06:00:00"/>
    <s v="Tue"/>
    <x v="11"/>
    <b v="0"/>
    <b v="0"/>
    <s v="film &amp; video/animation"/>
    <x v="4"/>
    <x v="10"/>
  </r>
  <r>
    <n v="414"/>
    <s v="Davis and Sons"/>
    <s v="Innovative human-resource migration"/>
    <n v="188200"/>
    <n v="159405"/>
    <n v="0.84699787460148779"/>
    <x v="0"/>
    <n v="5497"/>
    <n v="28.998544660724033"/>
    <x v="1"/>
    <s v="USD"/>
    <n v="1271739600"/>
    <n v="1272430800"/>
    <x v="392"/>
    <d v="2010-04-28T05:00:00"/>
    <s v="Tue"/>
    <x v="9"/>
    <b v="0"/>
    <b v="1"/>
    <s v="food/food trucks"/>
    <x v="0"/>
    <x v="0"/>
  </r>
  <r>
    <n v="415"/>
    <s v="Anderson-Pham"/>
    <s v="Intuitive needs-based monitoring"/>
    <n v="113500"/>
    <n v="12552"/>
    <n v="0.11059030837004405"/>
    <x v="0"/>
    <n v="418"/>
    <n v="30.028708133971293"/>
    <x v="1"/>
    <s v="USD"/>
    <n v="1326434400"/>
    <n v="1327903200"/>
    <x v="393"/>
    <d v="2012-01-30T06:00:00"/>
    <s v="Fri"/>
    <x v="0"/>
    <b v="0"/>
    <b v="0"/>
    <s v="theater/plays"/>
    <x v="3"/>
    <x v="3"/>
  </r>
  <r>
    <n v="416"/>
    <s v="Stewart-Coleman"/>
    <s v="Customer-focused disintermediate toolset"/>
    <n v="134600"/>
    <n v="59007"/>
    <n v="0.43838781575037145"/>
    <x v="0"/>
    <n v="1439"/>
    <n v="41.005559416261292"/>
    <x v="1"/>
    <s v="USD"/>
    <n v="1295244000"/>
    <n v="1296021600"/>
    <x v="394"/>
    <d v="2011-01-26T06:00:00"/>
    <s v="Mon"/>
    <x v="29"/>
    <b v="0"/>
    <b v="1"/>
    <s v="film &amp; video/documentary"/>
    <x v="4"/>
    <x v="4"/>
  </r>
  <r>
    <n v="417"/>
    <s v="Bradshaw, Smith and Ryan"/>
    <s v="Upgradable 24/7 emulation"/>
    <n v="1700"/>
    <n v="943"/>
    <n v="0.55470588235294116"/>
    <x v="0"/>
    <n v="15"/>
    <n v="62.866666666666667"/>
    <x v="1"/>
    <s v="USD"/>
    <n v="1541221200"/>
    <n v="1543298400"/>
    <x v="395"/>
    <d v="2018-11-27T06:00:00"/>
    <s v="Sat"/>
    <x v="47"/>
    <b v="0"/>
    <b v="0"/>
    <s v="theater/plays"/>
    <x v="3"/>
    <x v="3"/>
  </r>
  <r>
    <n v="418"/>
    <s v="Jackson PLC"/>
    <s v="Quality-focused client-server core"/>
    <n v="163700"/>
    <n v="93963"/>
    <n v="0.57399511301160655"/>
    <x v="0"/>
    <n v="1999"/>
    <n v="47.005002501250623"/>
    <x v="0"/>
    <s v="CAD"/>
    <n v="1336280400"/>
    <n v="1336366800"/>
    <x v="396"/>
    <d v="2012-05-07T05:00:00"/>
    <s v="Sun"/>
    <x v="5"/>
    <b v="0"/>
    <b v="0"/>
    <s v="film &amp; video/documentary"/>
    <x v="4"/>
    <x v="4"/>
  </r>
  <r>
    <n v="419"/>
    <s v="Ware-Arias"/>
    <s v="Upgradable maximized protocol"/>
    <n v="113800"/>
    <n v="140469"/>
    <n v="1.2343497363796134"/>
    <x v="1"/>
    <n v="5203"/>
    <n v="26.997693638285604"/>
    <x v="1"/>
    <s v="USD"/>
    <n v="1324533600"/>
    <n v="1325052000"/>
    <x v="397"/>
    <d v="2011-12-28T06:00:00"/>
    <s v="Thu"/>
    <x v="8"/>
    <b v="0"/>
    <b v="0"/>
    <s v="technology/web"/>
    <x v="2"/>
    <x v="2"/>
  </r>
  <r>
    <n v="420"/>
    <s v="Blair, Reyes and Woods"/>
    <s v="Cross-platform interactive synergy"/>
    <n v="5000"/>
    <n v="6423"/>
    <n v="1.2846"/>
    <x v="1"/>
    <n v="94"/>
    <n v="68.329787234042556"/>
    <x v="1"/>
    <s v="USD"/>
    <n v="1498366800"/>
    <n v="1499576400"/>
    <x v="398"/>
    <d v="2017-07-09T05:00:00"/>
    <s v="Sun"/>
    <x v="26"/>
    <b v="0"/>
    <b v="0"/>
    <s v="theater/plays"/>
    <x v="3"/>
    <x v="3"/>
  </r>
  <r>
    <n v="421"/>
    <s v="Thomas-Lopez"/>
    <s v="User-centric fault-tolerant archive"/>
    <n v="9400"/>
    <n v="6015"/>
    <n v="0.63989361702127656"/>
    <x v="0"/>
    <n v="118"/>
    <n v="50.974576271186443"/>
    <x v="1"/>
    <s v="USD"/>
    <n v="1498712400"/>
    <n v="1501304400"/>
    <x v="399"/>
    <d v="2017-07-29T05:00:00"/>
    <s v="Thu"/>
    <x v="31"/>
    <b v="0"/>
    <b v="1"/>
    <s v="technology/wearables"/>
    <x v="2"/>
    <x v="8"/>
  </r>
  <r>
    <n v="422"/>
    <s v="Brown, Davies and Pacheco"/>
    <s v="Reverse-engineered regional knowledge user"/>
    <n v="8700"/>
    <n v="11075"/>
    <n v="1.2729885057471264"/>
    <x v="1"/>
    <n v="205"/>
    <n v="54.024390243902438"/>
    <x v="1"/>
    <s v="USD"/>
    <n v="1271480400"/>
    <n v="1273208400"/>
    <x v="400"/>
    <d v="2010-05-07T05:00:00"/>
    <s v="Sat"/>
    <x v="18"/>
    <b v="0"/>
    <b v="1"/>
    <s v="theater/plays"/>
    <x v="3"/>
    <x v="3"/>
  </r>
  <r>
    <n v="423"/>
    <s v="Jones-Riddle"/>
    <s v="Self-enabling real-time definition"/>
    <n v="147800"/>
    <n v="15723"/>
    <n v="0.10638024357239513"/>
    <x v="0"/>
    <n v="162"/>
    <n v="97.055555555555557"/>
    <x v="1"/>
    <s v="USD"/>
    <n v="1316667600"/>
    <n v="1316840400"/>
    <x v="116"/>
    <d v="2011-09-24T05:00:00"/>
    <s v="Thu"/>
    <x v="1"/>
    <b v="0"/>
    <b v="1"/>
    <s v="food/food trucks"/>
    <x v="0"/>
    <x v="0"/>
  </r>
  <r>
    <n v="424"/>
    <s v="Schmidt-Gomez"/>
    <s v="User-centric impactful projection"/>
    <n v="5100"/>
    <n v="2064"/>
    <n v="0.40470588235294119"/>
    <x v="0"/>
    <n v="83"/>
    <n v="24.867469879518072"/>
    <x v="1"/>
    <s v="USD"/>
    <n v="1524027600"/>
    <n v="1524546000"/>
    <x v="401"/>
    <d v="2018-04-24T05:00:00"/>
    <s v="Wed"/>
    <x v="8"/>
    <b v="0"/>
    <b v="0"/>
    <s v="music/indie rock"/>
    <x v="1"/>
    <x v="7"/>
  </r>
  <r>
    <n v="425"/>
    <s v="Sullivan, Davis and Booth"/>
    <s v="Vision-oriented actuating hardware"/>
    <n v="2700"/>
    <n v="7767"/>
    <n v="2.8766666666666665"/>
    <x v="1"/>
    <n v="92"/>
    <n v="84.423913043478265"/>
    <x v="1"/>
    <s v="USD"/>
    <n v="1438059600"/>
    <n v="1438578000"/>
    <x v="402"/>
    <d v="2015-08-03T05:00:00"/>
    <s v="Tue"/>
    <x v="8"/>
    <b v="0"/>
    <b v="0"/>
    <s v="photography/photography books"/>
    <x v="7"/>
    <x v="14"/>
  </r>
  <r>
    <n v="426"/>
    <s v="Edwards-Kane"/>
    <s v="Virtual leadingedge framework"/>
    <n v="1800"/>
    <n v="10313"/>
    <n v="5.7294444444444448"/>
    <x v="1"/>
    <n v="219"/>
    <n v="47.091324200913242"/>
    <x v="1"/>
    <s v="USD"/>
    <n v="1361944800"/>
    <n v="1362549600"/>
    <x v="403"/>
    <d v="2013-03-06T06:00:00"/>
    <s v="Wed"/>
    <x v="34"/>
    <b v="0"/>
    <b v="0"/>
    <s v="theater/plays"/>
    <x v="3"/>
    <x v="3"/>
  </r>
  <r>
    <n v="427"/>
    <s v="Hicks, Wall and Webb"/>
    <s v="Managed discrete framework"/>
    <n v="174500"/>
    <n v="197018"/>
    <n v="1.1290429799426933"/>
    <x v="1"/>
    <n v="2526"/>
    <n v="77.996041171813147"/>
    <x v="1"/>
    <s v="USD"/>
    <n v="1410584400"/>
    <n v="1413349200"/>
    <x v="404"/>
    <d v="2014-10-15T05:00:00"/>
    <s v="Sat"/>
    <x v="48"/>
    <b v="0"/>
    <b v="1"/>
    <s v="theater/plays"/>
    <x v="3"/>
    <x v="3"/>
  </r>
  <r>
    <n v="428"/>
    <s v="Mayer-Richmond"/>
    <s v="Progressive zero-defect capability"/>
    <n v="101400"/>
    <n v="47037"/>
    <n v="0.46387573964497042"/>
    <x v="0"/>
    <n v="747"/>
    <n v="62.967871485943775"/>
    <x v="1"/>
    <s v="USD"/>
    <n v="1297404000"/>
    <n v="1298008800"/>
    <x v="405"/>
    <d v="2011-02-18T06:00:00"/>
    <s v="Fri"/>
    <x v="34"/>
    <b v="0"/>
    <b v="0"/>
    <s v="film &amp; video/animation"/>
    <x v="4"/>
    <x v="10"/>
  </r>
  <r>
    <n v="429"/>
    <s v="Robles Ltd"/>
    <s v="Right-sized demand-driven adapter"/>
    <n v="191000"/>
    <n v="173191"/>
    <n v="0.90675916230366493"/>
    <x v="3"/>
    <n v="2138"/>
    <n v="81.006080449017773"/>
    <x v="1"/>
    <s v="USD"/>
    <n v="1392012000"/>
    <n v="1394427600"/>
    <x v="406"/>
    <d v="2014-03-10T05:00:00"/>
    <s v="Mon"/>
    <x v="21"/>
    <b v="0"/>
    <b v="1"/>
    <s v="photography/photography books"/>
    <x v="7"/>
    <x v="14"/>
  </r>
  <r>
    <n v="430"/>
    <s v="Cochran Ltd"/>
    <s v="Re-engineered attitude-oriented frame"/>
    <n v="8100"/>
    <n v="5487"/>
    <n v="0.67740740740740746"/>
    <x v="0"/>
    <n v="84"/>
    <n v="65.321428571428569"/>
    <x v="1"/>
    <s v="USD"/>
    <n v="1569733200"/>
    <n v="1572670800"/>
    <x v="407"/>
    <d v="2019-11-02T05:00:00"/>
    <s v="Sun"/>
    <x v="15"/>
    <b v="0"/>
    <b v="0"/>
    <s v="theater/plays"/>
    <x v="3"/>
    <x v="3"/>
  </r>
  <r>
    <n v="431"/>
    <s v="Rosales LLC"/>
    <s v="Compatible multimedia utilization"/>
    <n v="5100"/>
    <n v="9817"/>
    <n v="1.9249019607843136"/>
    <x v="1"/>
    <n v="94"/>
    <n v="104.43617021276596"/>
    <x v="1"/>
    <s v="USD"/>
    <n v="1529643600"/>
    <n v="1531112400"/>
    <x v="408"/>
    <d v="2018-07-09T05:00:00"/>
    <s v="Fri"/>
    <x v="0"/>
    <b v="1"/>
    <b v="0"/>
    <s v="theater/plays"/>
    <x v="3"/>
    <x v="3"/>
  </r>
  <r>
    <n v="432"/>
    <s v="Harper-Bryan"/>
    <s v="Re-contextualized dedicated hardware"/>
    <n v="7700"/>
    <n v="6369"/>
    <n v="0.82714285714285718"/>
    <x v="0"/>
    <n v="91"/>
    <n v="69.989010989010993"/>
    <x v="1"/>
    <s v="USD"/>
    <n v="1399006800"/>
    <n v="1400734800"/>
    <x v="409"/>
    <d v="2014-05-22T05:00:00"/>
    <s v="Fri"/>
    <x v="18"/>
    <b v="0"/>
    <b v="0"/>
    <s v="theater/plays"/>
    <x v="3"/>
    <x v="3"/>
  </r>
  <r>
    <n v="433"/>
    <s v="Potter, Harper and Everett"/>
    <s v="Decentralized composite paradigm"/>
    <n v="121400"/>
    <n v="65755"/>
    <n v="0.54163920922570019"/>
    <x v="0"/>
    <n v="792"/>
    <n v="83.023989898989896"/>
    <x v="1"/>
    <s v="USD"/>
    <n v="1385359200"/>
    <n v="1386741600"/>
    <x v="410"/>
    <d v="2013-12-11T06:00:00"/>
    <s v="Mon"/>
    <x v="30"/>
    <b v="0"/>
    <b v="1"/>
    <s v="film &amp; video/documentary"/>
    <x v="4"/>
    <x v="4"/>
  </r>
  <r>
    <n v="434"/>
    <s v="Floyd-Sims"/>
    <s v="Cloned transitional hierarchy"/>
    <n v="5400"/>
    <n v="903"/>
    <n v="0.16722222222222222"/>
    <x v="3"/>
    <n v="10"/>
    <n v="90.3"/>
    <x v="0"/>
    <s v="CAD"/>
    <n v="1480572000"/>
    <n v="1481781600"/>
    <x v="411"/>
    <d v="2016-12-15T06:00:00"/>
    <s v="Thu"/>
    <x v="26"/>
    <b v="1"/>
    <b v="0"/>
    <s v="theater/plays"/>
    <x v="3"/>
    <x v="3"/>
  </r>
  <r>
    <n v="435"/>
    <s v="Spence, Jackson and Kelly"/>
    <s v="Advanced discrete leverage"/>
    <n v="152400"/>
    <n v="178120"/>
    <n v="1.168766404199475"/>
    <x v="1"/>
    <n v="1713"/>
    <n v="103.98131932282546"/>
    <x v="6"/>
    <s v="EUR"/>
    <n v="1418623200"/>
    <n v="1419660000"/>
    <x v="412"/>
    <d v="2014-12-27T06:00:00"/>
    <s v="Mon"/>
    <x v="10"/>
    <b v="0"/>
    <b v="1"/>
    <s v="theater/plays"/>
    <x v="3"/>
    <x v="3"/>
  </r>
  <r>
    <n v="436"/>
    <s v="King-Nguyen"/>
    <s v="Open-source incremental throughput"/>
    <n v="1300"/>
    <n v="13678"/>
    <n v="10.521538461538462"/>
    <x v="1"/>
    <n v="249"/>
    <n v="54.931726907630519"/>
    <x v="1"/>
    <s v="USD"/>
    <n v="1555736400"/>
    <n v="1555822800"/>
    <x v="413"/>
    <d v="2019-04-21T05:00:00"/>
    <s v="Sat"/>
    <x v="5"/>
    <b v="0"/>
    <b v="0"/>
    <s v="music/jazz"/>
    <x v="1"/>
    <x v="17"/>
  </r>
  <r>
    <n v="437"/>
    <s v="Hansen Group"/>
    <s v="Centralized regional interface"/>
    <n v="8100"/>
    <n v="9969"/>
    <n v="1.2307407407407407"/>
    <x v="1"/>
    <n v="192"/>
    <n v="51.921875"/>
    <x v="1"/>
    <s v="USD"/>
    <n v="1442120400"/>
    <n v="1442379600"/>
    <x v="414"/>
    <d v="2015-09-16T05:00:00"/>
    <s v="Sun"/>
    <x v="36"/>
    <b v="0"/>
    <b v="1"/>
    <s v="film &amp; video/animation"/>
    <x v="4"/>
    <x v="10"/>
  </r>
  <r>
    <n v="438"/>
    <s v="Mathis, Hall and Hansen"/>
    <s v="Streamlined web-enabled knowledgebase"/>
    <n v="8300"/>
    <n v="14827"/>
    <n v="1.7863855421686747"/>
    <x v="1"/>
    <n v="247"/>
    <n v="60.02834008097166"/>
    <x v="1"/>
    <s v="USD"/>
    <n v="1362376800"/>
    <n v="1364965200"/>
    <x v="415"/>
    <d v="2013-04-03T05:00:00"/>
    <s v="Mon"/>
    <x v="31"/>
    <b v="0"/>
    <b v="0"/>
    <s v="theater/plays"/>
    <x v="3"/>
    <x v="3"/>
  </r>
  <r>
    <n v="439"/>
    <s v="Cummings Inc"/>
    <s v="Digitized transitional monitoring"/>
    <n v="28400"/>
    <n v="100900"/>
    <n v="3.5528169014084505"/>
    <x v="1"/>
    <n v="2293"/>
    <n v="44.003488879197555"/>
    <x v="1"/>
    <s v="USD"/>
    <n v="1478408400"/>
    <n v="1479016800"/>
    <x v="416"/>
    <d v="2016-11-13T06:00:00"/>
    <s v="Sun"/>
    <x v="34"/>
    <b v="0"/>
    <b v="0"/>
    <s v="film &amp; video/science fiction"/>
    <x v="4"/>
    <x v="22"/>
  </r>
  <r>
    <n v="440"/>
    <s v="Miller-Poole"/>
    <s v="Networked optimal adapter"/>
    <n v="102500"/>
    <n v="165954"/>
    <n v="1.6190634146341463"/>
    <x v="1"/>
    <n v="3131"/>
    <n v="53.003513254551258"/>
    <x v="1"/>
    <s v="USD"/>
    <n v="1498798800"/>
    <n v="1499662800"/>
    <x v="417"/>
    <d v="2017-07-10T05:00:00"/>
    <s v="Fri"/>
    <x v="39"/>
    <b v="0"/>
    <b v="0"/>
    <s v="film &amp; video/television"/>
    <x v="4"/>
    <x v="19"/>
  </r>
  <r>
    <n v="441"/>
    <s v="Rodriguez-West"/>
    <s v="Automated optimal function"/>
    <n v="7000"/>
    <n v="1744"/>
    <n v="0.24914285714285714"/>
    <x v="0"/>
    <n v="32"/>
    <n v="54.5"/>
    <x v="1"/>
    <s v="USD"/>
    <n v="1335416400"/>
    <n v="1337835600"/>
    <x v="418"/>
    <d v="2012-05-24T05:00:00"/>
    <s v="Thu"/>
    <x v="21"/>
    <b v="0"/>
    <b v="0"/>
    <s v="technology/wearables"/>
    <x v="2"/>
    <x v="8"/>
  </r>
  <r>
    <n v="442"/>
    <s v="Calderon, Bradford and Dean"/>
    <s v="Devolved system-worthy framework"/>
    <n v="5400"/>
    <n v="10731"/>
    <n v="1.9872222222222222"/>
    <x v="1"/>
    <n v="143"/>
    <n v="75.04195804195804"/>
    <x v="6"/>
    <s v="EUR"/>
    <n v="1504328400"/>
    <n v="1505710800"/>
    <x v="419"/>
    <d v="2017-09-18T05:00:00"/>
    <s v="Sat"/>
    <x v="30"/>
    <b v="0"/>
    <b v="0"/>
    <s v="theater/plays"/>
    <x v="3"/>
    <x v="3"/>
  </r>
  <r>
    <n v="443"/>
    <s v="Clark-Bowman"/>
    <s v="Stand-alone user-facing service-desk"/>
    <n v="9300"/>
    <n v="3232"/>
    <n v="0.34752688172043011"/>
    <x v="3"/>
    <n v="90"/>
    <n v="35.911111111111111"/>
    <x v="1"/>
    <s v="USD"/>
    <n v="1285822800"/>
    <n v="1287464400"/>
    <x v="420"/>
    <d v="2010-10-19T05:00:00"/>
    <s v="Thu"/>
    <x v="27"/>
    <b v="0"/>
    <b v="0"/>
    <s v="theater/plays"/>
    <x v="3"/>
    <x v="3"/>
  </r>
  <r>
    <n v="444"/>
    <s v="Hensley Ltd"/>
    <s v="Versatile global attitude"/>
    <n v="6200"/>
    <n v="10938"/>
    <n v="1.7641935483870967"/>
    <x v="1"/>
    <n v="296"/>
    <n v="36.952702702702702"/>
    <x v="1"/>
    <s v="USD"/>
    <n v="1311483600"/>
    <n v="1311656400"/>
    <x v="421"/>
    <d v="2011-07-26T05:00:00"/>
    <s v="Sun"/>
    <x v="1"/>
    <b v="0"/>
    <b v="1"/>
    <s v="music/indie rock"/>
    <x v="1"/>
    <x v="7"/>
  </r>
  <r>
    <n v="445"/>
    <s v="Anderson-Pearson"/>
    <s v="Intuitive demand-driven Local Area Network"/>
    <n v="2100"/>
    <n v="10739"/>
    <n v="5.1138095238095236"/>
    <x v="1"/>
    <n v="170"/>
    <n v="63.170588235294119"/>
    <x v="1"/>
    <s v="USD"/>
    <n v="1291356000"/>
    <n v="1293170400"/>
    <x v="422"/>
    <d v="2010-12-24T06:00:00"/>
    <s v="Fri"/>
    <x v="13"/>
    <b v="0"/>
    <b v="1"/>
    <s v="theater/plays"/>
    <x v="3"/>
    <x v="3"/>
  </r>
  <r>
    <n v="446"/>
    <s v="Martin, Martin and Solis"/>
    <s v="Assimilated uniform methodology"/>
    <n v="6800"/>
    <n v="5579"/>
    <n v="0.82044117647058823"/>
    <x v="0"/>
    <n v="186"/>
    <n v="29.99462365591398"/>
    <x v="1"/>
    <s v="USD"/>
    <n v="1355810400"/>
    <n v="1355983200"/>
    <x v="423"/>
    <d v="2012-12-20T06:00:00"/>
    <s v="Tue"/>
    <x v="1"/>
    <b v="0"/>
    <b v="0"/>
    <s v="technology/wearables"/>
    <x v="2"/>
    <x v="8"/>
  </r>
  <r>
    <n v="447"/>
    <s v="Harrington-Harper"/>
    <s v="Self-enabling next generation algorithm"/>
    <n v="155200"/>
    <n v="37754"/>
    <n v="0.24326030927835052"/>
    <x v="3"/>
    <n v="439"/>
    <n v="86"/>
    <x v="4"/>
    <s v="GBP"/>
    <n v="1513663200"/>
    <n v="1515045600"/>
    <x v="424"/>
    <d v="2018-01-04T06:00:00"/>
    <s v="Tue"/>
    <x v="30"/>
    <b v="0"/>
    <b v="0"/>
    <s v="film &amp; video/television"/>
    <x v="4"/>
    <x v="19"/>
  </r>
  <r>
    <n v="448"/>
    <s v="Price and Sons"/>
    <s v="Object-based demand-driven strategy"/>
    <n v="89900"/>
    <n v="45384"/>
    <n v="0.50482758620689661"/>
    <x v="0"/>
    <n v="605"/>
    <n v="75.014876033057845"/>
    <x v="1"/>
    <s v="USD"/>
    <n v="1365915600"/>
    <n v="1366088400"/>
    <x v="425"/>
    <d v="2013-04-16T05:00:00"/>
    <s v="Sun"/>
    <x v="1"/>
    <b v="0"/>
    <b v="1"/>
    <s v="games/video games"/>
    <x v="6"/>
    <x v="11"/>
  </r>
  <r>
    <n v="449"/>
    <s v="Cuevas-Morales"/>
    <s v="Public-key coherent ability"/>
    <n v="900"/>
    <n v="8703"/>
    <n v="9.67"/>
    <x v="1"/>
    <n v="86"/>
    <n v="101.19767441860465"/>
    <x v="3"/>
    <s v="DKK"/>
    <n v="1551852000"/>
    <n v="1553317200"/>
    <x v="426"/>
    <d v="2019-03-23T05:00:00"/>
    <s v="Wed"/>
    <x v="0"/>
    <b v="0"/>
    <b v="0"/>
    <s v="games/video games"/>
    <x v="6"/>
    <x v="11"/>
  </r>
  <r>
    <n v="450"/>
    <s v="Delgado-Hatfield"/>
    <s v="Up-sized composite success"/>
    <n v="100"/>
    <n v="4"/>
    <n v="0.04"/>
    <x v="0"/>
    <n v="1"/>
    <n v="4"/>
    <x v="0"/>
    <s v="CAD"/>
    <n v="1540098000"/>
    <n v="1542088800"/>
    <x v="427"/>
    <d v="2018-11-13T06:00:00"/>
    <s v="Sun"/>
    <x v="19"/>
    <b v="0"/>
    <b v="0"/>
    <s v="film &amp; video/animation"/>
    <x v="4"/>
    <x v="10"/>
  </r>
  <r>
    <n v="451"/>
    <s v="Padilla-Porter"/>
    <s v="Innovative exuding matrix"/>
    <n v="148400"/>
    <n v="182302"/>
    <n v="1.2284501347708894"/>
    <x v="1"/>
    <n v="6286"/>
    <n v="29.001272669424118"/>
    <x v="1"/>
    <s v="USD"/>
    <n v="1500440400"/>
    <n v="1503118800"/>
    <x v="428"/>
    <d v="2017-08-19T05:00:00"/>
    <s v="Wed"/>
    <x v="52"/>
    <b v="0"/>
    <b v="0"/>
    <s v="music/rock"/>
    <x v="1"/>
    <x v="1"/>
  </r>
  <r>
    <n v="452"/>
    <s v="Morris Group"/>
    <s v="Realigned impactful artificial intelligence"/>
    <n v="4800"/>
    <n v="3045"/>
    <n v="0.63437500000000002"/>
    <x v="0"/>
    <n v="31"/>
    <n v="98.225806451612897"/>
    <x v="1"/>
    <s v="USD"/>
    <n v="1278392400"/>
    <n v="1278478800"/>
    <x v="429"/>
    <d v="2010-07-07T05:00:00"/>
    <s v="Tue"/>
    <x v="5"/>
    <b v="0"/>
    <b v="0"/>
    <s v="film &amp; video/drama"/>
    <x v="4"/>
    <x v="6"/>
  </r>
  <r>
    <n v="453"/>
    <s v="Saunders Ltd"/>
    <s v="Multi-layered multi-tasking secured line"/>
    <n v="182400"/>
    <n v="102749"/>
    <n v="0.56331688596491225"/>
    <x v="0"/>
    <n v="1181"/>
    <n v="87.001693480101608"/>
    <x v="1"/>
    <s v="USD"/>
    <n v="1480572000"/>
    <n v="1484114400"/>
    <x v="411"/>
    <d v="2017-01-11T06:00:00"/>
    <s v="Thu"/>
    <x v="44"/>
    <b v="0"/>
    <b v="0"/>
    <s v="film &amp; video/science fiction"/>
    <x v="4"/>
    <x v="22"/>
  </r>
  <r>
    <n v="454"/>
    <s v="Woods Inc"/>
    <s v="Upgradable upward-trending portal"/>
    <n v="4000"/>
    <n v="1763"/>
    <n v="0.44074999999999998"/>
    <x v="0"/>
    <n v="39"/>
    <n v="45.205128205128204"/>
    <x v="1"/>
    <s v="USD"/>
    <n v="1382331600"/>
    <n v="1385445600"/>
    <x v="430"/>
    <d v="2013-11-26T06:00:00"/>
    <s v="Mon"/>
    <x v="38"/>
    <b v="0"/>
    <b v="1"/>
    <s v="film &amp; video/drama"/>
    <x v="4"/>
    <x v="6"/>
  </r>
  <r>
    <n v="455"/>
    <s v="Villanueva, Wright and Richardson"/>
    <s v="Profit-focused global product"/>
    <n v="116500"/>
    <n v="137904"/>
    <n v="1.1837253218884121"/>
    <x v="1"/>
    <n v="3727"/>
    <n v="37.001341561577675"/>
    <x v="1"/>
    <s v="USD"/>
    <n v="1316754000"/>
    <n v="1318741200"/>
    <x v="431"/>
    <d v="2011-10-16T05:00:00"/>
    <s v="Fri"/>
    <x v="19"/>
    <b v="0"/>
    <b v="0"/>
    <s v="theater/plays"/>
    <x v="3"/>
    <x v="3"/>
  </r>
  <r>
    <n v="456"/>
    <s v="Wilson, Brooks and Clark"/>
    <s v="Operative well-modulated data-warehouse"/>
    <n v="146400"/>
    <n v="152438"/>
    <n v="1.041243169398907"/>
    <x v="1"/>
    <n v="1605"/>
    <n v="94.976947040498445"/>
    <x v="1"/>
    <s v="USD"/>
    <n v="1518242400"/>
    <n v="1518242400"/>
    <x v="432"/>
    <d v="2018-02-10T06:00:00"/>
    <s v="Sat"/>
    <x v="14"/>
    <b v="0"/>
    <b v="1"/>
    <s v="music/indie rock"/>
    <x v="1"/>
    <x v="7"/>
  </r>
  <r>
    <n v="457"/>
    <s v="Sheppard, Smith and Spence"/>
    <s v="Cloned asymmetric functionalities"/>
    <n v="5000"/>
    <n v="1332"/>
    <n v="0.26640000000000003"/>
    <x v="0"/>
    <n v="46"/>
    <n v="28.956521739130434"/>
    <x v="1"/>
    <s v="USD"/>
    <n v="1476421200"/>
    <n v="1476594000"/>
    <x v="433"/>
    <d v="2016-10-16T05:00:00"/>
    <s v="Fri"/>
    <x v="1"/>
    <b v="0"/>
    <b v="0"/>
    <s v="theater/plays"/>
    <x v="3"/>
    <x v="3"/>
  </r>
  <r>
    <n v="458"/>
    <s v="Wise, Thompson and Allen"/>
    <s v="Pre-emptive neutral portal"/>
    <n v="33800"/>
    <n v="118706"/>
    <n v="3.5120118343195266"/>
    <x v="1"/>
    <n v="2120"/>
    <n v="55.993396226415094"/>
    <x v="1"/>
    <s v="USD"/>
    <n v="1269752400"/>
    <n v="1273554000"/>
    <x v="434"/>
    <d v="2010-05-11T05:00:00"/>
    <s v="Sun"/>
    <x v="51"/>
    <b v="0"/>
    <b v="0"/>
    <s v="theater/plays"/>
    <x v="3"/>
    <x v="3"/>
  </r>
  <r>
    <n v="459"/>
    <s v="Lane, Ryan and Chapman"/>
    <s v="Switchable demand-driven help-desk"/>
    <n v="6300"/>
    <n v="5674"/>
    <n v="0.90063492063492068"/>
    <x v="0"/>
    <n v="105"/>
    <n v="54.038095238095238"/>
    <x v="1"/>
    <s v="USD"/>
    <n v="1419746400"/>
    <n v="1421906400"/>
    <x v="435"/>
    <d v="2015-01-22T06:00:00"/>
    <s v="Sun"/>
    <x v="24"/>
    <b v="0"/>
    <b v="0"/>
    <s v="film &amp; video/documentary"/>
    <x v="4"/>
    <x v="4"/>
  </r>
  <r>
    <n v="460"/>
    <s v="Rich, Alvarez and King"/>
    <s v="Business-focused static ability"/>
    <n v="2400"/>
    <n v="4119"/>
    <n v="1.7162500000000001"/>
    <x v="1"/>
    <n v="50"/>
    <n v="82.38"/>
    <x v="1"/>
    <s v="USD"/>
    <n v="1281330000"/>
    <n v="1281589200"/>
    <x v="8"/>
    <d v="2010-08-12T05:00:00"/>
    <s v="Mon"/>
    <x v="36"/>
    <b v="0"/>
    <b v="0"/>
    <s v="theater/plays"/>
    <x v="3"/>
    <x v="3"/>
  </r>
  <r>
    <n v="461"/>
    <s v="Terry-Salinas"/>
    <s v="Networked secondary structure"/>
    <n v="98800"/>
    <n v="139354"/>
    <n v="1.4104655870445344"/>
    <x v="1"/>
    <n v="2080"/>
    <n v="66.997115384615384"/>
    <x v="1"/>
    <s v="USD"/>
    <n v="1398661200"/>
    <n v="1400389200"/>
    <x v="436"/>
    <d v="2014-05-18T05:00:00"/>
    <s v="Mon"/>
    <x v="18"/>
    <b v="0"/>
    <b v="0"/>
    <s v="film &amp; video/drama"/>
    <x v="4"/>
    <x v="6"/>
  </r>
  <r>
    <n v="462"/>
    <s v="Wang-Rodriguez"/>
    <s v="Total multimedia website"/>
    <n v="188800"/>
    <n v="57734"/>
    <n v="0.30579449152542371"/>
    <x v="0"/>
    <n v="535"/>
    <n v="107.91401869158878"/>
    <x v="1"/>
    <s v="USD"/>
    <n v="1359525600"/>
    <n v="1362808800"/>
    <x v="385"/>
    <d v="2013-03-09T06:00:00"/>
    <s v="Wed"/>
    <x v="53"/>
    <b v="0"/>
    <b v="0"/>
    <s v="games/mobile games"/>
    <x v="6"/>
    <x v="20"/>
  </r>
  <r>
    <n v="463"/>
    <s v="Mckee-Hill"/>
    <s v="Cross-platform upward-trending parallelism"/>
    <n v="134300"/>
    <n v="145265"/>
    <n v="1.0816455696202532"/>
    <x v="1"/>
    <n v="2105"/>
    <n v="69.009501187648453"/>
    <x v="1"/>
    <s v="USD"/>
    <n v="1388469600"/>
    <n v="1388815200"/>
    <x v="437"/>
    <d v="2014-01-04T06:00:00"/>
    <s v="Tue"/>
    <x v="3"/>
    <b v="0"/>
    <b v="0"/>
    <s v="film &amp; video/animation"/>
    <x v="4"/>
    <x v="10"/>
  </r>
  <r>
    <n v="464"/>
    <s v="Gomez LLC"/>
    <s v="Pre-emptive mission-critical hardware"/>
    <n v="71200"/>
    <n v="95020"/>
    <n v="1.3345505617977529"/>
    <x v="1"/>
    <n v="2436"/>
    <n v="39.006568144499177"/>
    <x v="1"/>
    <s v="USD"/>
    <n v="1518328800"/>
    <n v="1519538400"/>
    <x v="438"/>
    <d v="2018-02-25T06:00:00"/>
    <s v="Sun"/>
    <x v="26"/>
    <b v="0"/>
    <b v="0"/>
    <s v="theater/plays"/>
    <x v="3"/>
    <x v="3"/>
  </r>
  <r>
    <n v="465"/>
    <s v="Gonzalez-Robbins"/>
    <s v="Up-sized responsive protocol"/>
    <n v="4700"/>
    <n v="8829"/>
    <n v="1.8785106382978722"/>
    <x v="1"/>
    <n v="80"/>
    <n v="110.3625"/>
    <x v="1"/>
    <s v="USD"/>
    <n v="1517032800"/>
    <n v="1517810400"/>
    <x v="439"/>
    <d v="2018-02-05T06:00:00"/>
    <s v="Sat"/>
    <x v="29"/>
    <b v="0"/>
    <b v="0"/>
    <s v="publishing/translations"/>
    <x v="5"/>
    <x v="18"/>
  </r>
  <r>
    <n v="466"/>
    <s v="Obrien and Sons"/>
    <s v="Pre-emptive transitional frame"/>
    <n v="1200"/>
    <n v="3984"/>
    <n v="3.32"/>
    <x v="1"/>
    <n v="42"/>
    <n v="94.857142857142861"/>
    <x v="1"/>
    <s v="USD"/>
    <n v="1368594000"/>
    <n v="1370581200"/>
    <x v="440"/>
    <d v="2013-06-07T05:00:00"/>
    <s v="Wed"/>
    <x v="19"/>
    <b v="0"/>
    <b v="1"/>
    <s v="technology/wearables"/>
    <x v="2"/>
    <x v="8"/>
  </r>
  <r>
    <n v="467"/>
    <s v="Shaw Ltd"/>
    <s v="Profit-focused content-based application"/>
    <n v="1400"/>
    <n v="8053"/>
    <n v="5.7521428571428572"/>
    <x v="1"/>
    <n v="139"/>
    <n v="57.935251798561154"/>
    <x v="0"/>
    <s v="CAD"/>
    <n v="1448258400"/>
    <n v="1448863200"/>
    <x v="441"/>
    <d v="2015-11-30T06:00:00"/>
    <s v="Mon"/>
    <x v="34"/>
    <b v="0"/>
    <b v="1"/>
    <s v="technology/web"/>
    <x v="2"/>
    <x v="2"/>
  </r>
  <r>
    <n v="468"/>
    <s v="Hughes Inc"/>
    <s v="Streamlined neutral analyzer"/>
    <n v="4000"/>
    <n v="1620"/>
    <n v="0.40500000000000003"/>
    <x v="0"/>
    <n v="16"/>
    <n v="101.25"/>
    <x v="1"/>
    <s v="USD"/>
    <n v="1555218000"/>
    <n v="1556600400"/>
    <x v="442"/>
    <d v="2019-04-30T05:00:00"/>
    <s v="Sun"/>
    <x v="30"/>
    <b v="0"/>
    <b v="0"/>
    <s v="theater/plays"/>
    <x v="3"/>
    <x v="3"/>
  </r>
  <r>
    <n v="469"/>
    <s v="Olsen-Ryan"/>
    <s v="Assimilated neutral utilization"/>
    <n v="5600"/>
    <n v="10328"/>
    <n v="1.8442857142857143"/>
    <x v="1"/>
    <n v="159"/>
    <n v="64.95597484276729"/>
    <x v="1"/>
    <s v="USD"/>
    <n v="1431925200"/>
    <n v="1432098000"/>
    <x v="443"/>
    <d v="2015-05-20T05:00:00"/>
    <s v="Mon"/>
    <x v="1"/>
    <b v="0"/>
    <b v="0"/>
    <s v="film &amp; video/drama"/>
    <x v="4"/>
    <x v="6"/>
  </r>
  <r>
    <n v="470"/>
    <s v="Grimes, Holland and Sloan"/>
    <s v="Extended dedicated archive"/>
    <n v="3600"/>
    <n v="10289"/>
    <n v="2.8580555555555556"/>
    <x v="1"/>
    <n v="381"/>
    <n v="27.00524934383202"/>
    <x v="1"/>
    <s v="USD"/>
    <n v="1481522400"/>
    <n v="1482127200"/>
    <x v="315"/>
    <d v="2016-12-19T06:00:00"/>
    <s v="Mon"/>
    <x v="34"/>
    <b v="0"/>
    <b v="0"/>
    <s v="technology/wearables"/>
    <x v="2"/>
    <x v="8"/>
  </r>
  <r>
    <n v="471"/>
    <s v="Perry and Sons"/>
    <s v="Configurable static help-desk"/>
    <n v="3100"/>
    <n v="9889"/>
    <n v="3.19"/>
    <x v="1"/>
    <n v="194"/>
    <n v="50.97422680412371"/>
    <x v="4"/>
    <s v="GBP"/>
    <n v="1335934800"/>
    <n v="1335934800"/>
    <x v="444"/>
    <d v="2012-05-02T05:00:00"/>
    <s v="Wed"/>
    <x v="14"/>
    <b v="0"/>
    <b v="1"/>
    <s v="food/food trucks"/>
    <x v="0"/>
    <x v="0"/>
  </r>
  <r>
    <n v="472"/>
    <s v="Turner, Young and Collins"/>
    <s v="Self-enabling clear-thinking framework"/>
    <n v="153800"/>
    <n v="60342"/>
    <n v="0.39234070221066319"/>
    <x v="0"/>
    <n v="575"/>
    <n v="104.94260869565217"/>
    <x v="1"/>
    <s v="USD"/>
    <n v="1552280400"/>
    <n v="1556946000"/>
    <x v="445"/>
    <d v="2019-05-04T05:00:00"/>
    <s v="Mon"/>
    <x v="40"/>
    <b v="0"/>
    <b v="0"/>
    <s v="music/rock"/>
    <x v="1"/>
    <x v="1"/>
  </r>
  <r>
    <n v="473"/>
    <s v="Richardson Inc"/>
    <s v="Assimilated fault-tolerant capacity"/>
    <n v="5000"/>
    <n v="8907"/>
    <n v="1.7814000000000001"/>
    <x v="1"/>
    <n v="106"/>
    <n v="84.028301886792448"/>
    <x v="1"/>
    <s v="USD"/>
    <n v="1529989200"/>
    <n v="1530075600"/>
    <x v="446"/>
    <d v="2018-06-27T05:00:00"/>
    <s v="Tue"/>
    <x v="5"/>
    <b v="0"/>
    <b v="0"/>
    <s v="music/electric music"/>
    <x v="1"/>
    <x v="5"/>
  </r>
  <r>
    <n v="474"/>
    <s v="Santos-Young"/>
    <s v="Enhanced neutral ability"/>
    <n v="4000"/>
    <n v="14606"/>
    <n v="3.6515"/>
    <x v="1"/>
    <n v="142"/>
    <n v="102.85915492957747"/>
    <x v="1"/>
    <s v="USD"/>
    <n v="1418709600"/>
    <n v="1418796000"/>
    <x v="447"/>
    <d v="2014-12-17T06:00:00"/>
    <s v="Tue"/>
    <x v="5"/>
    <b v="0"/>
    <b v="0"/>
    <s v="film &amp; video/television"/>
    <x v="4"/>
    <x v="19"/>
  </r>
  <r>
    <n v="475"/>
    <s v="Nichols Ltd"/>
    <s v="Function-based attitude-oriented groupware"/>
    <n v="7400"/>
    <n v="8432"/>
    <n v="1.1394594594594594"/>
    <x v="1"/>
    <n v="211"/>
    <n v="39.962085308056871"/>
    <x v="1"/>
    <s v="USD"/>
    <n v="1372136400"/>
    <n v="1372482000"/>
    <x v="448"/>
    <d v="2013-06-29T05:00:00"/>
    <s v="Tue"/>
    <x v="3"/>
    <b v="0"/>
    <b v="1"/>
    <s v="publishing/translations"/>
    <x v="5"/>
    <x v="18"/>
  </r>
  <r>
    <n v="476"/>
    <s v="Murphy PLC"/>
    <s v="Optional solution-oriented instruction set"/>
    <n v="191500"/>
    <n v="57122"/>
    <n v="0.29828720626631855"/>
    <x v="0"/>
    <n v="1120"/>
    <n v="51.001785714285717"/>
    <x v="1"/>
    <s v="USD"/>
    <n v="1533877200"/>
    <n v="1534395600"/>
    <x v="342"/>
    <d v="2018-08-16T05:00:00"/>
    <s v="Fri"/>
    <x v="8"/>
    <b v="0"/>
    <b v="0"/>
    <s v="publishing/fiction"/>
    <x v="5"/>
    <x v="13"/>
  </r>
  <r>
    <n v="477"/>
    <s v="Hogan, Porter and Rivera"/>
    <s v="Organic object-oriented core"/>
    <n v="8500"/>
    <n v="4613"/>
    <n v="0.54270588235294115"/>
    <x v="0"/>
    <n v="113"/>
    <n v="40.823008849557525"/>
    <x v="1"/>
    <s v="USD"/>
    <n v="1309064400"/>
    <n v="1311397200"/>
    <x v="449"/>
    <d v="2011-07-23T05:00:00"/>
    <s v="Sun"/>
    <x v="11"/>
    <b v="0"/>
    <b v="0"/>
    <s v="film &amp; video/science fiction"/>
    <x v="4"/>
    <x v="22"/>
  </r>
  <r>
    <n v="478"/>
    <s v="Lyons LLC"/>
    <s v="Balanced impactful circuit"/>
    <n v="68800"/>
    <n v="162603"/>
    <n v="2.3634156976744185"/>
    <x v="1"/>
    <n v="2756"/>
    <n v="58.999637155297535"/>
    <x v="1"/>
    <s v="USD"/>
    <n v="1425877200"/>
    <n v="1426914000"/>
    <x v="450"/>
    <d v="2015-03-21T05:00:00"/>
    <s v="Mon"/>
    <x v="10"/>
    <b v="0"/>
    <b v="0"/>
    <s v="technology/wearables"/>
    <x v="2"/>
    <x v="8"/>
  </r>
  <r>
    <n v="479"/>
    <s v="Long-Greene"/>
    <s v="Future-proofed heuristic encryption"/>
    <n v="2400"/>
    <n v="12310"/>
    <n v="5.1291666666666664"/>
    <x v="1"/>
    <n v="173"/>
    <n v="71.156069364161851"/>
    <x v="4"/>
    <s v="GBP"/>
    <n v="1501304400"/>
    <n v="1501477200"/>
    <x v="451"/>
    <d v="2017-07-31T05:00:00"/>
    <s v="Sat"/>
    <x v="1"/>
    <b v="0"/>
    <b v="0"/>
    <s v="food/food trucks"/>
    <x v="0"/>
    <x v="0"/>
  </r>
  <r>
    <n v="480"/>
    <s v="Robles-Hudson"/>
    <s v="Balanced bifurcated leverage"/>
    <n v="8600"/>
    <n v="8656"/>
    <n v="1.0065116279069768"/>
    <x v="1"/>
    <n v="87"/>
    <n v="99.494252873563212"/>
    <x v="1"/>
    <s v="USD"/>
    <n v="1268287200"/>
    <n v="1269061200"/>
    <x v="452"/>
    <d v="2010-03-20T05:00:00"/>
    <s v="Thu"/>
    <x v="29"/>
    <b v="0"/>
    <b v="1"/>
    <s v="photography/photography books"/>
    <x v="7"/>
    <x v="14"/>
  </r>
  <r>
    <n v="481"/>
    <s v="Mcclure LLC"/>
    <s v="Sharable discrete budgetary management"/>
    <n v="196600"/>
    <n v="159931"/>
    <n v="0.81348423194303154"/>
    <x v="0"/>
    <n v="1538"/>
    <n v="103.98634590377114"/>
    <x v="1"/>
    <s v="USD"/>
    <n v="1412139600"/>
    <n v="1415772000"/>
    <x v="453"/>
    <d v="2014-11-12T06:00:00"/>
    <s v="Wed"/>
    <x v="23"/>
    <b v="0"/>
    <b v="1"/>
    <s v="theater/plays"/>
    <x v="3"/>
    <x v="3"/>
  </r>
  <r>
    <n v="482"/>
    <s v="Martin, Russell and Baker"/>
    <s v="Focused solution-oriented instruction set"/>
    <n v="4200"/>
    <n v="689"/>
    <n v="0.16404761904761905"/>
    <x v="0"/>
    <n v="9"/>
    <n v="76.555555555555557"/>
    <x v="1"/>
    <s v="USD"/>
    <n v="1330063200"/>
    <n v="1331013600"/>
    <x v="454"/>
    <d v="2012-03-06T06:00:00"/>
    <s v="Fri"/>
    <x v="4"/>
    <b v="0"/>
    <b v="1"/>
    <s v="publishing/fiction"/>
    <x v="5"/>
    <x v="13"/>
  </r>
  <r>
    <n v="483"/>
    <s v="Rice-Parker"/>
    <s v="Down-sized actuating infrastructure"/>
    <n v="91400"/>
    <n v="48236"/>
    <n v="0.52774617067833696"/>
    <x v="0"/>
    <n v="554"/>
    <n v="87.068592057761734"/>
    <x v="1"/>
    <s v="USD"/>
    <n v="1576130400"/>
    <n v="1576735200"/>
    <x v="455"/>
    <d v="2019-12-19T06:00:00"/>
    <s v="Thu"/>
    <x v="34"/>
    <b v="0"/>
    <b v="0"/>
    <s v="theater/plays"/>
    <x v="3"/>
    <x v="3"/>
  </r>
  <r>
    <n v="484"/>
    <s v="Landry Inc"/>
    <s v="Synergistic cohesive adapter"/>
    <n v="29600"/>
    <n v="77021"/>
    <n v="2.6020608108108108"/>
    <x v="1"/>
    <n v="1572"/>
    <n v="48.99554707379135"/>
    <x v="4"/>
    <s v="GBP"/>
    <n v="1407128400"/>
    <n v="1411362000"/>
    <x v="456"/>
    <d v="2014-09-22T05:00:00"/>
    <s v="Mon"/>
    <x v="6"/>
    <b v="0"/>
    <b v="1"/>
    <s v="food/food trucks"/>
    <x v="0"/>
    <x v="0"/>
  </r>
  <r>
    <n v="485"/>
    <s v="Richards-Davis"/>
    <s v="Quality-focused mission-critical structure"/>
    <n v="90600"/>
    <n v="27844"/>
    <n v="0.30732891832229581"/>
    <x v="0"/>
    <n v="648"/>
    <n v="42.969135802469133"/>
    <x v="4"/>
    <s v="GBP"/>
    <n v="1560142800"/>
    <n v="1563685200"/>
    <x v="457"/>
    <d v="2019-07-21T05:00:00"/>
    <s v="Mon"/>
    <x v="44"/>
    <b v="0"/>
    <b v="0"/>
    <s v="theater/plays"/>
    <x v="3"/>
    <x v="3"/>
  </r>
  <r>
    <n v="486"/>
    <s v="Davis, Cox and Fox"/>
    <s v="Compatible exuding Graphical User Interface"/>
    <n v="5200"/>
    <n v="702"/>
    <n v="0.13500000000000001"/>
    <x v="0"/>
    <n v="21"/>
    <n v="33.428571428571431"/>
    <x v="4"/>
    <s v="GBP"/>
    <n v="1520575200"/>
    <n v="1521867600"/>
    <x v="458"/>
    <d v="2018-03-24T05:00:00"/>
    <s v="Fri"/>
    <x v="16"/>
    <b v="0"/>
    <b v="1"/>
    <s v="publishing/translations"/>
    <x v="5"/>
    <x v="18"/>
  </r>
  <r>
    <n v="487"/>
    <s v="Smith-Wallace"/>
    <s v="Monitored 24/7 time-frame"/>
    <n v="110300"/>
    <n v="197024"/>
    <n v="1.7862556663644606"/>
    <x v="1"/>
    <n v="2346"/>
    <n v="83.982949701619773"/>
    <x v="1"/>
    <s v="USD"/>
    <n v="1492664400"/>
    <n v="1495515600"/>
    <x v="459"/>
    <d v="2017-05-23T05:00:00"/>
    <s v="Thu"/>
    <x v="25"/>
    <b v="0"/>
    <b v="0"/>
    <s v="theater/plays"/>
    <x v="3"/>
    <x v="3"/>
  </r>
  <r>
    <n v="488"/>
    <s v="Cordova, Shaw and Wang"/>
    <s v="Virtual secondary open architecture"/>
    <n v="5300"/>
    <n v="11663"/>
    <n v="2.2005660377358489"/>
    <x v="1"/>
    <n v="115"/>
    <n v="101.41739130434783"/>
    <x v="1"/>
    <s v="USD"/>
    <n v="1454479200"/>
    <n v="1455948000"/>
    <x v="460"/>
    <d v="2016-02-20T06:00:00"/>
    <s v="Wed"/>
    <x v="0"/>
    <b v="0"/>
    <b v="0"/>
    <s v="theater/plays"/>
    <x v="3"/>
    <x v="3"/>
  </r>
  <r>
    <n v="489"/>
    <s v="Clark Inc"/>
    <s v="Down-sized mobile time-frame"/>
    <n v="9200"/>
    <n v="9339"/>
    <n v="1.015108695652174"/>
    <x v="1"/>
    <n v="85"/>
    <n v="109.87058823529412"/>
    <x v="6"/>
    <s v="EUR"/>
    <n v="1281934800"/>
    <n v="1282366800"/>
    <x v="461"/>
    <d v="2010-08-21T05:00:00"/>
    <s v="Mon"/>
    <x v="20"/>
    <b v="0"/>
    <b v="0"/>
    <s v="technology/wearables"/>
    <x v="2"/>
    <x v="8"/>
  </r>
  <r>
    <n v="490"/>
    <s v="Young and Sons"/>
    <s v="Innovative disintermediate encryption"/>
    <n v="2400"/>
    <n v="4596"/>
    <n v="1.915"/>
    <x v="1"/>
    <n v="144"/>
    <n v="31.916666666666668"/>
    <x v="1"/>
    <s v="USD"/>
    <n v="1573970400"/>
    <n v="1574575200"/>
    <x v="462"/>
    <d v="2019-11-24T06:00:00"/>
    <s v="Sun"/>
    <x v="34"/>
    <b v="0"/>
    <b v="0"/>
    <s v="journalism/audio"/>
    <x v="8"/>
    <x v="23"/>
  </r>
  <r>
    <n v="491"/>
    <s v="Henson PLC"/>
    <s v="Universal contextually-based knowledgebase"/>
    <n v="56800"/>
    <n v="173437"/>
    <n v="3.0534683098591549"/>
    <x v="1"/>
    <n v="2443"/>
    <n v="70.993450675399103"/>
    <x v="1"/>
    <s v="USD"/>
    <n v="1372654800"/>
    <n v="1374901200"/>
    <x v="463"/>
    <d v="2013-07-27T05:00:00"/>
    <s v="Mon"/>
    <x v="28"/>
    <b v="0"/>
    <b v="1"/>
    <s v="food/food trucks"/>
    <x v="0"/>
    <x v="0"/>
  </r>
  <r>
    <n v="492"/>
    <s v="Garcia Group"/>
    <s v="Persevering interactive matrix"/>
    <n v="191000"/>
    <n v="45831"/>
    <n v="0.23995287958115183"/>
    <x v="3"/>
    <n v="595"/>
    <n v="77.026890756302521"/>
    <x v="1"/>
    <s v="USD"/>
    <n v="1275886800"/>
    <n v="1278910800"/>
    <x v="464"/>
    <d v="2010-07-12T05:00:00"/>
    <s v="Mon"/>
    <x v="43"/>
    <b v="1"/>
    <b v="1"/>
    <s v="film &amp; video/shorts"/>
    <x v="4"/>
    <x v="12"/>
  </r>
  <r>
    <n v="493"/>
    <s v="Adams, Walker and Wong"/>
    <s v="Seamless background framework"/>
    <n v="900"/>
    <n v="6514"/>
    <n v="7.2377777777777776"/>
    <x v="1"/>
    <n v="64"/>
    <n v="101.78125"/>
    <x v="1"/>
    <s v="USD"/>
    <n v="1561784400"/>
    <n v="1562907600"/>
    <x v="465"/>
    <d v="2019-07-12T05:00:00"/>
    <s v="Sat"/>
    <x v="35"/>
    <b v="0"/>
    <b v="0"/>
    <s v="photography/photography books"/>
    <x v="7"/>
    <x v="14"/>
  </r>
  <r>
    <n v="494"/>
    <s v="Hopkins-Browning"/>
    <s v="Balanced upward-trending productivity"/>
    <n v="2500"/>
    <n v="13684"/>
    <n v="5.4736000000000002"/>
    <x v="1"/>
    <n v="268"/>
    <n v="51.059701492537314"/>
    <x v="1"/>
    <s v="USD"/>
    <n v="1332392400"/>
    <n v="1332478800"/>
    <x v="466"/>
    <d v="2012-03-23T05:00:00"/>
    <s v="Thu"/>
    <x v="5"/>
    <b v="0"/>
    <b v="0"/>
    <s v="technology/wearables"/>
    <x v="2"/>
    <x v="8"/>
  </r>
  <r>
    <n v="495"/>
    <s v="Bell, Edwards and Andersen"/>
    <s v="Centralized clear-thinking solution"/>
    <n v="3200"/>
    <n v="13264"/>
    <n v="4.1449999999999996"/>
    <x v="1"/>
    <n v="195"/>
    <n v="68.02051282051282"/>
    <x v="3"/>
    <s v="DKK"/>
    <n v="1402376400"/>
    <n v="1402722000"/>
    <x v="467"/>
    <d v="2014-06-14T05:00:00"/>
    <s v="Tue"/>
    <x v="3"/>
    <b v="0"/>
    <b v="0"/>
    <s v="theater/plays"/>
    <x v="3"/>
    <x v="3"/>
  </r>
  <r>
    <n v="496"/>
    <s v="Morales Group"/>
    <s v="Optimized bi-directional extranet"/>
    <n v="183800"/>
    <n v="1667"/>
    <n v="9.0696409140369975E-3"/>
    <x v="0"/>
    <n v="54"/>
    <n v="30.87037037037037"/>
    <x v="1"/>
    <s v="USD"/>
    <n v="1495342800"/>
    <n v="1496811600"/>
    <x v="468"/>
    <d v="2017-06-07T05:00:00"/>
    <s v="Sun"/>
    <x v="0"/>
    <b v="0"/>
    <b v="0"/>
    <s v="film &amp; video/animation"/>
    <x v="4"/>
    <x v="10"/>
  </r>
  <r>
    <n v="497"/>
    <s v="Lucero Group"/>
    <s v="Intuitive actuating benchmark"/>
    <n v="9800"/>
    <n v="3349"/>
    <n v="0.34173469387755101"/>
    <x v="0"/>
    <n v="120"/>
    <n v="27.908333333333335"/>
    <x v="1"/>
    <s v="USD"/>
    <n v="1482213600"/>
    <n v="1482213600"/>
    <x v="469"/>
    <d v="2016-12-20T06:00:00"/>
    <s v="Tue"/>
    <x v="14"/>
    <b v="0"/>
    <b v="1"/>
    <s v="technology/wearables"/>
    <x v="2"/>
    <x v="8"/>
  </r>
  <r>
    <n v="498"/>
    <s v="Smith, Brown and Davis"/>
    <s v="Devolved background project"/>
    <n v="193400"/>
    <n v="46317"/>
    <n v="0.239488107549121"/>
    <x v="0"/>
    <n v="579"/>
    <n v="79.994818652849744"/>
    <x v="3"/>
    <s v="DKK"/>
    <n v="1420092000"/>
    <n v="1420264800"/>
    <x v="470"/>
    <d v="2015-01-03T06:00:00"/>
    <s v="Thu"/>
    <x v="1"/>
    <b v="0"/>
    <b v="0"/>
    <s v="technology/web"/>
    <x v="2"/>
    <x v="2"/>
  </r>
  <r>
    <n v="499"/>
    <s v="Hunt Group"/>
    <s v="Reverse-engineered executive emulation"/>
    <n v="163800"/>
    <n v="78743"/>
    <n v="0.48072649572649573"/>
    <x v="0"/>
    <n v="2072"/>
    <n v="38.003378378378379"/>
    <x v="1"/>
    <s v="USD"/>
    <n v="1458018000"/>
    <n v="1458450000"/>
    <x v="471"/>
    <d v="2016-03-20T05:00:00"/>
    <s v="Tue"/>
    <x v="20"/>
    <b v="0"/>
    <b v="1"/>
    <s v="film &amp; video/documentary"/>
    <x v="4"/>
    <x v="4"/>
  </r>
  <r>
    <n v="500"/>
    <s v="Valdez Ltd"/>
    <s v="Team-oriented clear-thinking matrix"/>
    <n v="100"/>
    <n v="0"/>
    <n v="0"/>
    <x v="0"/>
    <n v="0"/>
    <n v="0"/>
    <x v="1"/>
    <s v="USD"/>
    <n v="1367384400"/>
    <n v="1369803600"/>
    <x v="472"/>
    <d v="2013-05-29T05:00:00"/>
    <s v="Wed"/>
    <x v="21"/>
    <b v="0"/>
    <b v="1"/>
    <s v="theater/plays"/>
    <x v="3"/>
    <x v="3"/>
  </r>
  <r>
    <n v="501"/>
    <s v="Mccann-Le"/>
    <s v="Focused coherent methodology"/>
    <n v="153600"/>
    <n v="107743"/>
    <n v="0.70145182291666663"/>
    <x v="0"/>
    <n v="1796"/>
    <n v="59.990534521158132"/>
    <x v="1"/>
    <s v="USD"/>
    <n v="1363064400"/>
    <n v="1363237200"/>
    <x v="473"/>
    <d v="2013-03-14T05:00:00"/>
    <s v="Tue"/>
    <x v="1"/>
    <b v="0"/>
    <b v="0"/>
    <s v="film &amp; video/documentary"/>
    <x v="4"/>
    <x v="4"/>
  </r>
  <r>
    <n v="502"/>
    <s v="Johnson Inc"/>
    <s v="Reduced context-sensitive complexity"/>
    <n v="1300"/>
    <n v="6889"/>
    <n v="5.2992307692307694"/>
    <x v="1"/>
    <n v="186"/>
    <n v="37.037634408602152"/>
    <x v="2"/>
    <s v="AUD"/>
    <n v="1343365200"/>
    <n v="1345870800"/>
    <x v="474"/>
    <d v="2012-08-25T05:00:00"/>
    <s v="Fri"/>
    <x v="41"/>
    <b v="0"/>
    <b v="1"/>
    <s v="games/video games"/>
    <x v="6"/>
    <x v="11"/>
  </r>
  <r>
    <n v="503"/>
    <s v="Collins LLC"/>
    <s v="Decentralized 4thgeneration time-frame"/>
    <n v="25500"/>
    <n v="45983"/>
    <n v="1.8032549019607844"/>
    <x v="1"/>
    <n v="460"/>
    <n v="99.963043478260872"/>
    <x v="1"/>
    <s v="USD"/>
    <n v="1435726800"/>
    <n v="1437454800"/>
    <x v="72"/>
    <d v="2015-07-21T05:00:00"/>
    <s v="Wed"/>
    <x v="18"/>
    <b v="0"/>
    <b v="0"/>
    <s v="film &amp; video/drama"/>
    <x v="4"/>
    <x v="6"/>
  </r>
  <r>
    <n v="504"/>
    <s v="Smith-Miller"/>
    <s v="De-engineered cohesive moderator"/>
    <n v="7500"/>
    <n v="6924"/>
    <n v="0.92320000000000002"/>
    <x v="0"/>
    <n v="62"/>
    <n v="111.6774193548387"/>
    <x v="6"/>
    <s v="EUR"/>
    <n v="1431925200"/>
    <n v="1432011600"/>
    <x v="443"/>
    <d v="2015-05-19T05:00:00"/>
    <s v="Mon"/>
    <x v="5"/>
    <b v="0"/>
    <b v="0"/>
    <s v="music/rock"/>
    <x v="1"/>
    <x v="1"/>
  </r>
  <r>
    <n v="505"/>
    <s v="Jensen-Vargas"/>
    <s v="Ameliorated explicit parallelism"/>
    <n v="89900"/>
    <n v="12497"/>
    <n v="0.13901001112347053"/>
    <x v="0"/>
    <n v="347"/>
    <n v="36.014409221902014"/>
    <x v="1"/>
    <s v="USD"/>
    <n v="1362722400"/>
    <n v="1366347600"/>
    <x v="475"/>
    <d v="2013-04-19T05:00:00"/>
    <s v="Fri"/>
    <x v="23"/>
    <b v="0"/>
    <b v="1"/>
    <s v="publishing/radio &amp; podcasts"/>
    <x v="5"/>
    <x v="15"/>
  </r>
  <r>
    <n v="506"/>
    <s v="Robles, Bell and Gonzalez"/>
    <s v="Customizable background monitoring"/>
    <n v="18000"/>
    <n v="166874"/>
    <n v="9.2707777777777771"/>
    <x v="1"/>
    <n v="2528"/>
    <n v="66.010284810126578"/>
    <x v="1"/>
    <s v="USD"/>
    <n v="1511416800"/>
    <n v="1512885600"/>
    <x v="81"/>
    <d v="2017-12-10T06:00:00"/>
    <s v="Thu"/>
    <x v="0"/>
    <b v="0"/>
    <b v="1"/>
    <s v="theater/plays"/>
    <x v="3"/>
    <x v="3"/>
  </r>
  <r>
    <n v="507"/>
    <s v="Turner, Miller and Francis"/>
    <s v="Compatible well-modulated budgetary management"/>
    <n v="2100"/>
    <n v="837"/>
    <n v="0.39857142857142858"/>
    <x v="0"/>
    <n v="19"/>
    <n v="44.05263157894737"/>
    <x v="1"/>
    <s v="USD"/>
    <n v="1365483600"/>
    <n v="1369717200"/>
    <x v="476"/>
    <d v="2013-05-28T05:00:00"/>
    <s v="Tue"/>
    <x v="6"/>
    <b v="0"/>
    <b v="1"/>
    <s v="technology/web"/>
    <x v="2"/>
    <x v="2"/>
  </r>
  <r>
    <n v="508"/>
    <s v="Roberts Group"/>
    <s v="Up-sized radical pricing structure"/>
    <n v="172700"/>
    <n v="193820"/>
    <n v="1.1222929936305732"/>
    <x v="1"/>
    <n v="3657"/>
    <n v="52.999726551818434"/>
    <x v="1"/>
    <s v="USD"/>
    <n v="1532840400"/>
    <n v="1534654800"/>
    <x v="192"/>
    <d v="2018-08-19T05:00:00"/>
    <s v="Sun"/>
    <x v="13"/>
    <b v="0"/>
    <b v="0"/>
    <s v="theater/plays"/>
    <x v="3"/>
    <x v="3"/>
  </r>
  <r>
    <n v="509"/>
    <s v="White LLC"/>
    <s v="Robust zero-defect project"/>
    <n v="168500"/>
    <n v="119510"/>
    <n v="0.70925816023738875"/>
    <x v="0"/>
    <n v="1258"/>
    <n v="95"/>
    <x v="1"/>
    <s v="USD"/>
    <n v="1336194000"/>
    <n v="1337058000"/>
    <x v="477"/>
    <d v="2012-05-15T05:00:00"/>
    <s v="Sat"/>
    <x v="39"/>
    <b v="0"/>
    <b v="0"/>
    <s v="theater/plays"/>
    <x v="3"/>
    <x v="3"/>
  </r>
  <r>
    <n v="510"/>
    <s v="Best, Miller and Thomas"/>
    <s v="Re-engineered mobile task-force"/>
    <n v="7800"/>
    <n v="9289"/>
    <n v="1.1908974358974358"/>
    <x v="1"/>
    <n v="131"/>
    <n v="70.908396946564892"/>
    <x v="2"/>
    <s v="AUD"/>
    <n v="1527742800"/>
    <n v="1529816400"/>
    <x v="478"/>
    <d v="2018-06-24T05:00:00"/>
    <s v="Thu"/>
    <x v="47"/>
    <b v="0"/>
    <b v="0"/>
    <s v="film &amp; video/drama"/>
    <x v="4"/>
    <x v="6"/>
  </r>
  <r>
    <n v="511"/>
    <s v="Smith-Mullins"/>
    <s v="User-centric intangible neural-net"/>
    <n v="147800"/>
    <n v="35498"/>
    <n v="0.24017591339648173"/>
    <x v="0"/>
    <n v="362"/>
    <n v="98.060773480662988"/>
    <x v="1"/>
    <s v="USD"/>
    <n v="1564030800"/>
    <n v="1564894800"/>
    <x v="479"/>
    <d v="2019-08-04T05:00:00"/>
    <s v="Thu"/>
    <x v="39"/>
    <b v="0"/>
    <b v="0"/>
    <s v="theater/plays"/>
    <x v="3"/>
    <x v="3"/>
  </r>
  <r>
    <n v="512"/>
    <s v="Williams-Walsh"/>
    <s v="Organized explicit core"/>
    <n v="9100"/>
    <n v="12678"/>
    <n v="1.3931868131868133"/>
    <x v="1"/>
    <n v="239"/>
    <n v="53.046025104602514"/>
    <x v="1"/>
    <s v="USD"/>
    <n v="1404536400"/>
    <n v="1404622800"/>
    <x v="480"/>
    <d v="2014-07-06T05:00:00"/>
    <s v="Sat"/>
    <x v="5"/>
    <b v="0"/>
    <b v="1"/>
    <s v="games/video games"/>
    <x v="6"/>
    <x v="11"/>
  </r>
  <r>
    <n v="513"/>
    <s v="Harrison, Blackwell and Mendez"/>
    <s v="Synchronized 6thgeneration adapter"/>
    <n v="8300"/>
    <n v="3260"/>
    <n v="0.39277108433734942"/>
    <x v="3"/>
    <n v="35"/>
    <n v="93.142857142857139"/>
    <x v="1"/>
    <s v="USD"/>
    <n v="1284008400"/>
    <n v="1284181200"/>
    <x v="180"/>
    <d v="2010-09-11T05:00:00"/>
    <s v="Thu"/>
    <x v="1"/>
    <b v="0"/>
    <b v="0"/>
    <s v="film &amp; video/television"/>
    <x v="4"/>
    <x v="19"/>
  </r>
  <r>
    <n v="514"/>
    <s v="Sanchez, Bradley and Flores"/>
    <s v="Centralized motivating capacity"/>
    <n v="138700"/>
    <n v="31123"/>
    <n v="0.22439077144917088"/>
    <x v="3"/>
    <n v="528"/>
    <n v="58.945075757575758"/>
    <x v="5"/>
    <s v="CHF"/>
    <n v="1386309600"/>
    <n v="1386741600"/>
    <x v="481"/>
    <d v="2013-12-11T06:00:00"/>
    <s v="Fri"/>
    <x v="20"/>
    <b v="0"/>
    <b v="1"/>
    <s v="music/rock"/>
    <x v="1"/>
    <x v="1"/>
  </r>
  <r>
    <n v="515"/>
    <s v="Cox LLC"/>
    <s v="Phased 24hour flexibility"/>
    <n v="8600"/>
    <n v="4797"/>
    <n v="0.55779069767441858"/>
    <x v="0"/>
    <n v="133"/>
    <n v="36.067669172932334"/>
    <x v="0"/>
    <s v="CAD"/>
    <n v="1324620000"/>
    <n v="1324792800"/>
    <x v="482"/>
    <d v="2011-12-25T06:00:00"/>
    <s v="Fri"/>
    <x v="1"/>
    <b v="0"/>
    <b v="1"/>
    <s v="theater/plays"/>
    <x v="3"/>
    <x v="3"/>
  </r>
  <r>
    <n v="516"/>
    <s v="Morales-Odonnell"/>
    <s v="Exclusive 5thgeneration structure"/>
    <n v="125400"/>
    <n v="53324"/>
    <n v="0.42523125996810207"/>
    <x v="0"/>
    <n v="846"/>
    <n v="63.030732860520096"/>
    <x v="1"/>
    <s v="USD"/>
    <n v="1281070800"/>
    <n v="1284354000"/>
    <x v="194"/>
    <d v="2010-09-13T05:00:00"/>
    <s v="Fri"/>
    <x v="53"/>
    <b v="0"/>
    <b v="0"/>
    <s v="publishing/nonfiction"/>
    <x v="5"/>
    <x v="9"/>
  </r>
  <r>
    <n v="517"/>
    <s v="Ramirez LLC"/>
    <s v="Multi-tiered maximized orchestration"/>
    <n v="5900"/>
    <n v="6608"/>
    <n v="1.1200000000000001"/>
    <x v="1"/>
    <n v="78"/>
    <n v="84.717948717948715"/>
    <x v="1"/>
    <s v="USD"/>
    <n v="1493960400"/>
    <n v="1494392400"/>
    <x v="483"/>
    <d v="2017-05-10T05:00:00"/>
    <s v="Fri"/>
    <x v="20"/>
    <b v="0"/>
    <b v="0"/>
    <s v="food/food trucks"/>
    <x v="0"/>
    <x v="0"/>
  </r>
  <r>
    <n v="518"/>
    <s v="Ramirez Group"/>
    <s v="Open-architected uniform instruction set"/>
    <n v="8800"/>
    <n v="622"/>
    <n v="7.0681818181818179E-2"/>
    <x v="0"/>
    <n v="10"/>
    <n v="62.2"/>
    <x v="1"/>
    <s v="USD"/>
    <n v="1519365600"/>
    <n v="1519538400"/>
    <x v="484"/>
    <d v="2018-02-25T06:00:00"/>
    <s v="Fri"/>
    <x v="1"/>
    <b v="0"/>
    <b v="1"/>
    <s v="film &amp; video/animation"/>
    <x v="4"/>
    <x v="10"/>
  </r>
  <r>
    <n v="519"/>
    <s v="Marsh-Coleman"/>
    <s v="Exclusive asymmetric analyzer"/>
    <n v="177700"/>
    <n v="180802"/>
    <n v="1.0174563871693867"/>
    <x v="1"/>
    <n v="1773"/>
    <n v="101.97518330513255"/>
    <x v="1"/>
    <s v="USD"/>
    <n v="1420696800"/>
    <n v="1421906400"/>
    <x v="355"/>
    <d v="2015-01-22T06:00:00"/>
    <s v="Thu"/>
    <x v="26"/>
    <b v="0"/>
    <b v="1"/>
    <s v="music/rock"/>
    <x v="1"/>
    <x v="1"/>
  </r>
  <r>
    <n v="520"/>
    <s v="Frederick, Jenkins and Collins"/>
    <s v="Organic radical collaboration"/>
    <n v="800"/>
    <n v="3406"/>
    <n v="4.2575000000000003"/>
    <x v="1"/>
    <n v="32"/>
    <n v="106.4375"/>
    <x v="1"/>
    <s v="USD"/>
    <n v="1555650000"/>
    <n v="1555909200"/>
    <x v="485"/>
    <d v="2019-04-22T05:00:00"/>
    <s v="Fri"/>
    <x v="36"/>
    <b v="0"/>
    <b v="0"/>
    <s v="theater/plays"/>
    <x v="3"/>
    <x v="3"/>
  </r>
  <r>
    <n v="521"/>
    <s v="Wilson Ltd"/>
    <s v="Function-based multi-state software"/>
    <n v="7600"/>
    <n v="11061"/>
    <n v="1.4553947368421052"/>
    <x v="1"/>
    <n v="369"/>
    <n v="29.975609756097562"/>
    <x v="1"/>
    <s v="USD"/>
    <n v="1471928400"/>
    <n v="1472446800"/>
    <x v="486"/>
    <d v="2016-08-29T05:00:00"/>
    <s v="Tue"/>
    <x v="8"/>
    <b v="0"/>
    <b v="1"/>
    <s v="film &amp; video/drama"/>
    <x v="4"/>
    <x v="6"/>
  </r>
  <r>
    <n v="522"/>
    <s v="Cline, Peterson and Lowery"/>
    <s v="Innovative static budgetary management"/>
    <n v="50500"/>
    <n v="16389"/>
    <n v="0.32453465346534655"/>
    <x v="0"/>
    <n v="191"/>
    <n v="85.806282722513089"/>
    <x v="1"/>
    <s v="USD"/>
    <n v="1341291600"/>
    <n v="1342328400"/>
    <x v="487"/>
    <d v="2012-07-15T05:00:00"/>
    <s v="Tue"/>
    <x v="10"/>
    <b v="0"/>
    <b v="0"/>
    <s v="film &amp; video/shorts"/>
    <x v="4"/>
    <x v="12"/>
  </r>
  <r>
    <n v="523"/>
    <s v="Underwood, James and Jones"/>
    <s v="Triple-buffered holistic ability"/>
    <n v="900"/>
    <n v="6303"/>
    <n v="7.003333333333333"/>
    <x v="1"/>
    <n v="89"/>
    <n v="70.82022471910112"/>
    <x v="1"/>
    <s v="USD"/>
    <n v="1267682400"/>
    <n v="1268114400"/>
    <x v="488"/>
    <d v="2010-03-09T06:00:00"/>
    <s v="Thu"/>
    <x v="20"/>
    <b v="0"/>
    <b v="0"/>
    <s v="film &amp; video/shorts"/>
    <x v="4"/>
    <x v="12"/>
  </r>
  <r>
    <n v="524"/>
    <s v="Johnson-Contreras"/>
    <s v="Diverse scalable superstructure"/>
    <n v="96700"/>
    <n v="81136"/>
    <n v="0.83904860392967939"/>
    <x v="0"/>
    <n v="1979"/>
    <n v="40.998484082870135"/>
    <x v="1"/>
    <s v="USD"/>
    <n v="1272258000"/>
    <n v="1273381200"/>
    <x v="489"/>
    <d v="2010-05-09T05:00:00"/>
    <s v="Mon"/>
    <x v="35"/>
    <b v="0"/>
    <b v="0"/>
    <s v="theater/plays"/>
    <x v="3"/>
    <x v="3"/>
  </r>
  <r>
    <n v="525"/>
    <s v="Greene, Lloyd and Sims"/>
    <s v="Balanced leadingedge data-warehouse"/>
    <n v="2100"/>
    <n v="1768"/>
    <n v="0.84190476190476193"/>
    <x v="0"/>
    <n v="63"/>
    <n v="28.063492063492063"/>
    <x v="1"/>
    <s v="USD"/>
    <n v="1290492000"/>
    <n v="1290837600"/>
    <x v="490"/>
    <d v="2010-11-27T06:00:00"/>
    <s v="Tue"/>
    <x v="3"/>
    <b v="0"/>
    <b v="0"/>
    <s v="technology/wearables"/>
    <x v="2"/>
    <x v="8"/>
  </r>
  <r>
    <n v="526"/>
    <s v="Smith-Sparks"/>
    <s v="Digitized bandwidth-monitored open architecture"/>
    <n v="8300"/>
    <n v="12944"/>
    <n v="1.5595180722891566"/>
    <x v="1"/>
    <n v="147"/>
    <n v="88.054421768707485"/>
    <x v="1"/>
    <s v="USD"/>
    <n v="1451109600"/>
    <n v="1454306400"/>
    <x v="312"/>
    <d v="2016-02-01T06:00:00"/>
    <s v="Sat"/>
    <x v="22"/>
    <b v="0"/>
    <b v="1"/>
    <s v="theater/plays"/>
    <x v="3"/>
    <x v="3"/>
  </r>
  <r>
    <n v="527"/>
    <s v="Rosario-Smith"/>
    <s v="Enterprise-wide intermediate portal"/>
    <n v="189200"/>
    <n v="188480"/>
    <n v="0.99619450317124736"/>
    <x v="0"/>
    <n v="6080"/>
    <n v="31"/>
    <x v="0"/>
    <s v="CAD"/>
    <n v="1454652000"/>
    <n v="1457762400"/>
    <x v="491"/>
    <d v="2016-03-12T06:00:00"/>
    <s v="Fri"/>
    <x v="38"/>
    <b v="0"/>
    <b v="0"/>
    <s v="film &amp; video/animation"/>
    <x v="4"/>
    <x v="10"/>
  </r>
  <r>
    <n v="528"/>
    <s v="Avila, Ford and Welch"/>
    <s v="Focused leadingedge matrix"/>
    <n v="9000"/>
    <n v="7227"/>
    <n v="0.80300000000000005"/>
    <x v="0"/>
    <n v="80"/>
    <n v="90.337500000000006"/>
    <x v="4"/>
    <s v="GBP"/>
    <n v="1385186400"/>
    <n v="1389074400"/>
    <x v="492"/>
    <d v="2014-01-07T06:00:00"/>
    <s v="Sat"/>
    <x v="32"/>
    <b v="0"/>
    <b v="0"/>
    <s v="music/indie rock"/>
    <x v="1"/>
    <x v="7"/>
  </r>
  <r>
    <n v="529"/>
    <s v="Gallegos Inc"/>
    <s v="Seamless logistical encryption"/>
    <n v="5100"/>
    <n v="574"/>
    <n v="0.11254901960784314"/>
    <x v="0"/>
    <n v="9"/>
    <n v="63.777777777777779"/>
    <x v="1"/>
    <s v="USD"/>
    <n v="1399698000"/>
    <n v="1402117200"/>
    <x v="493"/>
    <d v="2014-06-07T05:00:00"/>
    <s v="Sat"/>
    <x v="21"/>
    <b v="0"/>
    <b v="0"/>
    <s v="games/video games"/>
    <x v="6"/>
    <x v="11"/>
  </r>
  <r>
    <n v="530"/>
    <s v="Morrow, Santiago and Soto"/>
    <s v="Stand-alone human-resource workforce"/>
    <n v="105000"/>
    <n v="96328"/>
    <n v="0.91740952380952379"/>
    <x v="0"/>
    <n v="1784"/>
    <n v="53.995515695067262"/>
    <x v="1"/>
    <s v="USD"/>
    <n v="1283230800"/>
    <n v="1284440400"/>
    <x v="494"/>
    <d v="2010-09-14T05:00:00"/>
    <s v="Tue"/>
    <x v="26"/>
    <b v="0"/>
    <b v="1"/>
    <s v="publishing/fiction"/>
    <x v="5"/>
    <x v="13"/>
  </r>
  <r>
    <n v="531"/>
    <s v="Berry-Richardson"/>
    <s v="Automated zero tolerance implementation"/>
    <n v="186700"/>
    <n v="178338"/>
    <n v="0.95521156936261387"/>
    <x v="2"/>
    <n v="3640"/>
    <n v="48.993956043956047"/>
    <x v="5"/>
    <s v="CHF"/>
    <n v="1384149600"/>
    <n v="1388988000"/>
    <x v="495"/>
    <d v="2014-01-06T06:00:00"/>
    <s v="Mon"/>
    <x v="54"/>
    <b v="0"/>
    <b v="0"/>
    <s v="games/video games"/>
    <x v="6"/>
    <x v="11"/>
  </r>
  <r>
    <n v="532"/>
    <s v="Cordova-Torres"/>
    <s v="Pre-emptive grid-enabled contingency"/>
    <n v="1600"/>
    <n v="8046"/>
    <n v="5.0287499999999996"/>
    <x v="1"/>
    <n v="126"/>
    <n v="63.857142857142854"/>
    <x v="0"/>
    <s v="CAD"/>
    <n v="1516860000"/>
    <n v="1516946400"/>
    <x v="496"/>
    <d v="2018-01-26T06:00:00"/>
    <s v="Thu"/>
    <x v="5"/>
    <b v="0"/>
    <b v="0"/>
    <s v="theater/plays"/>
    <x v="3"/>
    <x v="3"/>
  </r>
  <r>
    <n v="533"/>
    <s v="Holt, Bernard and Johnson"/>
    <s v="Multi-lateral didactic encoding"/>
    <n v="115600"/>
    <n v="184086"/>
    <n v="1.5924394463667819"/>
    <x v="1"/>
    <n v="2218"/>
    <n v="82.996393146979258"/>
    <x v="4"/>
    <s v="GBP"/>
    <n v="1374642000"/>
    <n v="1377752400"/>
    <x v="497"/>
    <d v="2013-08-29T05:00:00"/>
    <s v="Wed"/>
    <x v="38"/>
    <b v="0"/>
    <b v="0"/>
    <s v="music/indie rock"/>
    <x v="1"/>
    <x v="7"/>
  </r>
  <r>
    <n v="534"/>
    <s v="Clark, Mccormick and Mendoza"/>
    <s v="Self-enabling didactic orchestration"/>
    <n v="89100"/>
    <n v="13385"/>
    <n v="0.15022446689113356"/>
    <x v="0"/>
    <n v="243"/>
    <n v="55.08230452674897"/>
    <x v="1"/>
    <s v="USD"/>
    <n v="1534482000"/>
    <n v="1534568400"/>
    <x v="498"/>
    <d v="2018-08-18T05:00:00"/>
    <s v="Fri"/>
    <x v="5"/>
    <b v="0"/>
    <b v="1"/>
    <s v="film &amp; video/drama"/>
    <x v="4"/>
    <x v="6"/>
  </r>
  <r>
    <n v="535"/>
    <s v="Garrison LLC"/>
    <s v="Profit-focused 24/7 data-warehouse"/>
    <n v="2600"/>
    <n v="12533"/>
    <n v="4.820384615384615"/>
    <x v="1"/>
    <n v="202"/>
    <n v="62.044554455445542"/>
    <x v="6"/>
    <s v="EUR"/>
    <n v="1528434000"/>
    <n v="1528606800"/>
    <x v="499"/>
    <d v="2018-06-10T05:00:00"/>
    <s v="Fri"/>
    <x v="1"/>
    <b v="0"/>
    <b v="1"/>
    <s v="theater/plays"/>
    <x v="3"/>
    <x v="3"/>
  </r>
  <r>
    <n v="536"/>
    <s v="Shannon-Olson"/>
    <s v="Enhanced methodical middleware"/>
    <n v="9800"/>
    <n v="14697"/>
    <n v="1.4996938775510205"/>
    <x v="1"/>
    <n v="140"/>
    <n v="104.97857142857143"/>
    <x v="6"/>
    <s v="EUR"/>
    <n v="1282626000"/>
    <n v="1284872400"/>
    <x v="500"/>
    <d v="2010-09-19T05:00:00"/>
    <s v="Tue"/>
    <x v="28"/>
    <b v="0"/>
    <b v="0"/>
    <s v="publishing/fiction"/>
    <x v="5"/>
    <x v="13"/>
  </r>
  <r>
    <n v="537"/>
    <s v="Murillo-Mcfarland"/>
    <s v="Synchronized client-driven projection"/>
    <n v="84400"/>
    <n v="98935"/>
    <n v="1.1722156398104266"/>
    <x v="1"/>
    <n v="1052"/>
    <n v="94.044676806083643"/>
    <x v="3"/>
    <s v="DKK"/>
    <n v="1535605200"/>
    <n v="1537592400"/>
    <x v="501"/>
    <d v="2018-09-22T05:00:00"/>
    <s v="Thu"/>
    <x v="19"/>
    <b v="1"/>
    <b v="1"/>
    <s v="film &amp; video/documentary"/>
    <x v="4"/>
    <x v="4"/>
  </r>
  <r>
    <n v="538"/>
    <s v="Young, Gilbert and Escobar"/>
    <s v="Networked didactic time-frame"/>
    <n v="151300"/>
    <n v="57034"/>
    <n v="0.37695968274950431"/>
    <x v="0"/>
    <n v="1296"/>
    <n v="44.007716049382715"/>
    <x v="1"/>
    <s v="USD"/>
    <n v="1379826000"/>
    <n v="1381208400"/>
    <x v="502"/>
    <d v="2013-10-08T05:00:00"/>
    <s v="Sun"/>
    <x v="30"/>
    <b v="0"/>
    <b v="0"/>
    <s v="games/mobile games"/>
    <x v="6"/>
    <x v="20"/>
  </r>
  <r>
    <n v="539"/>
    <s v="Thomas, Welch and Santana"/>
    <s v="Assimilated exuding toolset"/>
    <n v="9800"/>
    <n v="7120"/>
    <n v="0.72653061224489801"/>
    <x v="0"/>
    <n v="77"/>
    <n v="92.467532467532465"/>
    <x v="1"/>
    <s v="USD"/>
    <n v="1561957200"/>
    <n v="1562475600"/>
    <x v="503"/>
    <d v="2019-07-07T05:00:00"/>
    <s v="Mon"/>
    <x v="8"/>
    <b v="0"/>
    <b v="1"/>
    <s v="food/food trucks"/>
    <x v="0"/>
    <x v="0"/>
  </r>
  <r>
    <n v="540"/>
    <s v="Brown-Pena"/>
    <s v="Front-line client-server secured line"/>
    <n v="5300"/>
    <n v="14097"/>
    <n v="2.6598113207547169"/>
    <x v="1"/>
    <n v="247"/>
    <n v="57.072874493927124"/>
    <x v="1"/>
    <s v="USD"/>
    <n v="1525496400"/>
    <n v="1527397200"/>
    <x v="504"/>
    <d v="2018-05-27T05:00:00"/>
    <s v="Sat"/>
    <x v="12"/>
    <b v="0"/>
    <b v="0"/>
    <s v="photography/photography books"/>
    <x v="7"/>
    <x v="14"/>
  </r>
  <r>
    <n v="541"/>
    <s v="Holder, Caldwell and Vance"/>
    <s v="Polarized systemic Internet solution"/>
    <n v="178000"/>
    <n v="43086"/>
    <n v="0.24205617977528091"/>
    <x v="0"/>
    <n v="395"/>
    <n v="109.07848101265823"/>
    <x v="6"/>
    <s v="EUR"/>
    <n v="1433912400"/>
    <n v="1436158800"/>
    <x v="505"/>
    <d v="2015-07-06T05:00:00"/>
    <s v="Wed"/>
    <x v="28"/>
    <b v="0"/>
    <b v="0"/>
    <s v="games/mobile games"/>
    <x v="6"/>
    <x v="20"/>
  </r>
  <r>
    <n v="542"/>
    <s v="Harrison-Bridges"/>
    <s v="Profit-focused exuding moderator"/>
    <n v="77000"/>
    <n v="1930"/>
    <n v="2.5064935064935064E-2"/>
    <x v="0"/>
    <n v="49"/>
    <n v="39.387755102040813"/>
    <x v="4"/>
    <s v="GBP"/>
    <n v="1453442400"/>
    <n v="1456034400"/>
    <x v="506"/>
    <d v="2016-02-21T06:00:00"/>
    <s v="Fri"/>
    <x v="31"/>
    <b v="0"/>
    <b v="0"/>
    <s v="music/indie rock"/>
    <x v="1"/>
    <x v="7"/>
  </r>
  <r>
    <n v="543"/>
    <s v="Johnson, Murphy and Peterson"/>
    <s v="Cross-group high-level moderator"/>
    <n v="84900"/>
    <n v="13864"/>
    <n v="0.1632979976442874"/>
    <x v="0"/>
    <n v="180"/>
    <n v="77.022222222222226"/>
    <x v="1"/>
    <s v="USD"/>
    <n v="1378875600"/>
    <n v="1380171600"/>
    <x v="507"/>
    <d v="2013-09-26T05:00:00"/>
    <s v="Wed"/>
    <x v="16"/>
    <b v="0"/>
    <b v="0"/>
    <s v="games/video games"/>
    <x v="6"/>
    <x v="11"/>
  </r>
  <r>
    <n v="544"/>
    <s v="Taylor Inc"/>
    <s v="Public-key 3rdgeneration system engine"/>
    <n v="2800"/>
    <n v="7742"/>
    <n v="2.7650000000000001"/>
    <x v="1"/>
    <n v="84"/>
    <n v="92.166666666666671"/>
    <x v="1"/>
    <s v="USD"/>
    <n v="1452232800"/>
    <n v="1453356000"/>
    <x v="508"/>
    <d v="2016-01-21T06:00:00"/>
    <s v="Fri"/>
    <x v="35"/>
    <b v="0"/>
    <b v="0"/>
    <s v="music/rock"/>
    <x v="1"/>
    <x v="1"/>
  </r>
  <r>
    <n v="545"/>
    <s v="Deleon and Sons"/>
    <s v="Organized value-added access"/>
    <n v="184800"/>
    <n v="164109"/>
    <n v="0.88803571428571426"/>
    <x v="0"/>
    <n v="2690"/>
    <n v="61.007063197026021"/>
    <x v="1"/>
    <s v="USD"/>
    <n v="1577253600"/>
    <n v="1578981600"/>
    <x v="509"/>
    <d v="2020-01-14T06:00:00"/>
    <s v="Wed"/>
    <x v="18"/>
    <b v="0"/>
    <b v="0"/>
    <s v="theater/plays"/>
    <x v="3"/>
    <x v="3"/>
  </r>
  <r>
    <n v="546"/>
    <s v="Benjamin, Paul and Ferguson"/>
    <s v="Cloned global Graphical User Interface"/>
    <n v="4200"/>
    <n v="6870"/>
    <n v="1.6357142857142857"/>
    <x v="1"/>
    <n v="88"/>
    <n v="78.068181818181813"/>
    <x v="1"/>
    <s v="USD"/>
    <n v="1537160400"/>
    <n v="1537419600"/>
    <x v="510"/>
    <d v="2018-09-20T05:00:00"/>
    <s v="Mon"/>
    <x v="36"/>
    <b v="0"/>
    <b v="1"/>
    <s v="theater/plays"/>
    <x v="3"/>
    <x v="3"/>
  </r>
  <r>
    <n v="547"/>
    <s v="Hardin-Dixon"/>
    <s v="Focused solution-oriented matrix"/>
    <n v="1300"/>
    <n v="12597"/>
    <n v="9.69"/>
    <x v="1"/>
    <n v="156"/>
    <n v="80.75"/>
    <x v="1"/>
    <s v="USD"/>
    <n v="1422165600"/>
    <n v="1423202400"/>
    <x v="511"/>
    <d v="2015-02-06T06:00:00"/>
    <s v="Sun"/>
    <x v="10"/>
    <b v="0"/>
    <b v="0"/>
    <s v="film &amp; video/drama"/>
    <x v="4"/>
    <x v="6"/>
  </r>
  <r>
    <n v="548"/>
    <s v="York-Pitts"/>
    <s v="Monitored discrete toolset"/>
    <n v="66100"/>
    <n v="179074"/>
    <n v="2.7091376701966716"/>
    <x v="1"/>
    <n v="2985"/>
    <n v="59.991289782244557"/>
    <x v="1"/>
    <s v="USD"/>
    <n v="1459486800"/>
    <n v="1460610000"/>
    <x v="512"/>
    <d v="2016-04-14T05:00:00"/>
    <s v="Fri"/>
    <x v="35"/>
    <b v="0"/>
    <b v="0"/>
    <s v="theater/plays"/>
    <x v="3"/>
    <x v="3"/>
  </r>
  <r>
    <n v="549"/>
    <s v="Jarvis and Sons"/>
    <s v="Business-focused intermediate system engine"/>
    <n v="29500"/>
    <n v="83843"/>
    <n v="2.8421355932203389"/>
    <x v="1"/>
    <n v="762"/>
    <n v="110.03018372703411"/>
    <x v="1"/>
    <s v="USD"/>
    <n v="1369717200"/>
    <n v="1370494800"/>
    <x v="513"/>
    <d v="2013-06-06T05:00:00"/>
    <s v="Tue"/>
    <x v="29"/>
    <b v="0"/>
    <b v="0"/>
    <s v="technology/wearables"/>
    <x v="2"/>
    <x v="8"/>
  </r>
  <r>
    <n v="550"/>
    <s v="Morrison-Henderson"/>
    <s v="De-engineered disintermediate encoding"/>
    <n v="100"/>
    <n v="4"/>
    <n v="0.04"/>
    <x v="3"/>
    <n v="1"/>
    <n v="4"/>
    <x v="5"/>
    <s v="CHF"/>
    <n v="1330495200"/>
    <n v="1332306000"/>
    <x v="514"/>
    <d v="2012-03-21T05:00:00"/>
    <s v="Wed"/>
    <x v="13"/>
    <b v="0"/>
    <b v="0"/>
    <s v="music/indie rock"/>
    <x v="1"/>
    <x v="7"/>
  </r>
  <r>
    <n v="551"/>
    <s v="Martin-James"/>
    <s v="Streamlined upward-trending analyzer"/>
    <n v="180100"/>
    <n v="105598"/>
    <n v="0.58632981676846196"/>
    <x v="0"/>
    <n v="2779"/>
    <n v="37.99856063332134"/>
    <x v="2"/>
    <s v="AUD"/>
    <n v="1419055200"/>
    <n v="1422511200"/>
    <x v="515"/>
    <d v="2015-01-29T06:00:00"/>
    <s v="Sat"/>
    <x v="2"/>
    <b v="0"/>
    <b v="1"/>
    <s v="technology/web"/>
    <x v="2"/>
    <x v="2"/>
  </r>
  <r>
    <n v="552"/>
    <s v="Mercer, Solomon and Singleton"/>
    <s v="Distributed human-resource policy"/>
    <n v="9000"/>
    <n v="8866"/>
    <n v="0.98511111111111116"/>
    <x v="0"/>
    <n v="92"/>
    <n v="96.369565217391298"/>
    <x v="1"/>
    <s v="USD"/>
    <n v="1480140000"/>
    <n v="1480312800"/>
    <x v="516"/>
    <d v="2016-11-28T06:00:00"/>
    <s v="Sat"/>
    <x v="1"/>
    <b v="0"/>
    <b v="0"/>
    <s v="theater/plays"/>
    <x v="3"/>
    <x v="3"/>
  </r>
  <r>
    <n v="553"/>
    <s v="Dougherty, Austin and Mills"/>
    <s v="De-engineered 5thgeneration contingency"/>
    <n v="170600"/>
    <n v="75022"/>
    <n v="0.43975381008206332"/>
    <x v="0"/>
    <n v="1028"/>
    <n v="72.978599221789878"/>
    <x v="1"/>
    <s v="USD"/>
    <n v="1293948000"/>
    <n v="1294034400"/>
    <x v="517"/>
    <d v="2011-01-03T06:00:00"/>
    <s v="Sun"/>
    <x v="5"/>
    <b v="0"/>
    <b v="0"/>
    <s v="music/rock"/>
    <x v="1"/>
    <x v="1"/>
  </r>
  <r>
    <n v="554"/>
    <s v="Ritter PLC"/>
    <s v="Multi-channeled upward-trending application"/>
    <n v="9500"/>
    <n v="14408"/>
    <n v="1.5166315789473683"/>
    <x v="1"/>
    <n v="554"/>
    <n v="26.007220216606498"/>
    <x v="0"/>
    <s v="CAD"/>
    <n v="1482127200"/>
    <n v="1482645600"/>
    <x v="518"/>
    <d v="2016-12-25T06:00:00"/>
    <s v="Mon"/>
    <x v="8"/>
    <b v="0"/>
    <b v="0"/>
    <s v="music/indie rock"/>
    <x v="1"/>
    <x v="7"/>
  </r>
  <r>
    <n v="555"/>
    <s v="Anderson Group"/>
    <s v="Organic maximized database"/>
    <n v="6300"/>
    <n v="14089"/>
    <n v="2.2363492063492063"/>
    <x v="1"/>
    <n v="135"/>
    <n v="104.36296296296297"/>
    <x v="3"/>
    <s v="DKK"/>
    <n v="1396414800"/>
    <n v="1399093200"/>
    <x v="519"/>
    <d v="2014-05-03T05:00:00"/>
    <s v="Wed"/>
    <x v="52"/>
    <b v="0"/>
    <b v="0"/>
    <s v="music/rock"/>
    <x v="1"/>
    <x v="1"/>
  </r>
  <r>
    <n v="556"/>
    <s v="Smith and Sons"/>
    <s v="Grass-roots 24/7 attitude"/>
    <n v="5200"/>
    <n v="12467"/>
    <n v="2.3975"/>
    <x v="1"/>
    <n v="122"/>
    <n v="102.18852459016394"/>
    <x v="1"/>
    <s v="USD"/>
    <n v="1315285200"/>
    <n v="1315890000"/>
    <x v="520"/>
    <d v="2011-09-13T05:00:00"/>
    <s v="Tue"/>
    <x v="34"/>
    <b v="0"/>
    <b v="1"/>
    <s v="publishing/translations"/>
    <x v="5"/>
    <x v="18"/>
  </r>
  <r>
    <n v="557"/>
    <s v="Lam-Hamilton"/>
    <s v="Team-oriented global strategy"/>
    <n v="6000"/>
    <n v="11960"/>
    <n v="1.9933333333333334"/>
    <x v="1"/>
    <n v="221"/>
    <n v="54.117647058823529"/>
    <x v="1"/>
    <s v="USD"/>
    <n v="1443762000"/>
    <n v="1444021200"/>
    <x v="521"/>
    <d v="2015-10-05T05:00:00"/>
    <s v="Fri"/>
    <x v="36"/>
    <b v="0"/>
    <b v="1"/>
    <s v="film &amp; video/science fiction"/>
    <x v="4"/>
    <x v="22"/>
  </r>
  <r>
    <n v="558"/>
    <s v="Ho Ltd"/>
    <s v="Enhanced client-driven capacity"/>
    <n v="5800"/>
    <n v="7966"/>
    <n v="1.373448275862069"/>
    <x v="1"/>
    <n v="126"/>
    <n v="63.222222222222221"/>
    <x v="1"/>
    <s v="USD"/>
    <n v="1456293600"/>
    <n v="1460005200"/>
    <x v="522"/>
    <d v="2016-04-07T05:00:00"/>
    <s v="Wed"/>
    <x v="58"/>
    <b v="0"/>
    <b v="0"/>
    <s v="theater/plays"/>
    <x v="3"/>
    <x v="3"/>
  </r>
  <r>
    <n v="559"/>
    <s v="Brown, Estrada and Jensen"/>
    <s v="Exclusive systematic productivity"/>
    <n v="105300"/>
    <n v="106321"/>
    <n v="1.009696106362773"/>
    <x v="1"/>
    <n v="1022"/>
    <n v="104.03228962818004"/>
    <x v="1"/>
    <s v="USD"/>
    <n v="1470114000"/>
    <n v="1470718800"/>
    <x v="523"/>
    <d v="2016-08-09T05:00:00"/>
    <s v="Tue"/>
    <x v="34"/>
    <b v="0"/>
    <b v="0"/>
    <s v="theater/plays"/>
    <x v="3"/>
    <x v="3"/>
  </r>
  <r>
    <n v="560"/>
    <s v="Hunt LLC"/>
    <s v="Re-engineered radical policy"/>
    <n v="20000"/>
    <n v="158832"/>
    <n v="7.9416000000000002"/>
    <x v="1"/>
    <n v="3177"/>
    <n v="49.994334277620396"/>
    <x v="1"/>
    <s v="USD"/>
    <n v="1321596000"/>
    <n v="1325052000"/>
    <x v="524"/>
    <d v="2011-12-28T06:00:00"/>
    <s v="Fri"/>
    <x v="2"/>
    <b v="0"/>
    <b v="0"/>
    <s v="film &amp; video/animation"/>
    <x v="4"/>
    <x v="10"/>
  </r>
  <r>
    <n v="561"/>
    <s v="Fowler-Smith"/>
    <s v="Down-sized logistical adapter"/>
    <n v="3000"/>
    <n v="11091"/>
    <n v="3.6970000000000001"/>
    <x v="1"/>
    <n v="198"/>
    <n v="56.015151515151516"/>
    <x v="5"/>
    <s v="CHF"/>
    <n v="1318827600"/>
    <n v="1319000400"/>
    <x v="525"/>
    <d v="2011-10-19T05:00:00"/>
    <s v="Mon"/>
    <x v="1"/>
    <b v="0"/>
    <b v="0"/>
    <s v="theater/plays"/>
    <x v="3"/>
    <x v="3"/>
  </r>
  <r>
    <n v="562"/>
    <s v="Blair Inc"/>
    <s v="Configurable bandwidth-monitored throughput"/>
    <n v="9900"/>
    <n v="1269"/>
    <n v="0.12818181818181817"/>
    <x v="0"/>
    <n v="26"/>
    <n v="48.807692307692307"/>
    <x v="5"/>
    <s v="CHF"/>
    <n v="1552366800"/>
    <n v="1552539600"/>
    <x v="188"/>
    <d v="2019-03-14T05:00:00"/>
    <s v="Tue"/>
    <x v="1"/>
    <b v="0"/>
    <b v="0"/>
    <s v="music/rock"/>
    <x v="1"/>
    <x v="1"/>
  </r>
  <r>
    <n v="563"/>
    <s v="Kelley, Stanton and Sanchez"/>
    <s v="Optional tangible pricing structure"/>
    <n v="3700"/>
    <n v="5107"/>
    <n v="1.3802702702702703"/>
    <x v="1"/>
    <n v="85"/>
    <n v="60.082352941176474"/>
    <x v="2"/>
    <s v="AUD"/>
    <n v="1542088800"/>
    <n v="1543816800"/>
    <x v="526"/>
    <d v="2018-12-03T06:00:00"/>
    <s v="Tue"/>
    <x v="18"/>
    <b v="0"/>
    <b v="0"/>
    <s v="film &amp; video/documentary"/>
    <x v="4"/>
    <x v="4"/>
  </r>
  <r>
    <n v="564"/>
    <s v="Hernandez-Macdonald"/>
    <s v="Organic high-level implementation"/>
    <n v="168700"/>
    <n v="141393"/>
    <n v="0.83813278008298753"/>
    <x v="0"/>
    <n v="1790"/>
    <n v="78.990502793296088"/>
    <x v="1"/>
    <s v="USD"/>
    <n v="1426395600"/>
    <n v="1427086800"/>
    <x v="527"/>
    <d v="2015-03-23T05:00:00"/>
    <s v="Sun"/>
    <x v="9"/>
    <b v="0"/>
    <b v="0"/>
    <s v="theater/plays"/>
    <x v="3"/>
    <x v="3"/>
  </r>
  <r>
    <n v="565"/>
    <s v="Joseph LLC"/>
    <s v="Decentralized logistical collaboration"/>
    <n v="94900"/>
    <n v="194166"/>
    <n v="2.0460063224446787"/>
    <x v="1"/>
    <n v="3596"/>
    <n v="53.99499443826474"/>
    <x v="1"/>
    <s v="USD"/>
    <n v="1321336800"/>
    <n v="1323064800"/>
    <x v="528"/>
    <d v="2011-12-05T06:00:00"/>
    <s v="Tue"/>
    <x v="18"/>
    <b v="0"/>
    <b v="0"/>
    <s v="theater/plays"/>
    <x v="3"/>
    <x v="3"/>
  </r>
  <r>
    <n v="566"/>
    <s v="Webb-Smith"/>
    <s v="Advanced content-based installation"/>
    <n v="9300"/>
    <n v="4124"/>
    <n v="0.44344086021505374"/>
    <x v="0"/>
    <n v="37"/>
    <n v="111.45945945945945"/>
    <x v="1"/>
    <s v="USD"/>
    <n v="1456293600"/>
    <n v="1458277200"/>
    <x v="522"/>
    <d v="2016-03-18T05:00:00"/>
    <s v="Wed"/>
    <x v="19"/>
    <b v="0"/>
    <b v="1"/>
    <s v="music/electric music"/>
    <x v="1"/>
    <x v="5"/>
  </r>
  <r>
    <n v="567"/>
    <s v="Johns PLC"/>
    <s v="Distributed high-level open architecture"/>
    <n v="6800"/>
    <n v="14865"/>
    <n v="2.1860294117647059"/>
    <x v="1"/>
    <n v="244"/>
    <n v="60.922131147540981"/>
    <x v="1"/>
    <s v="USD"/>
    <n v="1404968400"/>
    <n v="1405141200"/>
    <x v="529"/>
    <d v="2014-07-12T05:00:00"/>
    <s v="Thu"/>
    <x v="1"/>
    <b v="0"/>
    <b v="0"/>
    <s v="music/rock"/>
    <x v="1"/>
    <x v="1"/>
  </r>
  <r>
    <n v="568"/>
    <s v="Hardin-Foley"/>
    <s v="Synergized zero tolerance help-desk"/>
    <n v="72400"/>
    <n v="134688"/>
    <n v="1.8603314917127072"/>
    <x v="1"/>
    <n v="5180"/>
    <n v="26.0015444015444"/>
    <x v="1"/>
    <s v="USD"/>
    <n v="1279170000"/>
    <n v="1283058000"/>
    <x v="530"/>
    <d v="2010-08-29T05:00:00"/>
    <s v="Thu"/>
    <x v="32"/>
    <b v="0"/>
    <b v="0"/>
    <s v="theater/plays"/>
    <x v="3"/>
    <x v="3"/>
  </r>
  <r>
    <n v="569"/>
    <s v="Fischer, Fowler and Arnold"/>
    <s v="Extended multi-tasking definition"/>
    <n v="20100"/>
    <n v="47705"/>
    <n v="2.3733830845771142"/>
    <x v="1"/>
    <n v="589"/>
    <n v="80.993208828522924"/>
    <x v="6"/>
    <s v="EUR"/>
    <n v="1294725600"/>
    <n v="1295762400"/>
    <x v="531"/>
    <d v="2011-01-23T06:00:00"/>
    <s v="Tue"/>
    <x v="10"/>
    <b v="0"/>
    <b v="0"/>
    <s v="film &amp; video/animation"/>
    <x v="4"/>
    <x v="10"/>
  </r>
  <r>
    <n v="570"/>
    <s v="Martinez-Juarez"/>
    <s v="Realigned uniform knowledge user"/>
    <n v="31200"/>
    <n v="95364"/>
    <n v="3.0565384615384614"/>
    <x v="1"/>
    <n v="2725"/>
    <n v="34.995963302752294"/>
    <x v="1"/>
    <s v="USD"/>
    <n v="1419055200"/>
    <n v="1419573600"/>
    <x v="515"/>
    <d v="2014-12-26T06:00:00"/>
    <s v="Sat"/>
    <x v="8"/>
    <b v="0"/>
    <b v="1"/>
    <s v="music/rock"/>
    <x v="1"/>
    <x v="1"/>
  </r>
  <r>
    <n v="571"/>
    <s v="Wilson and Sons"/>
    <s v="Monitored grid-enabled model"/>
    <n v="3500"/>
    <n v="3295"/>
    <n v="0.94142857142857139"/>
    <x v="0"/>
    <n v="35"/>
    <n v="94.142857142857139"/>
    <x v="6"/>
    <s v="EUR"/>
    <n v="1434690000"/>
    <n v="1438750800"/>
    <x v="532"/>
    <d v="2015-08-05T05:00:00"/>
    <s v="Fri"/>
    <x v="37"/>
    <b v="0"/>
    <b v="0"/>
    <s v="film &amp; video/shorts"/>
    <x v="4"/>
    <x v="12"/>
  </r>
  <r>
    <n v="572"/>
    <s v="Clements Group"/>
    <s v="Assimilated actuating policy"/>
    <n v="9000"/>
    <n v="4896"/>
    <n v="0.54400000000000004"/>
    <x v="3"/>
    <n v="94"/>
    <n v="52.085106382978722"/>
    <x v="1"/>
    <s v="USD"/>
    <n v="1443416400"/>
    <n v="1444798800"/>
    <x v="533"/>
    <d v="2015-10-14T05:00:00"/>
    <s v="Mon"/>
    <x v="30"/>
    <b v="0"/>
    <b v="1"/>
    <s v="music/rock"/>
    <x v="1"/>
    <x v="1"/>
  </r>
  <r>
    <n v="573"/>
    <s v="Valenzuela-Cook"/>
    <s v="Total incremental productivity"/>
    <n v="6700"/>
    <n v="7496"/>
    <n v="1.1188059701492536"/>
    <x v="1"/>
    <n v="300"/>
    <n v="24.986666666666668"/>
    <x v="1"/>
    <s v="USD"/>
    <n v="1399006800"/>
    <n v="1399179600"/>
    <x v="409"/>
    <d v="2014-05-04T05:00:00"/>
    <s v="Fri"/>
    <x v="1"/>
    <b v="0"/>
    <b v="0"/>
    <s v="journalism/audio"/>
    <x v="8"/>
    <x v="23"/>
  </r>
  <r>
    <n v="574"/>
    <s v="Parker, Haley and Foster"/>
    <s v="Adaptive local task-force"/>
    <n v="2700"/>
    <n v="9967"/>
    <n v="3.6914814814814814"/>
    <x v="1"/>
    <n v="144"/>
    <n v="69.215277777777771"/>
    <x v="1"/>
    <s v="USD"/>
    <n v="1575698400"/>
    <n v="1576562400"/>
    <x v="534"/>
    <d v="2019-12-17T06:00:00"/>
    <s v="Sat"/>
    <x v="39"/>
    <b v="0"/>
    <b v="1"/>
    <s v="food/food trucks"/>
    <x v="0"/>
    <x v="0"/>
  </r>
  <r>
    <n v="575"/>
    <s v="Fuentes LLC"/>
    <s v="Universal zero-defect concept"/>
    <n v="83300"/>
    <n v="52421"/>
    <n v="0.62930372148859548"/>
    <x v="0"/>
    <n v="558"/>
    <n v="93.944444444444443"/>
    <x v="1"/>
    <s v="USD"/>
    <n v="1400562000"/>
    <n v="1400821200"/>
    <x v="53"/>
    <d v="2014-05-23T05:00:00"/>
    <s v="Tue"/>
    <x v="36"/>
    <b v="0"/>
    <b v="1"/>
    <s v="theater/plays"/>
    <x v="3"/>
    <x v="3"/>
  </r>
  <r>
    <n v="576"/>
    <s v="Moran and Sons"/>
    <s v="Object-based bottom-line superstructure"/>
    <n v="9700"/>
    <n v="6298"/>
    <n v="0.6492783505154639"/>
    <x v="0"/>
    <n v="64"/>
    <n v="98.40625"/>
    <x v="1"/>
    <s v="USD"/>
    <n v="1509512400"/>
    <n v="1510984800"/>
    <x v="535"/>
    <d v="2017-11-18T06:00:00"/>
    <s v="Wed"/>
    <x v="0"/>
    <b v="0"/>
    <b v="0"/>
    <s v="theater/plays"/>
    <x v="3"/>
    <x v="3"/>
  </r>
  <r>
    <n v="577"/>
    <s v="Stevens Inc"/>
    <s v="Adaptive 24hour projection"/>
    <n v="8200"/>
    <n v="1546"/>
    <n v="0.18853658536585366"/>
    <x v="3"/>
    <n v="37"/>
    <n v="41.783783783783782"/>
    <x v="1"/>
    <s v="USD"/>
    <n v="1299823200"/>
    <n v="1302066000"/>
    <x v="536"/>
    <d v="2011-04-06T05:00:00"/>
    <s v="Fri"/>
    <x v="28"/>
    <b v="0"/>
    <b v="0"/>
    <s v="music/jazz"/>
    <x v="1"/>
    <x v="17"/>
  </r>
  <r>
    <n v="578"/>
    <s v="Martinez-Johnson"/>
    <s v="Sharable radical toolset"/>
    <n v="96500"/>
    <n v="16168"/>
    <n v="0.1675440414507772"/>
    <x v="0"/>
    <n v="245"/>
    <n v="65.991836734693877"/>
    <x v="1"/>
    <s v="USD"/>
    <n v="1322719200"/>
    <n v="1322978400"/>
    <x v="537"/>
    <d v="2011-12-04T06:00:00"/>
    <s v="Thu"/>
    <x v="36"/>
    <b v="0"/>
    <b v="0"/>
    <s v="film &amp; video/science fiction"/>
    <x v="4"/>
    <x v="22"/>
  </r>
  <r>
    <n v="579"/>
    <s v="Franklin Inc"/>
    <s v="Focused multimedia knowledgebase"/>
    <n v="6200"/>
    <n v="6269"/>
    <n v="1.0111290322580646"/>
    <x v="1"/>
    <n v="87"/>
    <n v="72.05747126436782"/>
    <x v="1"/>
    <s v="USD"/>
    <n v="1312693200"/>
    <n v="1313730000"/>
    <x v="538"/>
    <d v="2011-08-19T05:00:00"/>
    <s v="Sun"/>
    <x v="10"/>
    <b v="0"/>
    <b v="0"/>
    <s v="music/jazz"/>
    <x v="1"/>
    <x v="17"/>
  </r>
  <r>
    <n v="580"/>
    <s v="Perez PLC"/>
    <s v="Seamless 6thgeneration extranet"/>
    <n v="43800"/>
    <n v="149578"/>
    <n v="3.4150228310502282"/>
    <x v="1"/>
    <n v="3116"/>
    <n v="48.003209242618745"/>
    <x v="1"/>
    <s v="USD"/>
    <n v="1393394400"/>
    <n v="1394085600"/>
    <x v="539"/>
    <d v="2014-03-06T06:00:00"/>
    <s v="Wed"/>
    <x v="9"/>
    <b v="0"/>
    <b v="0"/>
    <s v="theater/plays"/>
    <x v="3"/>
    <x v="3"/>
  </r>
  <r>
    <n v="581"/>
    <s v="Sanchez, Cross and Savage"/>
    <s v="Sharable mobile knowledgebase"/>
    <n v="6000"/>
    <n v="3841"/>
    <n v="0.64016666666666666"/>
    <x v="0"/>
    <n v="71"/>
    <n v="54.098591549295776"/>
    <x v="1"/>
    <s v="USD"/>
    <n v="1304053200"/>
    <n v="1305349200"/>
    <x v="540"/>
    <d v="2011-05-14T05:00:00"/>
    <s v="Fri"/>
    <x v="16"/>
    <b v="0"/>
    <b v="0"/>
    <s v="technology/web"/>
    <x v="2"/>
    <x v="2"/>
  </r>
  <r>
    <n v="582"/>
    <s v="Pineda Ltd"/>
    <s v="Cross-group global system engine"/>
    <n v="8700"/>
    <n v="4531"/>
    <n v="0.5208045977011494"/>
    <x v="0"/>
    <n v="42"/>
    <n v="107.88095238095238"/>
    <x v="1"/>
    <s v="USD"/>
    <n v="1433912400"/>
    <n v="1434344400"/>
    <x v="505"/>
    <d v="2015-06-15T05:00:00"/>
    <s v="Wed"/>
    <x v="20"/>
    <b v="0"/>
    <b v="1"/>
    <s v="games/video games"/>
    <x v="6"/>
    <x v="11"/>
  </r>
  <r>
    <n v="583"/>
    <s v="Powell and Sons"/>
    <s v="Centralized clear-thinking conglomeration"/>
    <n v="18900"/>
    <n v="60934"/>
    <n v="3.2240211640211642"/>
    <x v="1"/>
    <n v="909"/>
    <n v="67.034103410341032"/>
    <x v="1"/>
    <s v="USD"/>
    <n v="1329717600"/>
    <n v="1331186400"/>
    <x v="541"/>
    <d v="2012-03-08T06:00:00"/>
    <s v="Mon"/>
    <x v="0"/>
    <b v="0"/>
    <b v="0"/>
    <s v="film &amp; video/documentary"/>
    <x v="4"/>
    <x v="4"/>
  </r>
  <r>
    <n v="584"/>
    <s v="Nunez-Richards"/>
    <s v="De-engineered cohesive system engine"/>
    <n v="86400"/>
    <n v="103255"/>
    <n v="1.1950810185185186"/>
    <x v="1"/>
    <n v="1613"/>
    <n v="64.01425914445133"/>
    <x v="1"/>
    <s v="USD"/>
    <n v="1335330000"/>
    <n v="1336539600"/>
    <x v="542"/>
    <d v="2012-05-09T05:00:00"/>
    <s v="Wed"/>
    <x v="26"/>
    <b v="0"/>
    <b v="0"/>
    <s v="technology/web"/>
    <x v="2"/>
    <x v="2"/>
  </r>
  <r>
    <n v="585"/>
    <s v="Pugh LLC"/>
    <s v="Reactive analyzing function"/>
    <n v="8900"/>
    <n v="13065"/>
    <n v="1.4679775280898877"/>
    <x v="1"/>
    <n v="136"/>
    <n v="96.066176470588232"/>
    <x v="1"/>
    <s v="USD"/>
    <n v="1268888400"/>
    <n v="1269752400"/>
    <x v="543"/>
    <d v="2010-03-28T05:00:00"/>
    <s v="Thu"/>
    <x v="39"/>
    <b v="0"/>
    <b v="0"/>
    <s v="publishing/translations"/>
    <x v="5"/>
    <x v="18"/>
  </r>
  <r>
    <n v="586"/>
    <s v="Rowe-Wong"/>
    <s v="Robust hybrid budgetary management"/>
    <n v="700"/>
    <n v="6654"/>
    <n v="9.5057142857142853"/>
    <x v="1"/>
    <n v="130"/>
    <n v="51.184615384615384"/>
    <x v="1"/>
    <s v="USD"/>
    <n v="1289973600"/>
    <n v="1291615200"/>
    <x v="544"/>
    <d v="2010-12-06T06:00:00"/>
    <s v="Wed"/>
    <x v="27"/>
    <b v="0"/>
    <b v="0"/>
    <s v="music/rock"/>
    <x v="1"/>
    <x v="1"/>
  </r>
  <r>
    <n v="587"/>
    <s v="Williams-Santos"/>
    <s v="Open-source analyzing monitoring"/>
    <n v="9400"/>
    <n v="6852"/>
    <n v="0.72893617021276591"/>
    <x v="0"/>
    <n v="156"/>
    <n v="43.92307692307692"/>
    <x v="0"/>
    <s v="CAD"/>
    <n v="1547877600"/>
    <n v="1552366800"/>
    <x v="35"/>
    <d v="2019-03-12T05:00:00"/>
    <s v="Sat"/>
    <x v="45"/>
    <b v="0"/>
    <b v="1"/>
    <s v="food/food trucks"/>
    <x v="0"/>
    <x v="0"/>
  </r>
  <r>
    <n v="588"/>
    <s v="Weber Inc"/>
    <s v="Up-sized discrete firmware"/>
    <n v="157600"/>
    <n v="124517"/>
    <n v="0.7900824873096447"/>
    <x v="0"/>
    <n v="1368"/>
    <n v="91.021198830409361"/>
    <x v="4"/>
    <s v="GBP"/>
    <n v="1269493200"/>
    <n v="1272171600"/>
    <x v="152"/>
    <d v="2010-04-25T05:00:00"/>
    <s v="Thu"/>
    <x v="52"/>
    <b v="0"/>
    <b v="0"/>
    <s v="theater/plays"/>
    <x v="3"/>
    <x v="3"/>
  </r>
  <r>
    <n v="589"/>
    <s v="Avery, Brown and Parker"/>
    <s v="Exclusive intangible extranet"/>
    <n v="7900"/>
    <n v="5113"/>
    <n v="0.64721518987341775"/>
    <x v="0"/>
    <n v="102"/>
    <n v="50.127450980392155"/>
    <x v="1"/>
    <s v="USD"/>
    <n v="1436072400"/>
    <n v="1436677200"/>
    <x v="545"/>
    <d v="2015-07-12T05:00:00"/>
    <s v="Sun"/>
    <x v="34"/>
    <b v="0"/>
    <b v="0"/>
    <s v="film &amp; video/documentary"/>
    <x v="4"/>
    <x v="4"/>
  </r>
  <r>
    <n v="590"/>
    <s v="Cox Group"/>
    <s v="Synergized analyzing process improvement"/>
    <n v="7100"/>
    <n v="5824"/>
    <n v="0.82028169014084507"/>
    <x v="0"/>
    <n v="86"/>
    <n v="67.720930232558146"/>
    <x v="2"/>
    <s v="AUD"/>
    <n v="1419141600"/>
    <n v="1420092000"/>
    <x v="546"/>
    <d v="2015-01-01T06:00:00"/>
    <s v="Sun"/>
    <x v="4"/>
    <b v="0"/>
    <b v="0"/>
    <s v="publishing/radio &amp; podcasts"/>
    <x v="5"/>
    <x v="15"/>
  </r>
  <r>
    <n v="591"/>
    <s v="Jensen LLC"/>
    <s v="Realigned dedicated system engine"/>
    <n v="600"/>
    <n v="6226"/>
    <n v="10.376666666666667"/>
    <x v="1"/>
    <n v="102"/>
    <n v="61.03921568627451"/>
    <x v="1"/>
    <s v="USD"/>
    <n v="1279083600"/>
    <n v="1279947600"/>
    <x v="547"/>
    <d v="2010-07-24T05:00:00"/>
    <s v="Wed"/>
    <x v="39"/>
    <b v="0"/>
    <b v="0"/>
    <s v="games/video games"/>
    <x v="6"/>
    <x v="11"/>
  </r>
  <r>
    <n v="592"/>
    <s v="Brown Inc"/>
    <s v="Object-based bandwidth-monitored concept"/>
    <n v="156800"/>
    <n v="20243"/>
    <n v="0.12910076530612244"/>
    <x v="0"/>
    <n v="253"/>
    <n v="80.011857707509876"/>
    <x v="1"/>
    <s v="USD"/>
    <n v="1401426000"/>
    <n v="1402203600"/>
    <x v="548"/>
    <d v="2014-06-08T05:00:00"/>
    <s v="Fri"/>
    <x v="29"/>
    <b v="0"/>
    <b v="0"/>
    <s v="theater/plays"/>
    <x v="3"/>
    <x v="3"/>
  </r>
  <r>
    <n v="593"/>
    <s v="Hale-Hayes"/>
    <s v="Ameliorated client-driven open system"/>
    <n v="121600"/>
    <n v="188288"/>
    <n v="1.5484210526315789"/>
    <x v="1"/>
    <n v="4006"/>
    <n v="47.001497753369947"/>
    <x v="1"/>
    <s v="USD"/>
    <n v="1395810000"/>
    <n v="1396933200"/>
    <x v="549"/>
    <d v="2014-04-08T05:00:00"/>
    <s v="Wed"/>
    <x v="35"/>
    <b v="0"/>
    <b v="0"/>
    <s v="film &amp; video/animation"/>
    <x v="4"/>
    <x v="10"/>
  </r>
  <r>
    <n v="594"/>
    <s v="Mcbride PLC"/>
    <s v="Upgradable leadingedge Local Area Network"/>
    <n v="157300"/>
    <n v="11167"/>
    <n v="7.0991735537190084E-2"/>
    <x v="0"/>
    <n v="157"/>
    <n v="71.127388535031841"/>
    <x v="1"/>
    <s v="USD"/>
    <n v="1467003600"/>
    <n v="1467262800"/>
    <x v="550"/>
    <d v="2016-06-30T05:00:00"/>
    <s v="Mon"/>
    <x v="36"/>
    <b v="0"/>
    <b v="1"/>
    <s v="theater/plays"/>
    <x v="3"/>
    <x v="3"/>
  </r>
  <r>
    <n v="595"/>
    <s v="Harris-Jennings"/>
    <s v="Customizable intermediate data-warehouse"/>
    <n v="70300"/>
    <n v="146595"/>
    <n v="2.0852773826458035"/>
    <x v="1"/>
    <n v="1629"/>
    <n v="89.99079189686924"/>
    <x v="1"/>
    <s v="USD"/>
    <n v="1268715600"/>
    <n v="1270530000"/>
    <x v="551"/>
    <d v="2010-04-06T05:00:00"/>
    <s v="Tue"/>
    <x v="13"/>
    <b v="0"/>
    <b v="1"/>
    <s v="theater/plays"/>
    <x v="3"/>
    <x v="3"/>
  </r>
  <r>
    <n v="596"/>
    <s v="Becker-Scott"/>
    <s v="Managed optimizing archive"/>
    <n v="7900"/>
    <n v="7875"/>
    <n v="0.99683544303797467"/>
    <x v="0"/>
    <n v="183"/>
    <n v="43.032786885245905"/>
    <x v="1"/>
    <s v="USD"/>
    <n v="1457157600"/>
    <n v="1457762400"/>
    <x v="552"/>
    <d v="2016-03-12T06:00:00"/>
    <s v="Sat"/>
    <x v="34"/>
    <b v="0"/>
    <b v="1"/>
    <s v="film &amp; video/drama"/>
    <x v="4"/>
    <x v="6"/>
  </r>
  <r>
    <n v="597"/>
    <s v="Todd, Freeman and Henry"/>
    <s v="Diverse systematic projection"/>
    <n v="73800"/>
    <n v="148779"/>
    <n v="2.0159756097560977"/>
    <x v="1"/>
    <n v="2188"/>
    <n v="67.997714808043881"/>
    <x v="1"/>
    <s v="USD"/>
    <n v="1573970400"/>
    <n v="1575525600"/>
    <x v="462"/>
    <d v="2019-12-05T06:00:00"/>
    <s v="Sun"/>
    <x v="42"/>
    <b v="0"/>
    <b v="0"/>
    <s v="theater/plays"/>
    <x v="3"/>
    <x v="3"/>
  </r>
  <r>
    <n v="598"/>
    <s v="Martinez, Garza and Young"/>
    <s v="Up-sized web-enabled info-mediaries"/>
    <n v="108500"/>
    <n v="175868"/>
    <n v="1.6209032258064515"/>
    <x v="1"/>
    <n v="2409"/>
    <n v="73.004566210045667"/>
    <x v="6"/>
    <s v="EUR"/>
    <n v="1276578000"/>
    <n v="1279083600"/>
    <x v="553"/>
    <d v="2010-07-14T05:00:00"/>
    <s v="Tue"/>
    <x v="41"/>
    <b v="0"/>
    <b v="0"/>
    <s v="music/rock"/>
    <x v="1"/>
    <x v="1"/>
  </r>
  <r>
    <n v="599"/>
    <s v="Smith-Ramos"/>
    <s v="Persevering optimizing Graphical User Interface"/>
    <n v="140300"/>
    <n v="5112"/>
    <n v="3.6436208125445471E-2"/>
    <x v="0"/>
    <n v="82"/>
    <n v="62.341463414634148"/>
    <x v="3"/>
    <s v="DKK"/>
    <n v="1423720800"/>
    <n v="1424412000"/>
    <x v="554"/>
    <d v="2015-02-20T06:00:00"/>
    <s v="Thu"/>
    <x v="9"/>
    <b v="0"/>
    <b v="0"/>
    <s v="film &amp; video/documentary"/>
    <x v="4"/>
    <x v="4"/>
  </r>
  <r>
    <n v="600"/>
    <s v="Brown-George"/>
    <s v="Cross-platform tertiary array"/>
    <n v="100"/>
    <n v="5"/>
    <n v="0.05"/>
    <x v="0"/>
    <n v="1"/>
    <n v="5"/>
    <x v="4"/>
    <s v="GBP"/>
    <n v="1375160400"/>
    <n v="1376197200"/>
    <x v="555"/>
    <d v="2013-08-11T05:00:00"/>
    <s v="Tue"/>
    <x v="10"/>
    <b v="0"/>
    <b v="0"/>
    <s v="food/food trucks"/>
    <x v="0"/>
    <x v="0"/>
  </r>
  <r>
    <n v="601"/>
    <s v="Waters and Sons"/>
    <s v="Inverse neutral structure"/>
    <n v="6300"/>
    <n v="13018"/>
    <n v="2.0663492063492064"/>
    <x v="1"/>
    <n v="194"/>
    <n v="67.103092783505161"/>
    <x v="1"/>
    <s v="USD"/>
    <n v="1401426000"/>
    <n v="1402894800"/>
    <x v="548"/>
    <d v="2014-06-16T05:00:00"/>
    <s v="Fri"/>
    <x v="0"/>
    <b v="1"/>
    <b v="0"/>
    <s v="technology/wearables"/>
    <x v="2"/>
    <x v="8"/>
  </r>
  <r>
    <n v="602"/>
    <s v="Brown Ltd"/>
    <s v="Quality-focused system-worthy support"/>
    <n v="71100"/>
    <n v="91176"/>
    <n v="1.2823628691983122"/>
    <x v="1"/>
    <n v="1140"/>
    <n v="79.978947368421046"/>
    <x v="1"/>
    <s v="USD"/>
    <n v="1433480400"/>
    <n v="1434430800"/>
    <x v="62"/>
    <d v="2015-06-16T05:00:00"/>
    <s v="Fri"/>
    <x v="4"/>
    <b v="0"/>
    <b v="0"/>
    <s v="theater/plays"/>
    <x v="3"/>
    <x v="3"/>
  </r>
  <r>
    <n v="603"/>
    <s v="Christian, Yates and Greer"/>
    <s v="Vision-oriented 5thgeneration array"/>
    <n v="5300"/>
    <n v="6342"/>
    <n v="1.1966037735849056"/>
    <x v="1"/>
    <n v="102"/>
    <n v="62.176470588235297"/>
    <x v="1"/>
    <s v="USD"/>
    <n v="1555563600"/>
    <n v="1557896400"/>
    <x v="556"/>
    <d v="2019-05-15T05:00:00"/>
    <s v="Thu"/>
    <x v="11"/>
    <b v="0"/>
    <b v="0"/>
    <s v="theater/plays"/>
    <x v="3"/>
    <x v="3"/>
  </r>
  <r>
    <n v="604"/>
    <s v="Cole, Hernandez and Rodriguez"/>
    <s v="Cross-platform logistical circuit"/>
    <n v="88700"/>
    <n v="151438"/>
    <n v="1.7073055242390078"/>
    <x v="1"/>
    <n v="2857"/>
    <n v="53.005950297514879"/>
    <x v="1"/>
    <s v="USD"/>
    <n v="1295676000"/>
    <n v="1297490400"/>
    <x v="557"/>
    <d v="2011-02-12T06:00:00"/>
    <s v="Sat"/>
    <x v="13"/>
    <b v="0"/>
    <b v="0"/>
    <s v="theater/plays"/>
    <x v="3"/>
    <x v="3"/>
  </r>
  <r>
    <n v="605"/>
    <s v="Ortiz, Valenzuela and Collins"/>
    <s v="Profound solution-oriented matrix"/>
    <n v="3300"/>
    <n v="6178"/>
    <n v="1.8721212121212121"/>
    <x v="1"/>
    <n v="107"/>
    <n v="57.738317757009348"/>
    <x v="1"/>
    <s v="USD"/>
    <n v="1443848400"/>
    <n v="1447394400"/>
    <x v="27"/>
    <d v="2015-11-13T06:00:00"/>
    <s v="Sat"/>
    <x v="44"/>
    <b v="0"/>
    <b v="0"/>
    <s v="publishing/nonfiction"/>
    <x v="5"/>
    <x v="9"/>
  </r>
  <r>
    <n v="606"/>
    <s v="Valencia PLC"/>
    <s v="Extended asynchronous initiative"/>
    <n v="3400"/>
    <n v="6405"/>
    <n v="1.8838235294117647"/>
    <x v="1"/>
    <n v="160"/>
    <n v="40.03125"/>
    <x v="4"/>
    <s v="GBP"/>
    <n v="1457330400"/>
    <n v="1458277200"/>
    <x v="558"/>
    <d v="2016-03-18T05:00:00"/>
    <s v="Mon"/>
    <x v="4"/>
    <b v="0"/>
    <b v="0"/>
    <s v="music/rock"/>
    <x v="1"/>
    <x v="1"/>
  </r>
  <r>
    <n v="607"/>
    <s v="Gordon, Mendez and Johnson"/>
    <s v="Fundamental needs-based frame"/>
    <n v="137600"/>
    <n v="180667"/>
    <n v="1.3129869186046512"/>
    <x v="1"/>
    <n v="2230"/>
    <n v="81.016591928251117"/>
    <x v="1"/>
    <s v="USD"/>
    <n v="1395550800"/>
    <n v="1395723600"/>
    <x v="559"/>
    <d v="2014-03-25T05:00:00"/>
    <s v="Sun"/>
    <x v="1"/>
    <b v="0"/>
    <b v="0"/>
    <s v="food/food trucks"/>
    <x v="0"/>
    <x v="0"/>
  </r>
  <r>
    <n v="608"/>
    <s v="Johnson Group"/>
    <s v="Compatible full-range leverage"/>
    <n v="3900"/>
    <n v="11075"/>
    <n v="2.8397435897435899"/>
    <x v="1"/>
    <n v="316"/>
    <n v="35.047468354430379"/>
    <x v="1"/>
    <s v="USD"/>
    <n v="1551852000"/>
    <n v="1552197600"/>
    <x v="426"/>
    <d v="2019-03-10T06:00:00"/>
    <s v="Wed"/>
    <x v="3"/>
    <b v="0"/>
    <b v="1"/>
    <s v="music/jazz"/>
    <x v="1"/>
    <x v="17"/>
  </r>
  <r>
    <n v="609"/>
    <s v="Rose-Fuller"/>
    <s v="Upgradable holistic system engine"/>
    <n v="10000"/>
    <n v="12042"/>
    <n v="1.2041999999999999"/>
    <x v="1"/>
    <n v="117"/>
    <n v="102.92307692307692"/>
    <x v="1"/>
    <s v="USD"/>
    <n v="1547618400"/>
    <n v="1549087200"/>
    <x v="560"/>
    <d v="2019-02-02T06:00:00"/>
    <s v="Wed"/>
    <x v="0"/>
    <b v="0"/>
    <b v="0"/>
    <s v="film &amp; video/science fiction"/>
    <x v="4"/>
    <x v="22"/>
  </r>
  <r>
    <n v="610"/>
    <s v="Hughes, Mendez and Patterson"/>
    <s v="Stand-alone multi-state data-warehouse"/>
    <n v="42800"/>
    <n v="179356"/>
    <n v="4.1905607476635511"/>
    <x v="1"/>
    <n v="6406"/>
    <n v="27.998126756166094"/>
    <x v="1"/>
    <s v="USD"/>
    <n v="1355637600"/>
    <n v="1356847200"/>
    <x v="561"/>
    <d v="2012-12-30T06:00:00"/>
    <s v="Sun"/>
    <x v="26"/>
    <b v="0"/>
    <b v="0"/>
    <s v="theater/plays"/>
    <x v="3"/>
    <x v="3"/>
  </r>
  <r>
    <n v="611"/>
    <s v="Brady, Cortez and Rodriguez"/>
    <s v="Multi-lateral maximized core"/>
    <n v="8200"/>
    <n v="1136"/>
    <n v="0.13853658536585367"/>
    <x v="3"/>
    <n v="15"/>
    <n v="75.733333333333334"/>
    <x v="1"/>
    <s v="USD"/>
    <n v="1374728400"/>
    <n v="1375765200"/>
    <x v="562"/>
    <d v="2013-08-06T05:00:00"/>
    <s v="Thu"/>
    <x v="10"/>
    <b v="0"/>
    <b v="0"/>
    <s v="theater/plays"/>
    <x v="3"/>
    <x v="3"/>
  </r>
  <r>
    <n v="612"/>
    <s v="Wang, Nguyen and Horton"/>
    <s v="Innovative holistic hub"/>
    <n v="6200"/>
    <n v="8645"/>
    <n v="1.3943548387096774"/>
    <x v="1"/>
    <n v="192"/>
    <n v="45.026041666666664"/>
    <x v="1"/>
    <s v="USD"/>
    <n v="1287810000"/>
    <n v="1289800800"/>
    <x v="563"/>
    <d v="2010-11-15T06:00:00"/>
    <s v="Sat"/>
    <x v="19"/>
    <b v="0"/>
    <b v="0"/>
    <s v="music/electric music"/>
    <x v="1"/>
    <x v="5"/>
  </r>
  <r>
    <n v="613"/>
    <s v="Santos, Williams and Brown"/>
    <s v="Reverse-engineered 24/7 methodology"/>
    <n v="1100"/>
    <n v="1914"/>
    <n v="1.74"/>
    <x v="1"/>
    <n v="26"/>
    <n v="73.615384615384613"/>
    <x v="0"/>
    <s v="CAD"/>
    <n v="1503723600"/>
    <n v="1504501200"/>
    <x v="564"/>
    <d v="2017-09-04T05:00:00"/>
    <s v="Sat"/>
    <x v="29"/>
    <b v="0"/>
    <b v="0"/>
    <s v="theater/plays"/>
    <x v="3"/>
    <x v="3"/>
  </r>
  <r>
    <n v="614"/>
    <s v="Barnett and Sons"/>
    <s v="Business-focused dynamic info-mediaries"/>
    <n v="26500"/>
    <n v="41205"/>
    <n v="1.5549056603773586"/>
    <x v="1"/>
    <n v="723"/>
    <n v="56.991701244813278"/>
    <x v="1"/>
    <s v="USD"/>
    <n v="1484114400"/>
    <n v="1485669600"/>
    <x v="565"/>
    <d v="2017-01-29T06:00:00"/>
    <s v="Wed"/>
    <x v="42"/>
    <b v="0"/>
    <b v="0"/>
    <s v="theater/plays"/>
    <x v="3"/>
    <x v="3"/>
  </r>
  <r>
    <n v="615"/>
    <s v="Petersen-Rodriguez"/>
    <s v="Digitized clear-thinking installation"/>
    <n v="8500"/>
    <n v="14488"/>
    <n v="1.7044705882352942"/>
    <x v="1"/>
    <n v="170"/>
    <n v="85.223529411764702"/>
    <x v="6"/>
    <s v="EUR"/>
    <n v="1461906000"/>
    <n v="1462770000"/>
    <x v="566"/>
    <d v="2016-05-09T05:00:00"/>
    <s v="Fri"/>
    <x v="39"/>
    <b v="0"/>
    <b v="0"/>
    <s v="theater/plays"/>
    <x v="3"/>
    <x v="3"/>
  </r>
  <r>
    <n v="616"/>
    <s v="Burnett-Mora"/>
    <s v="Quality-focused 24/7 superstructure"/>
    <n v="6400"/>
    <n v="12129"/>
    <n v="1.8951562500000001"/>
    <x v="1"/>
    <n v="238"/>
    <n v="50.962184873949582"/>
    <x v="4"/>
    <s v="GBP"/>
    <n v="1379653200"/>
    <n v="1379739600"/>
    <x v="567"/>
    <d v="2013-09-21T05:00:00"/>
    <s v="Fri"/>
    <x v="5"/>
    <b v="0"/>
    <b v="1"/>
    <s v="music/indie rock"/>
    <x v="1"/>
    <x v="7"/>
  </r>
  <r>
    <n v="617"/>
    <s v="King LLC"/>
    <s v="Multi-channeled local intranet"/>
    <n v="1400"/>
    <n v="3496"/>
    <n v="2.4971428571428573"/>
    <x v="1"/>
    <n v="55"/>
    <n v="63.563636363636363"/>
    <x v="1"/>
    <s v="USD"/>
    <n v="1401858000"/>
    <n v="1402722000"/>
    <x v="568"/>
    <d v="2014-06-14T05:00:00"/>
    <s v="Wed"/>
    <x v="39"/>
    <b v="0"/>
    <b v="0"/>
    <s v="theater/plays"/>
    <x v="3"/>
    <x v="3"/>
  </r>
  <r>
    <n v="618"/>
    <s v="Miller Ltd"/>
    <s v="Open-architected mobile emulation"/>
    <n v="198600"/>
    <n v="97037"/>
    <n v="0.48860523665659616"/>
    <x v="0"/>
    <n v="1198"/>
    <n v="80.999165275459092"/>
    <x v="1"/>
    <s v="USD"/>
    <n v="1367470800"/>
    <n v="1369285200"/>
    <x v="569"/>
    <d v="2013-05-23T05:00:00"/>
    <s v="Thu"/>
    <x v="13"/>
    <b v="0"/>
    <b v="0"/>
    <s v="publishing/nonfiction"/>
    <x v="5"/>
    <x v="9"/>
  </r>
  <r>
    <n v="619"/>
    <s v="Case LLC"/>
    <s v="Ameliorated foreground methodology"/>
    <n v="195900"/>
    <n v="55757"/>
    <n v="0.28461970393057684"/>
    <x v="0"/>
    <n v="648"/>
    <n v="86.044753086419746"/>
    <x v="1"/>
    <s v="USD"/>
    <n v="1304658000"/>
    <n v="1304744400"/>
    <x v="570"/>
    <d v="2011-05-07T05:00:00"/>
    <s v="Fri"/>
    <x v="5"/>
    <b v="1"/>
    <b v="1"/>
    <s v="theater/plays"/>
    <x v="3"/>
    <x v="3"/>
  </r>
  <r>
    <n v="620"/>
    <s v="Swanson, Wilson and Baker"/>
    <s v="Synergized well-modulated project"/>
    <n v="4300"/>
    <n v="11525"/>
    <n v="2.6802325581395348"/>
    <x v="1"/>
    <n v="128"/>
    <n v="90.0390625"/>
    <x v="2"/>
    <s v="AUD"/>
    <n v="1467954000"/>
    <n v="1468299600"/>
    <x v="571"/>
    <d v="2016-07-12T05:00:00"/>
    <s v="Fri"/>
    <x v="3"/>
    <b v="0"/>
    <b v="0"/>
    <s v="photography/photography books"/>
    <x v="7"/>
    <x v="14"/>
  </r>
  <r>
    <n v="621"/>
    <s v="Dean, Fox and Phillips"/>
    <s v="Extended context-sensitive forecast"/>
    <n v="25600"/>
    <n v="158669"/>
    <n v="6.1980078125000002"/>
    <x v="1"/>
    <n v="2144"/>
    <n v="74.006063432835816"/>
    <x v="1"/>
    <s v="USD"/>
    <n v="1473742800"/>
    <n v="1474174800"/>
    <x v="572"/>
    <d v="2016-09-18T05:00:00"/>
    <s v="Tue"/>
    <x v="20"/>
    <b v="0"/>
    <b v="0"/>
    <s v="theater/plays"/>
    <x v="3"/>
    <x v="3"/>
  </r>
  <r>
    <n v="622"/>
    <s v="Smith-Smith"/>
    <s v="Total leadingedge neural-net"/>
    <n v="189000"/>
    <n v="5916"/>
    <n v="3.1301587301587303E-2"/>
    <x v="0"/>
    <n v="64"/>
    <n v="92.4375"/>
    <x v="1"/>
    <s v="USD"/>
    <n v="1523768400"/>
    <n v="1526014800"/>
    <x v="573"/>
    <d v="2018-05-11T05:00:00"/>
    <s v="Sun"/>
    <x v="28"/>
    <b v="0"/>
    <b v="0"/>
    <s v="music/indie rock"/>
    <x v="1"/>
    <x v="7"/>
  </r>
  <r>
    <n v="623"/>
    <s v="Smith, Scott and Rodriguez"/>
    <s v="Organic actuating protocol"/>
    <n v="94300"/>
    <n v="150806"/>
    <n v="1.5992152704135738"/>
    <x v="1"/>
    <n v="2693"/>
    <n v="55.999257333828446"/>
    <x v="4"/>
    <s v="GBP"/>
    <n v="1437022800"/>
    <n v="1437454800"/>
    <x v="574"/>
    <d v="2015-07-21T05:00:00"/>
    <s v="Thu"/>
    <x v="20"/>
    <b v="0"/>
    <b v="0"/>
    <s v="theater/plays"/>
    <x v="3"/>
    <x v="3"/>
  </r>
  <r>
    <n v="624"/>
    <s v="White, Robertson and Roberts"/>
    <s v="Down-sized national software"/>
    <n v="5100"/>
    <n v="14249"/>
    <n v="2.793921568627451"/>
    <x v="1"/>
    <n v="432"/>
    <n v="32.983796296296298"/>
    <x v="1"/>
    <s v="USD"/>
    <n v="1422165600"/>
    <n v="1422684000"/>
    <x v="511"/>
    <d v="2015-01-31T06:00:00"/>
    <s v="Sun"/>
    <x v="8"/>
    <b v="0"/>
    <b v="0"/>
    <s v="photography/photography books"/>
    <x v="7"/>
    <x v="14"/>
  </r>
  <r>
    <n v="625"/>
    <s v="Martinez Inc"/>
    <s v="Organic upward-trending Graphical User Interface"/>
    <n v="7500"/>
    <n v="5803"/>
    <n v="0.77373333333333338"/>
    <x v="0"/>
    <n v="62"/>
    <n v="93.596774193548384"/>
    <x v="1"/>
    <s v="USD"/>
    <n v="1580104800"/>
    <n v="1581314400"/>
    <x v="575"/>
    <d v="2020-02-10T06:00:00"/>
    <s v="Mon"/>
    <x v="26"/>
    <b v="0"/>
    <b v="0"/>
    <s v="theater/plays"/>
    <x v="3"/>
    <x v="3"/>
  </r>
  <r>
    <n v="626"/>
    <s v="Tucker, Mccoy and Marquez"/>
    <s v="Synergistic tertiary budgetary management"/>
    <n v="6400"/>
    <n v="13205"/>
    <n v="2.0632812500000002"/>
    <x v="1"/>
    <n v="189"/>
    <n v="69.867724867724874"/>
    <x v="1"/>
    <s v="USD"/>
    <n v="1285650000"/>
    <n v="1286427600"/>
    <x v="576"/>
    <d v="2010-10-07T05:00:00"/>
    <s v="Tue"/>
    <x v="29"/>
    <b v="0"/>
    <b v="1"/>
    <s v="theater/plays"/>
    <x v="3"/>
    <x v="3"/>
  </r>
  <r>
    <n v="627"/>
    <s v="Martin, Lee and Armstrong"/>
    <s v="Open-architected incremental ability"/>
    <n v="1600"/>
    <n v="11108"/>
    <n v="6.9424999999999999"/>
    <x v="1"/>
    <n v="154"/>
    <n v="72.129870129870127"/>
    <x v="4"/>
    <s v="GBP"/>
    <n v="1276664400"/>
    <n v="1278738000"/>
    <x v="577"/>
    <d v="2010-07-10T05:00:00"/>
    <s v="Wed"/>
    <x v="47"/>
    <b v="1"/>
    <b v="0"/>
    <s v="food/food trucks"/>
    <x v="0"/>
    <x v="0"/>
  </r>
  <r>
    <n v="628"/>
    <s v="Dunn, Moreno and Green"/>
    <s v="Intuitive object-oriented task-force"/>
    <n v="1900"/>
    <n v="2884"/>
    <n v="1.5178947368421052"/>
    <x v="1"/>
    <n v="96"/>
    <n v="30.041666666666668"/>
    <x v="1"/>
    <s v="USD"/>
    <n v="1286168400"/>
    <n v="1286427600"/>
    <x v="578"/>
    <d v="2010-10-07T05:00:00"/>
    <s v="Mon"/>
    <x v="36"/>
    <b v="0"/>
    <b v="0"/>
    <s v="music/indie rock"/>
    <x v="1"/>
    <x v="7"/>
  </r>
  <r>
    <n v="629"/>
    <s v="Jackson, Martinez and Ray"/>
    <s v="Multi-tiered executive toolset"/>
    <n v="85900"/>
    <n v="55476"/>
    <n v="0.64582072176949945"/>
    <x v="0"/>
    <n v="750"/>
    <n v="73.968000000000004"/>
    <x v="1"/>
    <s v="USD"/>
    <n v="1467781200"/>
    <n v="1467954000"/>
    <x v="579"/>
    <d v="2016-07-08T05:00:00"/>
    <s v="Wed"/>
    <x v="1"/>
    <b v="0"/>
    <b v="1"/>
    <s v="theater/plays"/>
    <x v="3"/>
    <x v="3"/>
  </r>
  <r>
    <n v="630"/>
    <s v="Patterson-Johnson"/>
    <s v="Grass-roots directional workforce"/>
    <n v="9500"/>
    <n v="5973"/>
    <n v="0.62873684210526315"/>
    <x v="3"/>
    <n v="87"/>
    <n v="68.65517241379311"/>
    <x v="1"/>
    <s v="USD"/>
    <n v="1556686800"/>
    <n v="1557637200"/>
    <x v="580"/>
    <d v="2019-05-12T05:00:00"/>
    <s v="Wed"/>
    <x v="4"/>
    <b v="0"/>
    <b v="1"/>
    <s v="theater/plays"/>
    <x v="3"/>
    <x v="3"/>
  </r>
  <r>
    <n v="631"/>
    <s v="Carlson-Hernandez"/>
    <s v="Quality-focused real-time solution"/>
    <n v="59200"/>
    <n v="183756"/>
    <n v="3.1039864864864866"/>
    <x v="1"/>
    <n v="3063"/>
    <n v="59.992164544564154"/>
    <x v="1"/>
    <s v="USD"/>
    <n v="1553576400"/>
    <n v="1553922000"/>
    <x v="581"/>
    <d v="2019-03-30T05:00:00"/>
    <s v="Tue"/>
    <x v="3"/>
    <b v="0"/>
    <b v="0"/>
    <s v="theater/plays"/>
    <x v="3"/>
    <x v="3"/>
  </r>
  <r>
    <n v="632"/>
    <s v="Parker PLC"/>
    <s v="Reduced interactive matrix"/>
    <n v="72100"/>
    <n v="30902"/>
    <n v="0.42859916782246882"/>
    <x v="2"/>
    <n v="278"/>
    <n v="111.15827338129496"/>
    <x v="1"/>
    <s v="USD"/>
    <n v="1414904400"/>
    <n v="1416463200"/>
    <x v="582"/>
    <d v="2014-11-20T06:00:00"/>
    <s v="Sun"/>
    <x v="42"/>
    <b v="0"/>
    <b v="0"/>
    <s v="theater/plays"/>
    <x v="3"/>
    <x v="3"/>
  </r>
  <r>
    <n v="633"/>
    <s v="Yu and Sons"/>
    <s v="Adaptive context-sensitive architecture"/>
    <n v="6700"/>
    <n v="5569"/>
    <n v="0.83119402985074631"/>
    <x v="0"/>
    <n v="105"/>
    <n v="53.038095238095238"/>
    <x v="1"/>
    <s v="USD"/>
    <n v="1446876000"/>
    <n v="1447221600"/>
    <x v="336"/>
    <d v="2015-11-11T06:00:00"/>
    <s v="Sat"/>
    <x v="3"/>
    <b v="0"/>
    <b v="0"/>
    <s v="film &amp; video/animation"/>
    <x v="4"/>
    <x v="10"/>
  </r>
  <r>
    <n v="634"/>
    <s v="Taylor, Johnson and Hernandez"/>
    <s v="Polarized incremental portal"/>
    <n v="118200"/>
    <n v="92824"/>
    <n v="0.78531302876480547"/>
    <x v="3"/>
    <n v="1658"/>
    <n v="55.985524728588658"/>
    <x v="1"/>
    <s v="USD"/>
    <n v="1490418000"/>
    <n v="1491627600"/>
    <x v="583"/>
    <d v="2017-04-08T05:00:00"/>
    <s v="Sat"/>
    <x v="26"/>
    <b v="0"/>
    <b v="0"/>
    <s v="film &amp; video/television"/>
    <x v="4"/>
    <x v="19"/>
  </r>
  <r>
    <n v="635"/>
    <s v="Mack Ltd"/>
    <s v="Reactive regional access"/>
    <n v="139000"/>
    <n v="158590"/>
    <n v="1.1409352517985611"/>
    <x v="1"/>
    <n v="2266"/>
    <n v="69.986760812003524"/>
    <x v="1"/>
    <s v="USD"/>
    <n v="1360389600"/>
    <n v="1363150800"/>
    <x v="584"/>
    <d v="2013-03-13T05:00:00"/>
    <s v="Sat"/>
    <x v="48"/>
    <b v="0"/>
    <b v="0"/>
    <s v="film &amp; video/television"/>
    <x v="4"/>
    <x v="19"/>
  </r>
  <r>
    <n v="636"/>
    <s v="Lamb-Sanders"/>
    <s v="Stand-alone reciprocal frame"/>
    <n v="197700"/>
    <n v="127591"/>
    <n v="0.64537683358624176"/>
    <x v="0"/>
    <n v="2604"/>
    <n v="48.998079877112133"/>
    <x v="3"/>
    <s v="DKK"/>
    <n v="1326866400"/>
    <n v="1330754400"/>
    <x v="585"/>
    <d v="2012-03-03T06:00:00"/>
    <s v="Wed"/>
    <x v="32"/>
    <b v="0"/>
    <b v="1"/>
    <s v="film &amp; video/animation"/>
    <x v="4"/>
    <x v="10"/>
  </r>
  <r>
    <n v="637"/>
    <s v="Williams-Ramirez"/>
    <s v="Open-architected 24/7 throughput"/>
    <n v="8500"/>
    <n v="6750"/>
    <n v="0.79411764705882348"/>
    <x v="0"/>
    <n v="65"/>
    <n v="103.84615384615384"/>
    <x v="1"/>
    <s v="USD"/>
    <n v="1479103200"/>
    <n v="1479794400"/>
    <x v="586"/>
    <d v="2016-11-22T06:00:00"/>
    <s v="Mon"/>
    <x v="9"/>
    <b v="0"/>
    <b v="0"/>
    <s v="theater/plays"/>
    <x v="3"/>
    <x v="3"/>
  </r>
  <r>
    <n v="638"/>
    <s v="Weaver Ltd"/>
    <s v="Monitored 24/7 approach"/>
    <n v="81600"/>
    <n v="9318"/>
    <n v="0.11419117647058824"/>
    <x v="0"/>
    <n v="94"/>
    <n v="99.127659574468083"/>
    <x v="1"/>
    <s v="USD"/>
    <n v="1280206800"/>
    <n v="1281243600"/>
    <x v="587"/>
    <d v="2010-08-08T05:00:00"/>
    <s v="Tue"/>
    <x v="10"/>
    <b v="0"/>
    <b v="1"/>
    <s v="theater/plays"/>
    <x v="3"/>
    <x v="3"/>
  </r>
  <r>
    <n v="639"/>
    <s v="Barnes-Williams"/>
    <s v="Upgradable explicit forecast"/>
    <n v="8600"/>
    <n v="4832"/>
    <n v="0.56186046511627907"/>
    <x v="2"/>
    <n v="45"/>
    <n v="107.37777777777778"/>
    <x v="1"/>
    <s v="USD"/>
    <n v="1532754000"/>
    <n v="1532754000"/>
    <x v="588"/>
    <d v="2018-07-28T05:00:00"/>
    <s v="Sat"/>
    <x v="14"/>
    <b v="0"/>
    <b v="1"/>
    <s v="film &amp; video/drama"/>
    <x v="4"/>
    <x v="6"/>
  </r>
  <r>
    <n v="640"/>
    <s v="Richardson, Woodward and Hansen"/>
    <s v="Pre-emptive context-sensitive support"/>
    <n v="119800"/>
    <n v="19769"/>
    <n v="0.16501669449081802"/>
    <x v="0"/>
    <n v="257"/>
    <n v="76.922178988326849"/>
    <x v="1"/>
    <s v="USD"/>
    <n v="1453096800"/>
    <n v="1453356000"/>
    <x v="589"/>
    <d v="2016-01-21T06:00:00"/>
    <s v="Mon"/>
    <x v="36"/>
    <b v="0"/>
    <b v="0"/>
    <s v="theater/plays"/>
    <x v="3"/>
    <x v="3"/>
  </r>
  <r>
    <n v="641"/>
    <s v="Hunt, Barker and Baker"/>
    <s v="Business-focused leadingedge instruction set"/>
    <n v="9400"/>
    <n v="11277"/>
    <n v="1.1996808510638297"/>
    <x v="1"/>
    <n v="194"/>
    <n v="58.128865979381445"/>
    <x v="5"/>
    <s v="CHF"/>
    <n v="1487570400"/>
    <n v="1489986000"/>
    <x v="590"/>
    <d v="2017-03-20T05:00:00"/>
    <s v="Mon"/>
    <x v="21"/>
    <b v="0"/>
    <b v="0"/>
    <s v="theater/plays"/>
    <x v="3"/>
    <x v="3"/>
  </r>
  <r>
    <n v="642"/>
    <s v="Ramos, Moreno and Lewis"/>
    <s v="Extended multi-state knowledge user"/>
    <n v="9200"/>
    <n v="13382"/>
    <n v="1.4545652173913044"/>
    <x v="1"/>
    <n v="129"/>
    <n v="103.73643410852713"/>
    <x v="0"/>
    <s v="CAD"/>
    <n v="1545026400"/>
    <n v="1545804000"/>
    <x v="591"/>
    <d v="2018-12-26T06:00:00"/>
    <s v="Mon"/>
    <x v="29"/>
    <b v="0"/>
    <b v="0"/>
    <s v="technology/wearables"/>
    <x v="2"/>
    <x v="8"/>
  </r>
  <r>
    <n v="643"/>
    <s v="Harris Inc"/>
    <s v="Future-proofed modular groupware"/>
    <n v="14900"/>
    <n v="32986"/>
    <n v="2.2138255033557046"/>
    <x v="1"/>
    <n v="375"/>
    <n v="87.962666666666664"/>
    <x v="1"/>
    <s v="USD"/>
    <n v="1488348000"/>
    <n v="1489899600"/>
    <x v="592"/>
    <d v="2017-03-19T05:00:00"/>
    <s v="Wed"/>
    <x v="42"/>
    <b v="0"/>
    <b v="0"/>
    <s v="theater/plays"/>
    <x v="3"/>
    <x v="3"/>
  </r>
  <r>
    <n v="644"/>
    <s v="Peters-Nelson"/>
    <s v="Distributed real-time algorithm"/>
    <n v="169400"/>
    <n v="81984"/>
    <n v="0.48396694214876035"/>
    <x v="0"/>
    <n v="2928"/>
    <n v="28"/>
    <x v="0"/>
    <s v="CAD"/>
    <n v="1545112800"/>
    <n v="1546495200"/>
    <x v="593"/>
    <d v="2019-01-03T06:00:00"/>
    <s v="Tue"/>
    <x v="30"/>
    <b v="0"/>
    <b v="0"/>
    <s v="theater/plays"/>
    <x v="3"/>
    <x v="3"/>
  </r>
  <r>
    <n v="645"/>
    <s v="Ferguson, Murphy and Bright"/>
    <s v="Multi-lateral heuristic throughput"/>
    <n v="192100"/>
    <n v="178483"/>
    <n v="0.92911504424778757"/>
    <x v="0"/>
    <n v="4697"/>
    <n v="37.999361294443261"/>
    <x v="1"/>
    <s v="USD"/>
    <n v="1537938000"/>
    <n v="1539752400"/>
    <x v="594"/>
    <d v="2018-10-17T05:00:00"/>
    <s v="Wed"/>
    <x v="13"/>
    <b v="0"/>
    <b v="1"/>
    <s v="music/rock"/>
    <x v="1"/>
    <x v="1"/>
  </r>
  <r>
    <n v="646"/>
    <s v="Robinson Group"/>
    <s v="Switchable reciprocal middleware"/>
    <n v="98700"/>
    <n v="87448"/>
    <n v="0.88599797365754818"/>
    <x v="0"/>
    <n v="2915"/>
    <n v="29.999313893653515"/>
    <x v="1"/>
    <s v="USD"/>
    <n v="1363150800"/>
    <n v="1364101200"/>
    <x v="595"/>
    <d v="2013-03-24T05:00:00"/>
    <s v="Wed"/>
    <x v="4"/>
    <b v="0"/>
    <b v="0"/>
    <s v="games/video games"/>
    <x v="6"/>
    <x v="11"/>
  </r>
  <r>
    <n v="647"/>
    <s v="Jordan-Wolfe"/>
    <s v="Inverse multimedia Graphic Interface"/>
    <n v="4500"/>
    <n v="1863"/>
    <n v="0.41399999999999998"/>
    <x v="0"/>
    <n v="18"/>
    <n v="103.5"/>
    <x v="1"/>
    <s v="USD"/>
    <n v="1523250000"/>
    <n v="1525323600"/>
    <x v="596"/>
    <d v="2018-05-03T05:00:00"/>
    <s v="Mon"/>
    <x v="47"/>
    <b v="0"/>
    <b v="0"/>
    <s v="publishing/translations"/>
    <x v="5"/>
    <x v="18"/>
  </r>
  <r>
    <n v="648"/>
    <s v="Vargas-Cox"/>
    <s v="Vision-oriented local contingency"/>
    <n v="98600"/>
    <n v="62174"/>
    <n v="0.63056795131845844"/>
    <x v="3"/>
    <n v="723"/>
    <n v="85.994467496542185"/>
    <x v="1"/>
    <s v="USD"/>
    <n v="1499317200"/>
    <n v="1500872400"/>
    <x v="597"/>
    <d v="2017-07-24T05:00:00"/>
    <s v="Thu"/>
    <x v="42"/>
    <b v="1"/>
    <b v="0"/>
    <s v="food/food trucks"/>
    <x v="0"/>
    <x v="0"/>
  </r>
  <r>
    <n v="649"/>
    <s v="Yang and Sons"/>
    <s v="Reactive 6thgeneration hub"/>
    <n v="121700"/>
    <n v="59003"/>
    <n v="0.48482333607230893"/>
    <x v="0"/>
    <n v="602"/>
    <n v="98.011627906976742"/>
    <x v="5"/>
    <s v="CHF"/>
    <n v="1287550800"/>
    <n v="1288501200"/>
    <x v="598"/>
    <d v="2010-10-31T05:00:00"/>
    <s v="Wed"/>
    <x v="4"/>
    <b v="1"/>
    <b v="1"/>
    <s v="theater/plays"/>
    <x v="3"/>
    <x v="3"/>
  </r>
  <r>
    <n v="650"/>
    <s v="Wilson, Wilson and Mathis"/>
    <s v="Optional asymmetric success"/>
    <n v="100"/>
    <n v="2"/>
    <n v="0.02"/>
    <x v="0"/>
    <n v="1"/>
    <n v="2"/>
    <x v="1"/>
    <s v="USD"/>
    <n v="1404795600"/>
    <n v="1407128400"/>
    <x v="599"/>
    <d v="2014-08-04T05:00:00"/>
    <s v="Tue"/>
    <x v="11"/>
    <b v="0"/>
    <b v="0"/>
    <s v="music/jazz"/>
    <x v="1"/>
    <x v="17"/>
  </r>
  <r>
    <n v="651"/>
    <s v="Wang, Koch and Weaver"/>
    <s v="Digitized analyzing capacity"/>
    <n v="196700"/>
    <n v="174039"/>
    <n v="0.88479410269445857"/>
    <x v="0"/>
    <n v="3868"/>
    <n v="44.994570837642193"/>
    <x v="6"/>
    <s v="EUR"/>
    <n v="1393048800"/>
    <n v="1394344800"/>
    <x v="600"/>
    <d v="2014-03-09T06:00:00"/>
    <s v="Sat"/>
    <x v="16"/>
    <b v="0"/>
    <b v="0"/>
    <s v="film &amp; video/shorts"/>
    <x v="4"/>
    <x v="12"/>
  </r>
  <r>
    <n v="652"/>
    <s v="Cisneros Ltd"/>
    <s v="Vision-oriented regional hub"/>
    <n v="10000"/>
    <n v="12684"/>
    <n v="1.2684"/>
    <x v="1"/>
    <n v="409"/>
    <n v="31.012224938875306"/>
    <x v="1"/>
    <s v="USD"/>
    <n v="1470373200"/>
    <n v="1474088400"/>
    <x v="601"/>
    <d v="2016-09-17T05:00:00"/>
    <s v="Fri"/>
    <x v="58"/>
    <b v="0"/>
    <b v="0"/>
    <s v="technology/web"/>
    <x v="2"/>
    <x v="2"/>
  </r>
  <r>
    <n v="653"/>
    <s v="Williams-Jones"/>
    <s v="Monitored incremental info-mediaries"/>
    <n v="600"/>
    <n v="14033"/>
    <n v="23.388333333333332"/>
    <x v="1"/>
    <n v="234"/>
    <n v="59.970085470085472"/>
    <x v="1"/>
    <s v="USD"/>
    <n v="1460091600"/>
    <n v="1460264400"/>
    <x v="602"/>
    <d v="2016-04-10T05:00:00"/>
    <s v="Fri"/>
    <x v="1"/>
    <b v="0"/>
    <b v="0"/>
    <s v="technology/web"/>
    <x v="2"/>
    <x v="2"/>
  </r>
  <r>
    <n v="654"/>
    <s v="Roberts, Hinton and Williams"/>
    <s v="Programmable static middleware"/>
    <n v="35000"/>
    <n v="177936"/>
    <n v="5.0838857142857146"/>
    <x v="1"/>
    <n v="3016"/>
    <n v="58.9973474801061"/>
    <x v="1"/>
    <s v="USD"/>
    <n v="1440392400"/>
    <n v="1440824400"/>
    <x v="335"/>
    <d v="2015-08-29T05:00:00"/>
    <s v="Mon"/>
    <x v="20"/>
    <b v="0"/>
    <b v="0"/>
    <s v="music/metal"/>
    <x v="1"/>
    <x v="16"/>
  </r>
  <r>
    <n v="655"/>
    <s v="Gonzalez, Williams and Benson"/>
    <s v="Multi-layered bottom-line encryption"/>
    <n v="6900"/>
    <n v="13212"/>
    <n v="1.9147826086956521"/>
    <x v="1"/>
    <n v="264"/>
    <n v="50.045454545454547"/>
    <x v="1"/>
    <s v="USD"/>
    <n v="1488434400"/>
    <n v="1489554000"/>
    <x v="603"/>
    <d v="2017-03-15T05:00:00"/>
    <s v="Thu"/>
    <x v="35"/>
    <b v="1"/>
    <b v="0"/>
    <s v="photography/photography books"/>
    <x v="7"/>
    <x v="14"/>
  </r>
  <r>
    <n v="656"/>
    <s v="Hobbs, Brown and Lee"/>
    <s v="Vision-oriented systematic Graphical User Interface"/>
    <n v="118400"/>
    <n v="49879"/>
    <n v="0.42127533783783783"/>
    <x v="0"/>
    <n v="504"/>
    <n v="98.966269841269835"/>
    <x v="2"/>
    <s v="AUD"/>
    <n v="1514440800"/>
    <n v="1514872800"/>
    <x v="604"/>
    <d v="2018-01-02T06:00:00"/>
    <s v="Thu"/>
    <x v="20"/>
    <b v="0"/>
    <b v="0"/>
    <s v="food/food trucks"/>
    <x v="0"/>
    <x v="0"/>
  </r>
  <r>
    <n v="657"/>
    <s v="Russo, Kim and Mccoy"/>
    <s v="Balanced optimal hardware"/>
    <n v="10000"/>
    <n v="824"/>
    <n v="8.2400000000000001E-2"/>
    <x v="0"/>
    <n v="14"/>
    <n v="58.857142857142854"/>
    <x v="1"/>
    <s v="USD"/>
    <n v="1514354400"/>
    <n v="1515736800"/>
    <x v="605"/>
    <d v="2018-01-12T06:00:00"/>
    <s v="Wed"/>
    <x v="30"/>
    <b v="0"/>
    <b v="0"/>
    <s v="film &amp; video/science fiction"/>
    <x v="4"/>
    <x v="22"/>
  </r>
  <r>
    <n v="658"/>
    <s v="Howell, Myers and Olson"/>
    <s v="Self-enabling mission-critical success"/>
    <n v="52600"/>
    <n v="31594"/>
    <n v="0.60064638783269964"/>
    <x v="3"/>
    <n v="390"/>
    <n v="81.010256410256417"/>
    <x v="1"/>
    <s v="USD"/>
    <n v="1440910800"/>
    <n v="1442898000"/>
    <x v="606"/>
    <d v="2015-09-22T05:00:00"/>
    <s v="Sun"/>
    <x v="19"/>
    <b v="0"/>
    <b v="0"/>
    <s v="music/rock"/>
    <x v="1"/>
    <x v="1"/>
  </r>
  <r>
    <n v="659"/>
    <s v="Bailey and Sons"/>
    <s v="Grass-roots dynamic emulation"/>
    <n v="120700"/>
    <n v="57010"/>
    <n v="0.47232808616404309"/>
    <x v="0"/>
    <n v="750"/>
    <n v="76.013333333333335"/>
    <x v="4"/>
    <s v="GBP"/>
    <n v="1296108000"/>
    <n v="1296194400"/>
    <x v="65"/>
    <d v="2011-01-28T06:00:00"/>
    <s v="Thu"/>
    <x v="5"/>
    <b v="0"/>
    <b v="0"/>
    <s v="film &amp; video/documentary"/>
    <x v="4"/>
    <x v="4"/>
  </r>
  <r>
    <n v="660"/>
    <s v="Jensen-Brown"/>
    <s v="Fundamental disintermediate matrix"/>
    <n v="9100"/>
    <n v="7438"/>
    <n v="0.81736263736263737"/>
    <x v="0"/>
    <n v="77"/>
    <n v="96.597402597402592"/>
    <x v="1"/>
    <s v="USD"/>
    <n v="1440133200"/>
    <n v="1440910800"/>
    <x v="607"/>
    <d v="2015-08-30T05:00:00"/>
    <s v="Fri"/>
    <x v="29"/>
    <b v="1"/>
    <b v="0"/>
    <s v="theater/plays"/>
    <x v="3"/>
    <x v="3"/>
  </r>
  <r>
    <n v="661"/>
    <s v="Smith Group"/>
    <s v="Right-sized secondary challenge"/>
    <n v="106800"/>
    <n v="57872"/>
    <n v="0.54187265917603"/>
    <x v="0"/>
    <n v="752"/>
    <n v="76.957446808510639"/>
    <x v="3"/>
    <s v="DKK"/>
    <n v="1332910800"/>
    <n v="1335502800"/>
    <x v="608"/>
    <d v="2012-04-27T05:00:00"/>
    <s v="Wed"/>
    <x v="31"/>
    <b v="0"/>
    <b v="0"/>
    <s v="music/jazz"/>
    <x v="1"/>
    <x v="17"/>
  </r>
  <r>
    <n v="662"/>
    <s v="Murphy-Farrell"/>
    <s v="Implemented exuding software"/>
    <n v="9100"/>
    <n v="8906"/>
    <n v="0.97868131868131869"/>
    <x v="0"/>
    <n v="131"/>
    <n v="67.984732824427482"/>
    <x v="1"/>
    <s v="USD"/>
    <n v="1544335200"/>
    <n v="1544680800"/>
    <x v="609"/>
    <d v="2018-12-13T06:00:00"/>
    <s v="Sun"/>
    <x v="3"/>
    <b v="0"/>
    <b v="0"/>
    <s v="theater/plays"/>
    <x v="3"/>
    <x v="3"/>
  </r>
  <r>
    <n v="663"/>
    <s v="Everett-Wolfe"/>
    <s v="Total optimizing software"/>
    <n v="10000"/>
    <n v="7724"/>
    <n v="0.77239999999999998"/>
    <x v="0"/>
    <n v="87"/>
    <n v="88.781609195402297"/>
    <x v="1"/>
    <s v="USD"/>
    <n v="1286427600"/>
    <n v="1288414800"/>
    <x v="610"/>
    <d v="2010-10-30T05:00:00"/>
    <s v="Thu"/>
    <x v="19"/>
    <b v="0"/>
    <b v="0"/>
    <s v="theater/plays"/>
    <x v="3"/>
    <x v="3"/>
  </r>
  <r>
    <n v="664"/>
    <s v="Young PLC"/>
    <s v="Optional maximized attitude"/>
    <n v="79400"/>
    <n v="26571"/>
    <n v="0.33464735516372796"/>
    <x v="0"/>
    <n v="1063"/>
    <n v="24.99623706491063"/>
    <x v="1"/>
    <s v="USD"/>
    <n v="1329717600"/>
    <n v="1330581600"/>
    <x v="541"/>
    <d v="2012-03-01T06:00:00"/>
    <s v="Mon"/>
    <x v="39"/>
    <b v="0"/>
    <b v="0"/>
    <s v="music/jazz"/>
    <x v="1"/>
    <x v="17"/>
  </r>
  <r>
    <n v="665"/>
    <s v="Park-Goodman"/>
    <s v="Customer-focused impactful extranet"/>
    <n v="5100"/>
    <n v="12219"/>
    <n v="2.3958823529411766"/>
    <x v="1"/>
    <n v="272"/>
    <n v="44.922794117647058"/>
    <x v="1"/>
    <s v="USD"/>
    <n v="1310187600"/>
    <n v="1311397200"/>
    <x v="611"/>
    <d v="2011-07-23T05:00:00"/>
    <s v="Sat"/>
    <x v="26"/>
    <b v="0"/>
    <b v="1"/>
    <s v="film &amp; video/documentary"/>
    <x v="4"/>
    <x v="4"/>
  </r>
  <r>
    <n v="666"/>
    <s v="York, Barr and Grant"/>
    <s v="Cloned bottom-line success"/>
    <n v="3100"/>
    <n v="1985"/>
    <n v="0.64032258064516134"/>
    <x v="3"/>
    <n v="25"/>
    <n v="79.400000000000006"/>
    <x v="1"/>
    <s v="USD"/>
    <n v="1377838800"/>
    <n v="1378357200"/>
    <x v="612"/>
    <d v="2013-09-05T05:00:00"/>
    <s v="Fri"/>
    <x v="8"/>
    <b v="0"/>
    <b v="1"/>
    <s v="theater/plays"/>
    <x v="3"/>
    <x v="3"/>
  </r>
  <r>
    <n v="667"/>
    <s v="Little Ltd"/>
    <s v="Decentralized bandwidth-monitored ability"/>
    <n v="6900"/>
    <n v="12155"/>
    <n v="1.7615942028985507"/>
    <x v="1"/>
    <n v="419"/>
    <n v="29.009546539379475"/>
    <x v="1"/>
    <s v="USD"/>
    <n v="1410325200"/>
    <n v="1411102800"/>
    <x v="613"/>
    <d v="2014-09-19T05:00:00"/>
    <s v="Wed"/>
    <x v="29"/>
    <b v="0"/>
    <b v="0"/>
    <s v="journalism/audio"/>
    <x v="8"/>
    <x v="23"/>
  </r>
  <r>
    <n v="668"/>
    <s v="Brown and Sons"/>
    <s v="Programmable leadingedge budgetary management"/>
    <n v="27500"/>
    <n v="5593"/>
    <n v="0.20338181818181819"/>
    <x v="0"/>
    <n v="76"/>
    <n v="73.59210526315789"/>
    <x v="1"/>
    <s v="USD"/>
    <n v="1343797200"/>
    <n v="1344834000"/>
    <x v="614"/>
    <d v="2012-08-13T05:00:00"/>
    <s v="Wed"/>
    <x v="10"/>
    <b v="0"/>
    <b v="0"/>
    <s v="theater/plays"/>
    <x v="3"/>
    <x v="3"/>
  </r>
  <r>
    <n v="669"/>
    <s v="Payne, Garrett and Thomas"/>
    <s v="Upgradable bi-directional concept"/>
    <n v="48800"/>
    <n v="175020"/>
    <n v="3.5864754098360656"/>
    <x v="1"/>
    <n v="1621"/>
    <n v="107.97038864898211"/>
    <x v="6"/>
    <s v="EUR"/>
    <n v="1498453200"/>
    <n v="1499230800"/>
    <x v="615"/>
    <d v="2017-07-05T05:00:00"/>
    <s v="Mon"/>
    <x v="29"/>
    <b v="0"/>
    <b v="0"/>
    <s v="theater/plays"/>
    <x v="3"/>
    <x v="3"/>
  </r>
  <r>
    <n v="670"/>
    <s v="Robinson Group"/>
    <s v="Re-contextualized homogeneous flexibility"/>
    <n v="16200"/>
    <n v="75955"/>
    <n v="4.6885802469135802"/>
    <x v="1"/>
    <n v="1101"/>
    <n v="68.987284287011803"/>
    <x v="1"/>
    <s v="USD"/>
    <n v="1456380000"/>
    <n v="1457416800"/>
    <x v="90"/>
    <d v="2016-03-08T06:00:00"/>
    <s v="Thu"/>
    <x v="10"/>
    <b v="0"/>
    <b v="0"/>
    <s v="music/indie rock"/>
    <x v="1"/>
    <x v="7"/>
  </r>
  <r>
    <n v="671"/>
    <s v="Robinson-Kelly"/>
    <s v="Monitored bi-directional standardization"/>
    <n v="97600"/>
    <n v="119127"/>
    <n v="1.220563524590164"/>
    <x v="1"/>
    <n v="1073"/>
    <n v="111.02236719478098"/>
    <x v="1"/>
    <s v="USD"/>
    <n v="1280552400"/>
    <n v="1280898000"/>
    <x v="616"/>
    <d v="2010-08-04T05:00:00"/>
    <s v="Sat"/>
    <x v="3"/>
    <b v="0"/>
    <b v="1"/>
    <s v="theater/plays"/>
    <x v="3"/>
    <x v="3"/>
  </r>
  <r>
    <n v="672"/>
    <s v="Kelly-Colon"/>
    <s v="Stand-alone grid-enabled leverage"/>
    <n v="197900"/>
    <n v="110689"/>
    <n v="0.55931783729156137"/>
    <x v="0"/>
    <n v="4428"/>
    <n v="24.997515808491418"/>
    <x v="2"/>
    <s v="AUD"/>
    <n v="1521608400"/>
    <n v="1522472400"/>
    <x v="617"/>
    <d v="2018-03-31T05:00:00"/>
    <s v="Wed"/>
    <x v="39"/>
    <b v="0"/>
    <b v="0"/>
    <s v="theater/plays"/>
    <x v="3"/>
    <x v="3"/>
  </r>
  <r>
    <n v="673"/>
    <s v="Turner, Scott and Gentry"/>
    <s v="Assimilated regional groupware"/>
    <n v="5600"/>
    <n v="2445"/>
    <n v="0.43660714285714286"/>
    <x v="0"/>
    <n v="58"/>
    <n v="42.155172413793103"/>
    <x v="6"/>
    <s v="EUR"/>
    <n v="1460696400"/>
    <n v="1462510800"/>
    <x v="618"/>
    <d v="2016-05-06T05:00:00"/>
    <s v="Fri"/>
    <x v="13"/>
    <b v="0"/>
    <b v="0"/>
    <s v="music/indie rock"/>
    <x v="1"/>
    <x v="7"/>
  </r>
  <r>
    <n v="674"/>
    <s v="Sanchez Ltd"/>
    <s v="Up-sized 24hour instruction set"/>
    <n v="170700"/>
    <n v="57250"/>
    <n v="0.33538371411833628"/>
    <x v="3"/>
    <n v="1218"/>
    <n v="47.003284072249592"/>
    <x v="1"/>
    <s v="USD"/>
    <n v="1313730000"/>
    <n v="1317790800"/>
    <x v="619"/>
    <d v="2011-10-05T05:00:00"/>
    <s v="Fri"/>
    <x v="37"/>
    <b v="0"/>
    <b v="0"/>
    <s v="photography/photography books"/>
    <x v="7"/>
    <x v="14"/>
  </r>
  <r>
    <n v="675"/>
    <s v="Giles-Smith"/>
    <s v="Right-sized web-enabled intranet"/>
    <n v="9700"/>
    <n v="11929"/>
    <n v="1.2297938144329896"/>
    <x v="1"/>
    <n v="331"/>
    <n v="36.0392749244713"/>
    <x v="1"/>
    <s v="USD"/>
    <n v="1568178000"/>
    <n v="1568782800"/>
    <x v="620"/>
    <d v="2019-09-18T05:00:00"/>
    <s v="Wed"/>
    <x v="34"/>
    <b v="0"/>
    <b v="0"/>
    <s v="journalism/audio"/>
    <x v="8"/>
    <x v="23"/>
  </r>
  <r>
    <n v="676"/>
    <s v="Thompson-Moreno"/>
    <s v="Expanded needs-based orchestration"/>
    <n v="62300"/>
    <n v="118214"/>
    <n v="1.8974959871589085"/>
    <x v="1"/>
    <n v="1170"/>
    <n v="101.03760683760684"/>
    <x v="1"/>
    <s v="USD"/>
    <n v="1348635600"/>
    <n v="1349413200"/>
    <x v="621"/>
    <d v="2012-10-05T05:00:00"/>
    <s v="Wed"/>
    <x v="29"/>
    <b v="0"/>
    <b v="0"/>
    <s v="photography/photography books"/>
    <x v="7"/>
    <x v="14"/>
  </r>
  <r>
    <n v="677"/>
    <s v="Murphy-Fox"/>
    <s v="Organic system-worthy orchestration"/>
    <n v="5300"/>
    <n v="4432"/>
    <n v="0.83622641509433959"/>
    <x v="0"/>
    <n v="111"/>
    <n v="39.927927927927925"/>
    <x v="1"/>
    <s v="USD"/>
    <n v="1468126800"/>
    <n v="1472446800"/>
    <x v="622"/>
    <d v="2016-08-29T05:00:00"/>
    <s v="Sun"/>
    <x v="57"/>
    <b v="0"/>
    <b v="0"/>
    <s v="publishing/fiction"/>
    <x v="5"/>
    <x v="13"/>
  </r>
  <r>
    <n v="678"/>
    <s v="Rodriguez-Patterson"/>
    <s v="Inverse static standardization"/>
    <n v="99500"/>
    <n v="17879"/>
    <n v="0.17968844221105529"/>
    <x v="3"/>
    <n v="215"/>
    <n v="83.158139534883716"/>
    <x v="1"/>
    <s v="USD"/>
    <n v="1547877600"/>
    <n v="1548050400"/>
    <x v="35"/>
    <d v="2019-01-21T06:00:00"/>
    <s v="Sat"/>
    <x v="1"/>
    <b v="0"/>
    <b v="0"/>
    <s v="film &amp; video/drama"/>
    <x v="4"/>
    <x v="6"/>
  </r>
  <r>
    <n v="679"/>
    <s v="Davis Ltd"/>
    <s v="Synchronized motivating solution"/>
    <n v="1400"/>
    <n v="14511"/>
    <n v="10.365"/>
    <x v="1"/>
    <n v="363"/>
    <n v="39.97520661157025"/>
    <x v="1"/>
    <s v="USD"/>
    <n v="1571374800"/>
    <n v="1571806800"/>
    <x v="623"/>
    <d v="2019-10-23T05:00:00"/>
    <s v="Fri"/>
    <x v="20"/>
    <b v="0"/>
    <b v="1"/>
    <s v="food/food trucks"/>
    <x v="0"/>
    <x v="0"/>
  </r>
  <r>
    <n v="680"/>
    <s v="Nelson-Valdez"/>
    <s v="Open-source 4thgeneration open system"/>
    <n v="145600"/>
    <n v="141822"/>
    <n v="0.97405219780219776"/>
    <x v="0"/>
    <n v="2955"/>
    <n v="47.993908629441627"/>
    <x v="1"/>
    <s v="USD"/>
    <n v="1576303200"/>
    <n v="1576476000"/>
    <x v="624"/>
    <d v="2019-12-16T06:00:00"/>
    <s v="Sat"/>
    <x v="1"/>
    <b v="0"/>
    <b v="1"/>
    <s v="games/mobile games"/>
    <x v="6"/>
    <x v="20"/>
  </r>
  <r>
    <n v="681"/>
    <s v="Kelly PLC"/>
    <s v="Decentralized context-sensitive superstructure"/>
    <n v="184100"/>
    <n v="159037"/>
    <n v="0.86386203150461705"/>
    <x v="0"/>
    <n v="1657"/>
    <n v="95.978877489438744"/>
    <x v="1"/>
    <s v="USD"/>
    <n v="1324447200"/>
    <n v="1324965600"/>
    <x v="625"/>
    <d v="2011-12-27T06:00:00"/>
    <s v="Wed"/>
    <x v="8"/>
    <b v="0"/>
    <b v="0"/>
    <s v="theater/plays"/>
    <x v="3"/>
    <x v="3"/>
  </r>
  <r>
    <n v="682"/>
    <s v="Nguyen and Sons"/>
    <s v="Compatible 5thgeneration concept"/>
    <n v="5400"/>
    <n v="8109"/>
    <n v="1.5016666666666667"/>
    <x v="1"/>
    <n v="103"/>
    <n v="78.728155339805824"/>
    <x v="1"/>
    <s v="USD"/>
    <n v="1386741600"/>
    <n v="1387519200"/>
    <x v="626"/>
    <d v="2013-12-20T06:00:00"/>
    <s v="Wed"/>
    <x v="29"/>
    <b v="0"/>
    <b v="0"/>
    <s v="theater/plays"/>
    <x v="3"/>
    <x v="3"/>
  </r>
  <r>
    <n v="683"/>
    <s v="Jones PLC"/>
    <s v="Virtual systemic intranet"/>
    <n v="2300"/>
    <n v="8244"/>
    <n v="3.5843478260869563"/>
    <x v="1"/>
    <n v="147"/>
    <n v="56.081632653061227"/>
    <x v="1"/>
    <s v="USD"/>
    <n v="1537074000"/>
    <n v="1537246800"/>
    <x v="627"/>
    <d v="2018-09-18T05:00:00"/>
    <s v="Sun"/>
    <x v="1"/>
    <b v="0"/>
    <b v="0"/>
    <s v="theater/plays"/>
    <x v="3"/>
    <x v="3"/>
  </r>
  <r>
    <n v="684"/>
    <s v="Gilmore LLC"/>
    <s v="Optimized systemic algorithm"/>
    <n v="1400"/>
    <n v="7600"/>
    <n v="5.4285714285714288"/>
    <x v="1"/>
    <n v="110"/>
    <n v="69.090909090909093"/>
    <x v="0"/>
    <s v="CAD"/>
    <n v="1277787600"/>
    <n v="1279515600"/>
    <x v="628"/>
    <d v="2010-07-19T05:00:00"/>
    <s v="Tue"/>
    <x v="18"/>
    <b v="0"/>
    <b v="0"/>
    <s v="publishing/nonfiction"/>
    <x v="5"/>
    <x v="9"/>
  </r>
  <r>
    <n v="685"/>
    <s v="Lee-Cobb"/>
    <s v="Customizable homogeneous firmware"/>
    <n v="140000"/>
    <n v="94501"/>
    <n v="0.67500714285714281"/>
    <x v="0"/>
    <n v="926"/>
    <n v="102.05291576673866"/>
    <x v="0"/>
    <s v="CAD"/>
    <n v="1440306000"/>
    <n v="1442379600"/>
    <x v="629"/>
    <d v="2015-09-16T05:00:00"/>
    <s v="Sun"/>
    <x v="47"/>
    <b v="0"/>
    <b v="0"/>
    <s v="theater/plays"/>
    <x v="3"/>
    <x v="3"/>
  </r>
  <r>
    <n v="686"/>
    <s v="Jones, Wiley and Robbins"/>
    <s v="Front-line cohesive extranet"/>
    <n v="7500"/>
    <n v="14381"/>
    <n v="1.9174666666666667"/>
    <x v="1"/>
    <n v="134"/>
    <n v="107.32089552238806"/>
    <x v="1"/>
    <s v="USD"/>
    <n v="1522126800"/>
    <n v="1523077200"/>
    <x v="630"/>
    <d v="2018-04-07T05:00:00"/>
    <s v="Tue"/>
    <x v="4"/>
    <b v="0"/>
    <b v="0"/>
    <s v="technology/wearables"/>
    <x v="2"/>
    <x v="8"/>
  </r>
  <r>
    <n v="687"/>
    <s v="Martin, Gates and Holt"/>
    <s v="Distributed holistic neural-net"/>
    <n v="1500"/>
    <n v="13980"/>
    <n v="9.32"/>
    <x v="1"/>
    <n v="269"/>
    <n v="51.970260223048328"/>
    <x v="1"/>
    <s v="USD"/>
    <n v="1489298400"/>
    <n v="1489554000"/>
    <x v="631"/>
    <d v="2017-03-15T05:00:00"/>
    <s v="Sun"/>
    <x v="36"/>
    <b v="0"/>
    <b v="0"/>
    <s v="theater/plays"/>
    <x v="3"/>
    <x v="3"/>
  </r>
  <r>
    <n v="688"/>
    <s v="Bowen, Davies and Burns"/>
    <s v="Devolved client-server monitoring"/>
    <n v="2900"/>
    <n v="12449"/>
    <n v="4.2927586206896553"/>
    <x v="1"/>
    <n v="175"/>
    <n v="71.137142857142862"/>
    <x v="1"/>
    <s v="USD"/>
    <n v="1547100000"/>
    <n v="1548482400"/>
    <x v="632"/>
    <d v="2019-01-26T06:00:00"/>
    <s v="Thu"/>
    <x v="30"/>
    <b v="0"/>
    <b v="1"/>
    <s v="film &amp; video/television"/>
    <x v="4"/>
    <x v="19"/>
  </r>
  <r>
    <n v="689"/>
    <s v="Nguyen Inc"/>
    <s v="Seamless directional capacity"/>
    <n v="7300"/>
    <n v="7348"/>
    <n v="1.0065753424657535"/>
    <x v="1"/>
    <n v="69"/>
    <n v="106.49275362318841"/>
    <x v="1"/>
    <s v="USD"/>
    <n v="1383022800"/>
    <n v="1384063200"/>
    <x v="633"/>
    <d v="2013-11-10T06:00:00"/>
    <s v="Tue"/>
    <x v="10"/>
    <b v="0"/>
    <b v="0"/>
    <s v="technology/web"/>
    <x v="2"/>
    <x v="2"/>
  </r>
  <r>
    <n v="690"/>
    <s v="Walsh-Watts"/>
    <s v="Polarized actuating implementation"/>
    <n v="3600"/>
    <n v="8158"/>
    <n v="2.266111111111111"/>
    <x v="1"/>
    <n v="190"/>
    <n v="42.93684210526316"/>
    <x v="1"/>
    <s v="USD"/>
    <n v="1322373600"/>
    <n v="1322892000"/>
    <x v="634"/>
    <d v="2011-12-03T06:00:00"/>
    <s v="Sun"/>
    <x v="8"/>
    <b v="0"/>
    <b v="1"/>
    <s v="film &amp; video/documentary"/>
    <x v="4"/>
    <x v="4"/>
  </r>
  <r>
    <n v="691"/>
    <s v="Ray, Li and Li"/>
    <s v="Front-line disintermediate hub"/>
    <n v="5000"/>
    <n v="7119"/>
    <n v="1.4238"/>
    <x v="1"/>
    <n v="237"/>
    <n v="30.037974683544302"/>
    <x v="1"/>
    <s v="USD"/>
    <n v="1349240400"/>
    <n v="1350709200"/>
    <x v="635"/>
    <d v="2012-10-20T05:00:00"/>
    <s v="Wed"/>
    <x v="0"/>
    <b v="1"/>
    <b v="1"/>
    <s v="film &amp; video/documentary"/>
    <x v="4"/>
    <x v="4"/>
  </r>
  <r>
    <n v="692"/>
    <s v="Murray Ltd"/>
    <s v="Decentralized 4thgeneration challenge"/>
    <n v="6000"/>
    <n v="5438"/>
    <n v="0.90633333333333332"/>
    <x v="0"/>
    <n v="77"/>
    <n v="70.623376623376629"/>
    <x v="4"/>
    <s v="GBP"/>
    <n v="1562648400"/>
    <n v="1564203600"/>
    <x v="636"/>
    <d v="2019-07-27T05:00:00"/>
    <s v="Tue"/>
    <x v="42"/>
    <b v="0"/>
    <b v="0"/>
    <s v="music/rock"/>
    <x v="1"/>
    <x v="1"/>
  </r>
  <r>
    <n v="693"/>
    <s v="Bradford-Silva"/>
    <s v="Reverse-engineered composite hierarchy"/>
    <n v="180400"/>
    <n v="115396"/>
    <n v="0.63966740576496672"/>
    <x v="0"/>
    <n v="1748"/>
    <n v="66.016018306636155"/>
    <x v="1"/>
    <s v="USD"/>
    <n v="1508216400"/>
    <n v="1509685200"/>
    <x v="637"/>
    <d v="2017-11-03T05:00:00"/>
    <s v="Tue"/>
    <x v="0"/>
    <b v="0"/>
    <b v="0"/>
    <s v="theater/plays"/>
    <x v="3"/>
    <x v="3"/>
  </r>
  <r>
    <n v="694"/>
    <s v="Mora-Bradley"/>
    <s v="Programmable tangible ability"/>
    <n v="9100"/>
    <n v="7656"/>
    <n v="0.84131868131868137"/>
    <x v="0"/>
    <n v="79"/>
    <n v="96.911392405063296"/>
    <x v="1"/>
    <s v="USD"/>
    <n v="1511762400"/>
    <n v="1514959200"/>
    <x v="638"/>
    <d v="2018-01-03T06:00:00"/>
    <s v="Mon"/>
    <x v="22"/>
    <b v="0"/>
    <b v="0"/>
    <s v="theater/plays"/>
    <x v="3"/>
    <x v="3"/>
  </r>
  <r>
    <n v="695"/>
    <s v="Cardenas, Thompson and Carey"/>
    <s v="Configurable full-range emulation"/>
    <n v="9200"/>
    <n v="12322"/>
    <n v="1.3393478260869565"/>
    <x v="1"/>
    <n v="196"/>
    <n v="62.867346938775512"/>
    <x v="6"/>
    <s v="EUR"/>
    <n v="1447480800"/>
    <n v="1448863200"/>
    <x v="639"/>
    <d v="2015-11-30T06:00:00"/>
    <s v="Sat"/>
    <x v="30"/>
    <b v="1"/>
    <b v="0"/>
    <s v="music/rock"/>
    <x v="1"/>
    <x v="1"/>
  </r>
  <r>
    <n v="696"/>
    <s v="Lopez, Reid and Johnson"/>
    <s v="Total real-time hardware"/>
    <n v="164100"/>
    <n v="96888"/>
    <n v="0.59042047531992692"/>
    <x v="0"/>
    <n v="889"/>
    <n v="108.98537682789652"/>
    <x v="1"/>
    <s v="USD"/>
    <n v="1429506000"/>
    <n v="1429592400"/>
    <x v="640"/>
    <d v="2015-04-21T05:00:00"/>
    <s v="Mon"/>
    <x v="5"/>
    <b v="0"/>
    <b v="1"/>
    <s v="theater/plays"/>
    <x v="3"/>
    <x v="3"/>
  </r>
  <r>
    <n v="697"/>
    <s v="Fox-Williams"/>
    <s v="Profound system-worthy functionalities"/>
    <n v="128900"/>
    <n v="196960"/>
    <n v="1.5280062063615205"/>
    <x v="1"/>
    <n v="7295"/>
    <n v="26.999314599040439"/>
    <x v="1"/>
    <s v="USD"/>
    <n v="1522472400"/>
    <n v="1522645200"/>
    <x v="641"/>
    <d v="2018-04-02T05:00:00"/>
    <s v="Sat"/>
    <x v="1"/>
    <b v="0"/>
    <b v="0"/>
    <s v="music/electric music"/>
    <x v="1"/>
    <x v="5"/>
  </r>
  <r>
    <n v="698"/>
    <s v="Taylor, Wood and Taylor"/>
    <s v="Cloned hybrid focus group"/>
    <n v="42100"/>
    <n v="188057"/>
    <n v="4.466912114014252"/>
    <x v="1"/>
    <n v="2893"/>
    <n v="65.004147943311438"/>
    <x v="0"/>
    <s v="CAD"/>
    <n v="1322114400"/>
    <n v="1323324000"/>
    <x v="642"/>
    <d v="2011-12-08T06:00:00"/>
    <s v="Thu"/>
    <x v="26"/>
    <b v="0"/>
    <b v="0"/>
    <s v="technology/wearables"/>
    <x v="2"/>
    <x v="8"/>
  </r>
  <r>
    <n v="699"/>
    <s v="King Inc"/>
    <s v="Ergonomic dedicated focus group"/>
    <n v="7400"/>
    <n v="6245"/>
    <n v="0.8439189189189189"/>
    <x v="0"/>
    <n v="56"/>
    <n v="111.51785714285714"/>
    <x v="1"/>
    <s v="USD"/>
    <n v="1561438800"/>
    <n v="1561525200"/>
    <x v="230"/>
    <d v="2019-06-26T05:00:00"/>
    <s v="Tue"/>
    <x v="5"/>
    <b v="0"/>
    <b v="0"/>
    <s v="film &amp; video/drama"/>
    <x v="4"/>
    <x v="6"/>
  </r>
  <r>
    <n v="700"/>
    <s v="Cole, Petty and Cameron"/>
    <s v="Realigned zero administration paradigm"/>
    <n v="100"/>
    <n v="3"/>
    <n v="0.03"/>
    <x v="0"/>
    <n v="1"/>
    <n v="3"/>
    <x v="1"/>
    <s v="USD"/>
    <n v="1264399200"/>
    <n v="1265695200"/>
    <x v="67"/>
    <d v="2010-02-09T06:00:00"/>
    <s v="Mon"/>
    <x v="16"/>
    <b v="0"/>
    <b v="0"/>
    <s v="technology/wearables"/>
    <x v="2"/>
    <x v="8"/>
  </r>
  <r>
    <n v="701"/>
    <s v="Mcclain LLC"/>
    <s v="Open-source multi-tasking methodology"/>
    <n v="52000"/>
    <n v="91014"/>
    <n v="1.7502692307692307"/>
    <x v="1"/>
    <n v="820"/>
    <n v="110.99268292682927"/>
    <x v="1"/>
    <s v="USD"/>
    <n v="1301202000"/>
    <n v="1301806800"/>
    <x v="643"/>
    <d v="2011-04-03T05:00:00"/>
    <s v="Sun"/>
    <x v="34"/>
    <b v="1"/>
    <b v="0"/>
    <s v="theater/plays"/>
    <x v="3"/>
    <x v="3"/>
  </r>
  <r>
    <n v="702"/>
    <s v="Sims-Gross"/>
    <s v="Object-based attitude-oriented analyzer"/>
    <n v="8700"/>
    <n v="4710"/>
    <n v="0.54137931034482756"/>
    <x v="0"/>
    <n v="83"/>
    <n v="56.746987951807228"/>
    <x v="1"/>
    <s v="USD"/>
    <n v="1374469200"/>
    <n v="1374901200"/>
    <x v="644"/>
    <d v="2013-07-27T05:00:00"/>
    <s v="Mon"/>
    <x v="20"/>
    <b v="0"/>
    <b v="0"/>
    <s v="technology/wearables"/>
    <x v="2"/>
    <x v="8"/>
  </r>
  <r>
    <n v="703"/>
    <s v="Perez Group"/>
    <s v="Cross-platform tertiary hub"/>
    <n v="63400"/>
    <n v="197728"/>
    <n v="3.1187381703470032"/>
    <x v="1"/>
    <n v="2038"/>
    <n v="97.020608439646708"/>
    <x v="1"/>
    <s v="USD"/>
    <n v="1334984400"/>
    <n v="1336453200"/>
    <x v="645"/>
    <d v="2012-05-08T05:00:00"/>
    <s v="Sat"/>
    <x v="0"/>
    <b v="1"/>
    <b v="1"/>
    <s v="publishing/translations"/>
    <x v="5"/>
    <x v="18"/>
  </r>
  <r>
    <n v="704"/>
    <s v="Haynes-Williams"/>
    <s v="Seamless clear-thinking artificial intelligence"/>
    <n v="8700"/>
    <n v="10682"/>
    <n v="1.2278160919540231"/>
    <x v="1"/>
    <n v="116"/>
    <n v="92.08620689655173"/>
    <x v="1"/>
    <s v="USD"/>
    <n v="1467608400"/>
    <n v="1468904400"/>
    <x v="646"/>
    <d v="2016-07-19T05:00:00"/>
    <s v="Mon"/>
    <x v="16"/>
    <b v="0"/>
    <b v="0"/>
    <s v="film &amp; video/animation"/>
    <x v="4"/>
    <x v="10"/>
  </r>
  <r>
    <n v="705"/>
    <s v="Ford LLC"/>
    <s v="Centralized tangible success"/>
    <n v="169700"/>
    <n v="168048"/>
    <n v="0.99026517383618151"/>
    <x v="0"/>
    <n v="2025"/>
    <n v="82.986666666666665"/>
    <x v="4"/>
    <s v="GBP"/>
    <n v="1386741600"/>
    <n v="1387087200"/>
    <x v="626"/>
    <d v="2013-12-15T06:00:00"/>
    <s v="Wed"/>
    <x v="3"/>
    <b v="0"/>
    <b v="0"/>
    <s v="publishing/nonfiction"/>
    <x v="5"/>
    <x v="9"/>
  </r>
  <r>
    <n v="706"/>
    <s v="Moreno Ltd"/>
    <s v="Customer-focused multimedia methodology"/>
    <n v="108400"/>
    <n v="138586"/>
    <n v="1.278468634686347"/>
    <x v="1"/>
    <n v="1345"/>
    <n v="103.03791821561339"/>
    <x v="2"/>
    <s v="AUD"/>
    <n v="1546754400"/>
    <n v="1547445600"/>
    <x v="647"/>
    <d v="2019-01-14T06:00:00"/>
    <s v="Sun"/>
    <x v="9"/>
    <b v="0"/>
    <b v="1"/>
    <s v="technology/web"/>
    <x v="2"/>
    <x v="2"/>
  </r>
  <r>
    <n v="707"/>
    <s v="Moore, Cook and Wright"/>
    <s v="Visionary maximized Local Area Network"/>
    <n v="7300"/>
    <n v="11579"/>
    <n v="1.5861643835616439"/>
    <x v="1"/>
    <n v="168"/>
    <n v="68.922619047619051"/>
    <x v="1"/>
    <s v="USD"/>
    <n v="1544248800"/>
    <n v="1547359200"/>
    <x v="159"/>
    <d v="2019-01-13T06:00:00"/>
    <s v="Sat"/>
    <x v="38"/>
    <b v="0"/>
    <b v="0"/>
    <s v="film &amp; video/drama"/>
    <x v="4"/>
    <x v="6"/>
  </r>
  <r>
    <n v="708"/>
    <s v="Ortega LLC"/>
    <s v="Secured bifurcated intranet"/>
    <n v="1700"/>
    <n v="12020"/>
    <n v="7.0705882352941174"/>
    <x v="1"/>
    <n v="137"/>
    <n v="87.737226277372258"/>
    <x v="5"/>
    <s v="CHF"/>
    <n v="1495429200"/>
    <n v="1496293200"/>
    <x v="648"/>
    <d v="2017-06-01T05:00:00"/>
    <s v="Mon"/>
    <x v="39"/>
    <b v="0"/>
    <b v="0"/>
    <s v="theater/plays"/>
    <x v="3"/>
    <x v="3"/>
  </r>
  <r>
    <n v="709"/>
    <s v="Silva, Walker and Martin"/>
    <s v="Grass-roots 4thgeneration product"/>
    <n v="9800"/>
    <n v="13954"/>
    <n v="1.4238775510204082"/>
    <x v="1"/>
    <n v="186"/>
    <n v="75.021505376344081"/>
    <x v="6"/>
    <s v="EUR"/>
    <n v="1334811600"/>
    <n v="1335416400"/>
    <x v="267"/>
    <d v="2012-04-26T05:00:00"/>
    <s v="Thu"/>
    <x v="34"/>
    <b v="0"/>
    <b v="0"/>
    <s v="theater/plays"/>
    <x v="3"/>
    <x v="3"/>
  </r>
  <r>
    <n v="710"/>
    <s v="Huynh, Gallegos and Mills"/>
    <s v="Reduced next generation info-mediaries"/>
    <n v="4300"/>
    <n v="6358"/>
    <n v="1.4786046511627906"/>
    <x v="1"/>
    <n v="125"/>
    <n v="50.863999999999997"/>
    <x v="1"/>
    <s v="USD"/>
    <n v="1531544400"/>
    <n v="1532149200"/>
    <x v="649"/>
    <d v="2018-07-21T05:00:00"/>
    <s v="Sat"/>
    <x v="34"/>
    <b v="0"/>
    <b v="1"/>
    <s v="theater/plays"/>
    <x v="3"/>
    <x v="3"/>
  </r>
  <r>
    <n v="711"/>
    <s v="Anderson LLC"/>
    <s v="Customizable full-range artificial intelligence"/>
    <n v="6200"/>
    <n v="1260"/>
    <n v="0.20322580645161289"/>
    <x v="0"/>
    <n v="14"/>
    <n v="90"/>
    <x v="6"/>
    <s v="EUR"/>
    <n v="1453615200"/>
    <n v="1453788000"/>
    <x v="248"/>
    <d v="2016-01-26T06:00:00"/>
    <s v="Sun"/>
    <x v="1"/>
    <b v="1"/>
    <b v="1"/>
    <s v="theater/plays"/>
    <x v="3"/>
    <x v="3"/>
  </r>
  <r>
    <n v="712"/>
    <s v="Garza-Bryant"/>
    <s v="Programmable leadingedge contingency"/>
    <n v="800"/>
    <n v="14725"/>
    <n v="18.40625"/>
    <x v="1"/>
    <n v="202"/>
    <n v="72.896039603960389"/>
    <x v="1"/>
    <s v="USD"/>
    <n v="1467954000"/>
    <n v="1471496400"/>
    <x v="571"/>
    <d v="2016-08-18T05:00:00"/>
    <s v="Fri"/>
    <x v="44"/>
    <b v="0"/>
    <b v="0"/>
    <s v="theater/plays"/>
    <x v="3"/>
    <x v="3"/>
  </r>
  <r>
    <n v="713"/>
    <s v="Mays LLC"/>
    <s v="Multi-layered global groupware"/>
    <n v="6900"/>
    <n v="11174"/>
    <n v="1.6194202898550725"/>
    <x v="1"/>
    <n v="103"/>
    <n v="108.48543689320388"/>
    <x v="1"/>
    <s v="USD"/>
    <n v="1471842000"/>
    <n v="1472878800"/>
    <x v="650"/>
    <d v="2016-09-03T05:00:00"/>
    <s v="Mon"/>
    <x v="10"/>
    <b v="0"/>
    <b v="0"/>
    <s v="publishing/radio &amp; podcasts"/>
    <x v="5"/>
    <x v="15"/>
  </r>
  <r>
    <n v="714"/>
    <s v="Evans-Jones"/>
    <s v="Switchable methodical superstructure"/>
    <n v="38500"/>
    <n v="182036"/>
    <n v="4.7282077922077921"/>
    <x v="1"/>
    <n v="1785"/>
    <n v="101.98095238095237"/>
    <x v="1"/>
    <s v="USD"/>
    <n v="1408424400"/>
    <n v="1408510800"/>
    <x v="1"/>
    <d v="2014-08-20T05:00:00"/>
    <s v="Tue"/>
    <x v="5"/>
    <b v="0"/>
    <b v="0"/>
    <s v="music/rock"/>
    <x v="1"/>
    <x v="1"/>
  </r>
  <r>
    <n v="715"/>
    <s v="Fischer, Torres and Walker"/>
    <s v="Expanded even-keeled portal"/>
    <n v="118000"/>
    <n v="28870"/>
    <n v="0.24466101694915254"/>
    <x v="0"/>
    <n v="656"/>
    <n v="44.009146341463413"/>
    <x v="1"/>
    <s v="USD"/>
    <n v="1281157200"/>
    <n v="1281589200"/>
    <x v="651"/>
    <d v="2010-08-12T05:00:00"/>
    <s v="Sat"/>
    <x v="20"/>
    <b v="0"/>
    <b v="0"/>
    <s v="games/mobile games"/>
    <x v="6"/>
    <x v="20"/>
  </r>
  <r>
    <n v="716"/>
    <s v="Tapia, Kramer and Hicks"/>
    <s v="Advanced modular moderator"/>
    <n v="2000"/>
    <n v="10353"/>
    <n v="5.1764999999999999"/>
    <x v="1"/>
    <n v="157"/>
    <n v="65.942675159235662"/>
    <x v="1"/>
    <s v="USD"/>
    <n v="1373432400"/>
    <n v="1375851600"/>
    <x v="652"/>
    <d v="2013-08-07T05:00:00"/>
    <s v="Wed"/>
    <x v="21"/>
    <b v="0"/>
    <b v="1"/>
    <s v="theater/plays"/>
    <x v="3"/>
    <x v="3"/>
  </r>
  <r>
    <n v="717"/>
    <s v="Barnes, Wilcox and Riley"/>
    <s v="Reverse-engineered well-modulated ability"/>
    <n v="5600"/>
    <n v="13868"/>
    <n v="2.4764285714285714"/>
    <x v="1"/>
    <n v="555"/>
    <n v="24.987387387387386"/>
    <x v="1"/>
    <s v="USD"/>
    <n v="1313989200"/>
    <n v="1315803600"/>
    <x v="653"/>
    <d v="2011-09-12T05:00:00"/>
    <s v="Mon"/>
    <x v="13"/>
    <b v="0"/>
    <b v="0"/>
    <s v="film &amp; video/documentary"/>
    <x v="4"/>
    <x v="4"/>
  </r>
  <r>
    <n v="718"/>
    <s v="Reyes PLC"/>
    <s v="Expanded optimal pricing structure"/>
    <n v="8300"/>
    <n v="8317"/>
    <n v="1.0020481927710843"/>
    <x v="1"/>
    <n v="297"/>
    <n v="28.003367003367003"/>
    <x v="1"/>
    <s v="USD"/>
    <n v="1371445200"/>
    <n v="1373691600"/>
    <x v="654"/>
    <d v="2013-07-13T05:00:00"/>
    <s v="Mon"/>
    <x v="28"/>
    <b v="0"/>
    <b v="0"/>
    <s v="technology/wearables"/>
    <x v="2"/>
    <x v="8"/>
  </r>
  <r>
    <n v="719"/>
    <s v="Pace, Simpson and Watkins"/>
    <s v="Down-sized uniform ability"/>
    <n v="6900"/>
    <n v="10557"/>
    <n v="1.53"/>
    <x v="1"/>
    <n v="123"/>
    <n v="85.829268292682926"/>
    <x v="1"/>
    <s v="USD"/>
    <n v="1338267600"/>
    <n v="1339218000"/>
    <x v="655"/>
    <d v="2012-06-09T05:00:00"/>
    <s v="Tue"/>
    <x v="4"/>
    <b v="0"/>
    <b v="0"/>
    <s v="publishing/fiction"/>
    <x v="5"/>
    <x v="13"/>
  </r>
  <r>
    <n v="720"/>
    <s v="Valenzuela, Davidson and Castro"/>
    <s v="Multi-layered upward-trending conglomeration"/>
    <n v="8700"/>
    <n v="3227"/>
    <n v="0.37091954022988505"/>
    <x v="3"/>
    <n v="38"/>
    <n v="84.921052631578945"/>
    <x v="3"/>
    <s v="DKK"/>
    <n v="1519192800"/>
    <n v="1520402400"/>
    <x v="656"/>
    <d v="2018-03-07T06:00:00"/>
    <s v="Wed"/>
    <x v="26"/>
    <b v="0"/>
    <b v="1"/>
    <s v="theater/plays"/>
    <x v="3"/>
    <x v="3"/>
  </r>
  <r>
    <n v="721"/>
    <s v="Dominguez-Owens"/>
    <s v="Open-architected systematic intranet"/>
    <n v="123600"/>
    <n v="5429"/>
    <n v="4.3923948220064728E-2"/>
    <x v="3"/>
    <n v="60"/>
    <n v="90.483333333333334"/>
    <x v="1"/>
    <s v="USD"/>
    <n v="1522818000"/>
    <n v="1523336400"/>
    <x v="657"/>
    <d v="2018-04-10T05:00:00"/>
    <s v="Wed"/>
    <x v="8"/>
    <b v="0"/>
    <b v="0"/>
    <s v="music/rock"/>
    <x v="1"/>
    <x v="1"/>
  </r>
  <r>
    <n v="722"/>
    <s v="Thomas-Simmons"/>
    <s v="Proactive 24hour frame"/>
    <n v="48500"/>
    <n v="75906"/>
    <n v="1.5650721649484536"/>
    <x v="1"/>
    <n v="3036"/>
    <n v="25.00197628458498"/>
    <x v="1"/>
    <s v="USD"/>
    <n v="1509948000"/>
    <n v="1512280800"/>
    <x v="265"/>
    <d v="2017-12-03T06:00:00"/>
    <s v="Mon"/>
    <x v="11"/>
    <b v="0"/>
    <b v="0"/>
    <s v="film &amp; video/documentary"/>
    <x v="4"/>
    <x v="4"/>
  </r>
  <r>
    <n v="723"/>
    <s v="Beck-Knight"/>
    <s v="Exclusive fresh-thinking model"/>
    <n v="4900"/>
    <n v="13250"/>
    <n v="2.704081632653061"/>
    <x v="1"/>
    <n v="144"/>
    <n v="92.013888888888886"/>
    <x v="2"/>
    <s v="AUD"/>
    <n v="1456898400"/>
    <n v="1458709200"/>
    <x v="658"/>
    <d v="2016-03-23T05:00:00"/>
    <s v="Wed"/>
    <x v="13"/>
    <b v="0"/>
    <b v="0"/>
    <s v="theater/plays"/>
    <x v="3"/>
    <x v="3"/>
  </r>
  <r>
    <n v="724"/>
    <s v="Mccoy Ltd"/>
    <s v="Business-focused encompassing intranet"/>
    <n v="8400"/>
    <n v="11261"/>
    <n v="1.3405952380952382"/>
    <x v="1"/>
    <n v="121"/>
    <n v="93.066115702479337"/>
    <x v="4"/>
    <s v="GBP"/>
    <n v="1413954000"/>
    <n v="1414126800"/>
    <x v="659"/>
    <d v="2014-10-24T05:00:00"/>
    <s v="Wed"/>
    <x v="1"/>
    <b v="0"/>
    <b v="1"/>
    <s v="theater/plays"/>
    <x v="3"/>
    <x v="3"/>
  </r>
  <r>
    <n v="725"/>
    <s v="Dawson-Tyler"/>
    <s v="Optional 6thgeneration access"/>
    <n v="193200"/>
    <n v="97369"/>
    <n v="0.50398033126293995"/>
    <x v="0"/>
    <n v="1596"/>
    <n v="61.008145363408524"/>
    <x v="1"/>
    <s v="USD"/>
    <n v="1416031200"/>
    <n v="1416204000"/>
    <x v="660"/>
    <d v="2014-11-17T06:00:00"/>
    <s v="Sat"/>
    <x v="1"/>
    <b v="0"/>
    <b v="0"/>
    <s v="games/mobile games"/>
    <x v="6"/>
    <x v="20"/>
  </r>
  <r>
    <n v="726"/>
    <s v="Johns-Thomas"/>
    <s v="Realigned web-enabled functionalities"/>
    <n v="54300"/>
    <n v="48227"/>
    <n v="0.88815837937384901"/>
    <x v="3"/>
    <n v="524"/>
    <n v="92.036259541984734"/>
    <x v="1"/>
    <s v="USD"/>
    <n v="1287982800"/>
    <n v="1288501200"/>
    <x v="661"/>
    <d v="2010-10-31T05:00:00"/>
    <s v="Mon"/>
    <x v="8"/>
    <b v="0"/>
    <b v="1"/>
    <s v="theater/plays"/>
    <x v="3"/>
    <x v="3"/>
  </r>
  <r>
    <n v="727"/>
    <s v="Quinn, Cruz and Schmidt"/>
    <s v="Enterprise-wide multimedia software"/>
    <n v="8900"/>
    <n v="14685"/>
    <n v="1.65"/>
    <x v="1"/>
    <n v="181"/>
    <n v="81.132596685082873"/>
    <x v="1"/>
    <s v="USD"/>
    <n v="1547964000"/>
    <n v="1552971600"/>
    <x v="4"/>
    <d v="2019-03-19T05:00:00"/>
    <s v="Sun"/>
    <x v="50"/>
    <b v="0"/>
    <b v="0"/>
    <s v="technology/web"/>
    <x v="2"/>
    <x v="2"/>
  </r>
  <r>
    <n v="728"/>
    <s v="Stewart Inc"/>
    <s v="Versatile mission-critical knowledgebase"/>
    <n v="4200"/>
    <n v="735"/>
    <n v="0.17499999999999999"/>
    <x v="0"/>
    <n v="10"/>
    <n v="73.5"/>
    <x v="1"/>
    <s v="USD"/>
    <n v="1464152400"/>
    <n v="1465102800"/>
    <x v="662"/>
    <d v="2016-06-05T05:00:00"/>
    <s v="Wed"/>
    <x v="4"/>
    <b v="0"/>
    <b v="0"/>
    <s v="theater/plays"/>
    <x v="3"/>
    <x v="3"/>
  </r>
  <r>
    <n v="729"/>
    <s v="Moore Group"/>
    <s v="Multi-lateral object-oriented open system"/>
    <n v="5600"/>
    <n v="10397"/>
    <n v="1.8566071428571429"/>
    <x v="1"/>
    <n v="122"/>
    <n v="85.221311475409834"/>
    <x v="1"/>
    <s v="USD"/>
    <n v="1359957600"/>
    <n v="1360130400"/>
    <x v="663"/>
    <d v="2013-02-06T06:00:00"/>
    <s v="Mon"/>
    <x v="1"/>
    <b v="0"/>
    <b v="0"/>
    <s v="film &amp; video/drama"/>
    <x v="4"/>
    <x v="6"/>
  </r>
  <r>
    <n v="730"/>
    <s v="Carson PLC"/>
    <s v="Visionary system-worthy attitude"/>
    <n v="28800"/>
    <n v="118847"/>
    <n v="4.1266319444444441"/>
    <x v="1"/>
    <n v="1071"/>
    <n v="110.96825396825396"/>
    <x v="0"/>
    <s v="CAD"/>
    <n v="1432357200"/>
    <n v="1432875600"/>
    <x v="664"/>
    <d v="2015-05-29T05:00:00"/>
    <s v="Sat"/>
    <x v="8"/>
    <b v="0"/>
    <b v="0"/>
    <s v="technology/wearables"/>
    <x v="2"/>
    <x v="8"/>
  </r>
  <r>
    <n v="731"/>
    <s v="Cruz, Hall and Mason"/>
    <s v="Synergized content-based hierarchy"/>
    <n v="8000"/>
    <n v="7220"/>
    <n v="0.90249999999999997"/>
    <x v="3"/>
    <n v="219"/>
    <n v="32.968036529680369"/>
    <x v="1"/>
    <s v="USD"/>
    <n v="1500786000"/>
    <n v="1500872400"/>
    <x v="665"/>
    <d v="2017-07-24T05:00:00"/>
    <s v="Sun"/>
    <x v="5"/>
    <b v="0"/>
    <b v="0"/>
    <s v="technology/web"/>
    <x v="2"/>
    <x v="2"/>
  </r>
  <r>
    <n v="732"/>
    <s v="Glass, Baker and Jones"/>
    <s v="Business-focused 24hour access"/>
    <n v="117000"/>
    <n v="107622"/>
    <n v="0.91984615384615387"/>
    <x v="0"/>
    <n v="1121"/>
    <n v="96.005352363960753"/>
    <x v="1"/>
    <s v="USD"/>
    <n v="1490158800"/>
    <n v="1492146000"/>
    <x v="666"/>
    <d v="2017-04-14T05:00:00"/>
    <s v="Wed"/>
    <x v="19"/>
    <b v="0"/>
    <b v="1"/>
    <s v="music/rock"/>
    <x v="1"/>
    <x v="1"/>
  </r>
  <r>
    <n v="733"/>
    <s v="Marquez-Kerr"/>
    <s v="Automated hybrid orchestration"/>
    <n v="15800"/>
    <n v="83267"/>
    <n v="5.2700632911392402"/>
    <x v="1"/>
    <n v="980"/>
    <n v="84.96632653061225"/>
    <x v="1"/>
    <s v="USD"/>
    <n v="1406178000"/>
    <n v="1407301200"/>
    <x v="43"/>
    <d v="2014-08-06T05:00:00"/>
    <s v="Thu"/>
    <x v="35"/>
    <b v="0"/>
    <b v="0"/>
    <s v="music/metal"/>
    <x v="1"/>
    <x v="16"/>
  </r>
  <r>
    <n v="734"/>
    <s v="Stone PLC"/>
    <s v="Exclusive 5thgeneration leverage"/>
    <n v="4200"/>
    <n v="13404"/>
    <n v="3.1914285714285713"/>
    <x v="1"/>
    <n v="536"/>
    <n v="25.007462686567163"/>
    <x v="1"/>
    <s v="USD"/>
    <n v="1485583200"/>
    <n v="1486620000"/>
    <x v="667"/>
    <d v="2017-02-09T06:00:00"/>
    <s v="Sat"/>
    <x v="10"/>
    <b v="0"/>
    <b v="1"/>
    <s v="theater/plays"/>
    <x v="3"/>
    <x v="3"/>
  </r>
  <r>
    <n v="735"/>
    <s v="Caldwell PLC"/>
    <s v="Grass-roots zero administration alliance"/>
    <n v="37100"/>
    <n v="131404"/>
    <n v="3.5418867924528303"/>
    <x v="1"/>
    <n v="1991"/>
    <n v="65.998995479658461"/>
    <x v="1"/>
    <s v="USD"/>
    <n v="1459314000"/>
    <n v="1459918800"/>
    <x v="668"/>
    <d v="2016-04-06T05:00:00"/>
    <s v="Wed"/>
    <x v="34"/>
    <b v="0"/>
    <b v="0"/>
    <s v="photography/photography books"/>
    <x v="7"/>
    <x v="14"/>
  </r>
  <r>
    <n v="736"/>
    <s v="Silva-Hawkins"/>
    <s v="Proactive heuristic orchestration"/>
    <n v="7700"/>
    <n v="2533"/>
    <n v="0.32896103896103895"/>
    <x v="3"/>
    <n v="29"/>
    <n v="87.34482758620689"/>
    <x v="1"/>
    <s v="USD"/>
    <n v="1424412000"/>
    <n v="1424757600"/>
    <x v="669"/>
    <d v="2015-02-24T06:00:00"/>
    <s v="Fri"/>
    <x v="3"/>
    <b v="0"/>
    <b v="0"/>
    <s v="publishing/nonfiction"/>
    <x v="5"/>
    <x v="9"/>
  </r>
  <r>
    <n v="737"/>
    <s v="Gardner Inc"/>
    <s v="Function-based systematic Graphical User Interface"/>
    <n v="3700"/>
    <n v="5028"/>
    <n v="1.358918918918919"/>
    <x v="1"/>
    <n v="180"/>
    <n v="27.933333333333334"/>
    <x v="1"/>
    <s v="USD"/>
    <n v="1478844000"/>
    <n v="1479880800"/>
    <x v="670"/>
    <d v="2016-11-23T06:00:00"/>
    <s v="Fri"/>
    <x v="10"/>
    <b v="0"/>
    <b v="0"/>
    <s v="music/indie rock"/>
    <x v="1"/>
    <x v="7"/>
  </r>
  <r>
    <n v="738"/>
    <s v="Garcia Group"/>
    <s v="Extended zero administration software"/>
    <n v="74700"/>
    <n v="1557"/>
    <n v="2.0843373493975904E-2"/>
    <x v="0"/>
    <n v="15"/>
    <n v="103.8"/>
    <x v="1"/>
    <s v="USD"/>
    <n v="1416117600"/>
    <n v="1418018400"/>
    <x v="671"/>
    <d v="2014-12-08T06:00:00"/>
    <s v="Sun"/>
    <x v="12"/>
    <b v="0"/>
    <b v="1"/>
    <s v="theater/plays"/>
    <x v="3"/>
    <x v="3"/>
  </r>
  <r>
    <n v="739"/>
    <s v="Meyer-Avila"/>
    <s v="Multi-tiered discrete support"/>
    <n v="10000"/>
    <n v="6100"/>
    <n v="0.61"/>
    <x v="0"/>
    <n v="191"/>
    <n v="31.937172774869111"/>
    <x v="1"/>
    <s v="USD"/>
    <n v="1340946000"/>
    <n v="1341032400"/>
    <x v="672"/>
    <d v="2012-06-30T05:00:00"/>
    <s v="Fri"/>
    <x v="5"/>
    <b v="0"/>
    <b v="0"/>
    <s v="music/indie rock"/>
    <x v="1"/>
    <x v="7"/>
  </r>
  <r>
    <n v="740"/>
    <s v="Nelson, Smith and Graham"/>
    <s v="Phased system-worthy conglomeration"/>
    <n v="5300"/>
    <n v="1592"/>
    <n v="0.30037735849056602"/>
    <x v="0"/>
    <n v="16"/>
    <n v="99.5"/>
    <x v="1"/>
    <s v="USD"/>
    <n v="1486101600"/>
    <n v="1486360800"/>
    <x v="673"/>
    <d v="2017-02-06T06:00:00"/>
    <s v="Fri"/>
    <x v="36"/>
    <b v="0"/>
    <b v="0"/>
    <s v="theater/plays"/>
    <x v="3"/>
    <x v="3"/>
  </r>
  <r>
    <n v="741"/>
    <s v="Garcia Ltd"/>
    <s v="Balanced mobile alliance"/>
    <n v="1200"/>
    <n v="14150"/>
    <n v="11.791666666666666"/>
    <x v="1"/>
    <n v="130"/>
    <n v="108.84615384615384"/>
    <x v="1"/>
    <s v="USD"/>
    <n v="1274590800"/>
    <n v="1274677200"/>
    <x v="674"/>
    <d v="2010-05-24T05:00:00"/>
    <s v="Sun"/>
    <x v="5"/>
    <b v="0"/>
    <b v="0"/>
    <s v="theater/plays"/>
    <x v="3"/>
    <x v="3"/>
  </r>
  <r>
    <n v="742"/>
    <s v="West-Stevens"/>
    <s v="Reactive solution-oriented groupware"/>
    <n v="1200"/>
    <n v="13513"/>
    <n v="11.260833333333334"/>
    <x v="1"/>
    <n v="122"/>
    <n v="110.76229508196721"/>
    <x v="1"/>
    <s v="USD"/>
    <n v="1263880800"/>
    <n v="1267509600"/>
    <x v="675"/>
    <d v="2010-03-02T06:00:00"/>
    <s v="Tue"/>
    <x v="23"/>
    <b v="0"/>
    <b v="0"/>
    <s v="music/electric music"/>
    <x v="1"/>
    <x v="5"/>
  </r>
  <r>
    <n v="743"/>
    <s v="Clark-Conrad"/>
    <s v="Exclusive bandwidth-monitored orchestration"/>
    <n v="3900"/>
    <n v="504"/>
    <n v="0.12923076923076923"/>
    <x v="0"/>
    <n v="17"/>
    <n v="29.647058823529413"/>
    <x v="1"/>
    <s v="USD"/>
    <n v="1445403600"/>
    <n v="1445922000"/>
    <x v="676"/>
    <d v="2015-10-27T05:00:00"/>
    <s v="Wed"/>
    <x v="8"/>
    <b v="0"/>
    <b v="1"/>
    <s v="theater/plays"/>
    <x v="3"/>
    <x v="3"/>
  </r>
  <r>
    <n v="744"/>
    <s v="Fitzgerald Group"/>
    <s v="Intuitive exuding initiative"/>
    <n v="2000"/>
    <n v="14240"/>
    <n v="7.12"/>
    <x v="1"/>
    <n v="140"/>
    <n v="101.71428571428571"/>
    <x v="1"/>
    <s v="USD"/>
    <n v="1533877200"/>
    <n v="1534050000"/>
    <x v="342"/>
    <d v="2018-08-12T05:00:00"/>
    <s v="Fri"/>
    <x v="1"/>
    <b v="0"/>
    <b v="1"/>
    <s v="theater/plays"/>
    <x v="3"/>
    <x v="3"/>
  </r>
  <r>
    <n v="745"/>
    <s v="Hill, Mccann and Moore"/>
    <s v="Streamlined needs-based knowledge user"/>
    <n v="6900"/>
    <n v="2091"/>
    <n v="0.30304347826086958"/>
    <x v="0"/>
    <n v="34"/>
    <n v="61.5"/>
    <x v="1"/>
    <s v="USD"/>
    <n v="1275195600"/>
    <n v="1277528400"/>
    <x v="677"/>
    <d v="2010-06-26T05:00:00"/>
    <s v="Sun"/>
    <x v="11"/>
    <b v="0"/>
    <b v="0"/>
    <s v="technology/wearables"/>
    <x v="2"/>
    <x v="8"/>
  </r>
  <r>
    <n v="746"/>
    <s v="Edwards LLC"/>
    <s v="Automated system-worthy structure"/>
    <n v="55800"/>
    <n v="118580"/>
    <n v="2.1250896057347672"/>
    <x v="1"/>
    <n v="3388"/>
    <n v="35"/>
    <x v="1"/>
    <s v="USD"/>
    <n v="1318136400"/>
    <n v="1318568400"/>
    <x v="678"/>
    <d v="2011-10-14T05:00:00"/>
    <s v="Sun"/>
    <x v="20"/>
    <b v="0"/>
    <b v="0"/>
    <s v="technology/web"/>
    <x v="2"/>
    <x v="2"/>
  </r>
  <r>
    <n v="747"/>
    <s v="Greer and Sons"/>
    <s v="Secured clear-thinking intranet"/>
    <n v="4900"/>
    <n v="11214"/>
    <n v="2.2885714285714287"/>
    <x v="1"/>
    <n v="280"/>
    <n v="40.049999999999997"/>
    <x v="1"/>
    <s v="USD"/>
    <n v="1283403600"/>
    <n v="1284354000"/>
    <x v="679"/>
    <d v="2010-09-13T05:00:00"/>
    <s v="Thu"/>
    <x v="4"/>
    <b v="0"/>
    <b v="0"/>
    <s v="theater/plays"/>
    <x v="3"/>
    <x v="3"/>
  </r>
  <r>
    <n v="748"/>
    <s v="Martinez PLC"/>
    <s v="Cloned actuating architecture"/>
    <n v="194900"/>
    <n v="68137"/>
    <n v="0.34959979476654696"/>
    <x v="3"/>
    <n v="614"/>
    <n v="110.97231270358306"/>
    <x v="1"/>
    <s v="USD"/>
    <n v="1267423200"/>
    <n v="1269579600"/>
    <x v="680"/>
    <d v="2010-03-26T05:00:00"/>
    <s v="Mon"/>
    <x v="24"/>
    <b v="0"/>
    <b v="1"/>
    <s v="film &amp; video/animation"/>
    <x v="4"/>
    <x v="10"/>
  </r>
  <r>
    <n v="749"/>
    <s v="Hunter-Logan"/>
    <s v="Down-sized needs-based task-force"/>
    <n v="8600"/>
    <n v="13527"/>
    <n v="1.5729069767441861"/>
    <x v="1"/>
    <n v="366"/>
    <n v="36.959016393442624"/>
    <x v="6"/>
    <s v="EUR"/>
    <n v="1412744400"/>
    <n v="1413781200"/>
    <x v="681"/>
    <d v="2014-10-20T05:00:00"/>
    <s v="Wed"/>
    <x v="10"/>
    <b v="0"/>
    <b v="1"/>
    <s v="technology/wearables"/>
    <x v="2"/>
    <x v="8"/>
  </r>
  <r>
    <n v="750"/>
    <s v="Ramos and Sons"/>
    <s v="Extended responsive Internet solution"/>
    <n v="100"/>
    <n v="1"/>
    <n v="0.01"/>
    <x v="0"/>
    <n v="1"/>
    <n v="1"/>
    <x v="4"/>
    <s v="GBP"/>
    <n v="1277960400"/>
    <n v="1280120400"/>
    <x v="682"/>
    <d v="2010-07-26T05:00:00"/>
    <s v="Thu"/>
    <x v="24"/>
    <b v="0"/>
    <b v="0"/>
    <s v="music/electric music"/>
    <x v="1"/>
    <x v="5"/>
  </r>
  <r>
    <n v="751"/>
    <s v="Lane-Barber"/>
    <s v="Universal value-added moderator"/>
    <n v="3600"/>
    <n v="8363"/>
    <n v="2.3230555555555554"/>
    <x v="1"/>
    <n v="270"/>
    <n v="30.974074074074075"/>
    <x v="1"/>
    <s v="USD"/>
    <n v="1458190800"/>
    <n v="1459486800"/>
    <x v="683"/>
    <d v="2016-04-01T05:00:00"/>
    <s v="Thu"/>
    <x v="16"/>
    <b v="1"/>
    <b v="1"/>
    <s v="publishing/nonfiction"/>
    <x v="5"/>
    <x v="9"/>
  </r>
  <r>
    <n v="752"/>
    <s v="Lowery Group"/>
    <s v="Sharable motivating emulation"/>
    <n v="5800"/>
    <n v="5362"/>
    <n v="0.92448275862068963"/>
    <x v="3"/>
    <n v="114"/>
    <n v="47.035087719298247"/>
    <x v="1"/>
    <s v="USD"/>
    <n v="1280984400"/>
    <n v="1282539600"/>
    <x v="684"/>
    <d v="2010-08-23T05:00:00"/>
    <s v="Thu"/>
    <x v="42"/>
    <b v="0"/>
    <b v="1"/>
    <s v="theater/plays"/>
    <x v="3"/>
    <x v="3"/>
  </r>
  <r>
    <n v="753"/>
    <s v="Guerrero-Griffin"/>
    <s v="Networked web-enabled product"/>
    <n v="4700"/>
    <n v="12065"/>
    <n v="2.5670212765957445"/>
    <x v="1"/>
    <n v="137"/>
    <n v="88.065693430656935"/>
    <x v="1"/>
    <s v="USD"/>
    <n v="1274590800"/>
    <n v="1275886800"/>
    <x v="674"/>
    <d v="2010-06-07T05:00:00"/>
    <s v="Sun"/>
    <x v="16"/>
    <b v="0"/>
    <b v="0"/>
    <s v="photography/photography books"/>
    <x v="7"/>
    <x v="14"/>
  </r>
  <r>
    <n v="754"/>
    <s v="Perez, Reed and Lee"/>
    <s v="Advanced dedicated encoding"/>
    <n v="70400"/>
    <n v="118603"/>
    <n v="1.6847017045454546"/>
    <x v="1"/>
    <n v="3205"/>
    <n v="37.005616224648989"/>
    <x v="1"/>
    <s v="USD"/>
    <n v="1351400400"/>
    <n v="1355983200"/>
    <x v="685"/>
    <d v="2012-12-20T06:00:00"/>
    <s v="Sun"/>
    <x v="17"/>
    <b v="0"/>
    <b v="0"/>
    <s v="theater/plays"/>
    <x v="3"/>
    <x v="3"/>
  </r>
  <r>
    <n v="755"/>
    <s v="Chen, Pollard and Clarke"/>
    <s v="Stand-alone multi-state project"/>
    <n v="4500"/>
    <n v="7496"/>
    <n v="1.6657777777777778"/>
    <x v="1"/>
    <n v="288"/>
    <n v="26.027777777777779"/>
    <x v="3"/>
    <s v="DKK"/>
    <n v="1514354400"/>
    <n v="1515391200"/>
    <x v="605"/>
    <d v="2018-01-08T06:00:00"/>
    <s v="Wed"/>
    <x v="10"/>
    <b v="0"/>
    <b v="1"/>
    <s v="theater/plays"/>
    <x v="3"/>
    <x v="3"/>
  </r>
  <r>
    <n v="756"/>
    <s v="Serrano, Gallagher and Griffith"/>
    <s v="Customizable bi-directional monitoring"/>
    <n v="1300"/>
    <n v="10037"/>
    <n v="7.7207692307692311"/>
    <x v="1"/>
    <n v="148"/>
    <n v="67.817567567567565"/>
    <x v="1"/>
    <s v="USD"/>
    <n v="1421733600"/>
    <n v="1422252000"/>
    <x v="686"/>
    <d v="2015-01-26T06:00:00"/>
    <s v="Tue"/>
    <x v="8"/>
    <b v="0"/>
    <b v="0"/>
    <s v="theater/plays"/>
    <x v="3"/>
    <x v="3"/>
  </r>
  <r>
    <n v="757"/>
    <s v="Callahan-Gilbert"/>
    <s v="Profit-focused motivating function"/>
    <n v="1400"/>
    <n v="5696"/>
    <n v="4.0685714285714285"/>
    <x v="1"/>
    <n v="114"/>
    <n v="49.964912280701753"/>
    <x v="1"/>
    <s v="USD"/>
    <n v="1305176400"/>
    <n v="1305522000"/>
    <x v="687"/>
    <d v="2011-05-16T05:00:00"/>
    <s v="Thu"/>
    <x v="3"/>
    <b v="0"/>
    <b v="0"/>
    <s v="film &amp; video/drama"/>
    <x v="4"/>
    <x v="6"/>
  </r>
  <r>
    <n v="758"/>
    <s v="Logan-Miranda"/>
    <s v="Proactive systemic firmware"/>
    <n v="29600"/>
    <n v="167005"/>
    <n v="5.6420608108108112"/>
    <x v="1"/>
    <n v="1518"/>
    <n v="110.01646903820817"/>
    <x v="0"/>
    <s v="CAD"/>
    <n v="1414126800"/>
    <n v="1414904400"/>
    <x v="688"/>
    <d v="2014-11-02T05:00:00"/>
    <s v="Fri"/>
    <x v="29"/>
    <b v="0"/>
    <b v="0"/>
    <s v="music/rock"/>
    <x v="1"/>
    <x v="1"/>
  </r>
  <r>
    <n v="759"/>
    <s v="Rodriguez PLC"/>
    <s v="Grass-roots upward-trending installation"/>
    <n v="167500"/>
    <n v="114615"/>
    <n v="0.6842686567164179"/>
    <x v="0"/>
    <n v="1274"/>
    <n v="89.964678178963894"/>
    <x v="1"/>
    <s v="USD"/>
    <n v="1517810400"/>
    <n v="1520402400"/>
    <x v="689"/>
    <d v="2018-03-07T06:00:00"/>
    <s v="Mon"/>
    <x v="31"/>
    <b v="0"/>
    <b v="0"/>
    <s v="music/electric music"/>
    <x v="1"/>
    <x v="5"/>
  </r>
  <r>
    <n v="760"/>
    <s v="Smith-Kennedy"/>
    <s v="Virtual heuristic hub"/>
    <n v="48300"/>
    <n v="16592"/>
    <n v="0.34351966873706002"/>
    <x v="0"/>
    <n v="210"/>
    <n v="79.009523809523813"/>
    <x v="6"/>
    <s v="EUR"/>
    <n v="1564635600"/>
    <n v="1567141200"/>
    <x v="690"/>
    <d v="2019-08-30T05:00:00"/>
    <s v="Thu"/>
    <x v="41"/>
    <b v="0"/>
    <b v="1"/>
    <s v="games/video games"/>
    <x v="6"/>
    <x v="11"/>
  </r>
  <r>
    <n v="761"/>
    <s v="Mitchell-Lee"/>
    <s v="Customizable leadingedge model"/>
    <n v="2200"/>
    <n v="14420"/>
    <n v="6.5545454545454547"/>
    <x v="1"/>
    <n v="166"/>
    <n v="86.867469879518069"/>
    <x v="1"/>
    <s v="USD"/>
    <n v="1500699600"/>
    <n v="1501131600"/>
    <x v="691"/>
    <d v="2017-07-27T05:00:00"/>
    <s v="Sat"/>
    <x v="20"/>
    <b v="0"/>
    <b v="0"/>
    <s v="music/rock"/>
    <x v="1"/>
    <x v="1"/>
  </r>
  <r>
    <n v="762"/>
    <s v="Davis Ltd"/>
    <s v="Upgradable uniform service-desk"/>
    <n v="3500"/>
    <n v="6204"/>
    <n v="1.7725714285714285"/>
    <x v="1"/>
    <n v="100"/>
    <n v="62.04"/>
    <x v="2"/>
    <s v="AUD"/>
    <n v="1354082400"/>
    <n v="1355032800"/>
    <x v="692"/>
    <d v="2012-12-09T06:00:00"/>
    <s v="Wed"/>
    <x v="4"/>
    <b v="0"/>
    <b v="0"/>
    <s v="music/jazz"/>
    <x v="1"/>
    <x v="17"/>
  </r>
  <r>
    <n v="763"/>
    <s v="Rowland PLC"/>
    <s v="Inverse client-driven product"/>
    <n v="5600"/>
    <n v="6338"/>
    <n v="1.1317857142857144"/>
    <x v="1"/>
    <n v="235"/>
    <n v="26.970212765957445"/>
    <x v="1"/>
    <s v="USD"/>
    <n v="1336453200"/>
    <n v="1339477200"/>
    <x v="693"/>
    <d v="2012-06-12T05:00:00"/>
    <s v="Tue"/>
    <x v="43"/>
    <b v="0"/>
    <b v="1"/>
    <s v="theater/plays"/>
    <x v="3"/>
    <x v="3"/>
  </r>
  <r>
    <n v="764"/>
    <s v="Shaffer-Mason"/>
    <s v="Managed bandwidth-monitored system engine"/>
    <n v="1100"/>
    <n v="8010"/>
    <n v="7.2818181818181822"/>
    <x v="1"/>
    <n v="148"/>
    <n v="54.121621621621621"/>
    <x v="1"/>
    <s v="USD"/>
    <n v="1305262800"/>
    <n v="1305954000"/>
    <x v="694"/>
    <d v="2011-05-21T05:00:00"/>
    <s v="Fri"/>
    <x v="9"/>
    <b v="0"/>
    <b v="0"/>
    <s v="music/rock"/>
    <x v="1"/>
    <x v="1"/>
  </r>
  <r>
    <n v="765"/>
    <s v="Matthews LLC"/>
    <s v="Advanced transitional help-desk"/>
    <n v="3900"/>
    <n v="8125"/>
    <n v="2.0833333333333335"/>
    <x v="1"/>
    <n v="198"/>
    <n v="41.035353535353536"/>
    <x v="1"/>
    <s v="USD"/>
    <n v="1492232400"/>
    <n v="1494392400"/>
    <x v="695"/>
    <d v="2017-05-10T05:00:00"/>
    <s v="Sat"/>
    <x v="24"/>
    <b v="1"/>
    <b v="1"/>
    <s v="music/indie rock"/>
    <x v="1"/>
    <x v="7"/>
  </r>
  <r>
    <n v="766"/>
    <s v="Montgomery-Castro"/>
    <s v="De-engineered disintermediate encryption"/>
    <n v="43800"/>
    <n v="13653"/>
    <n v="0.31171232876712329"/>
    <x v="0"/>
    <n v="248"/>
    <n v="55.052419354838712"/>
    <x v="2"/>
    <s v="AUD"/>
    <n v="1537333200"/>
    <n v="1537419600"/>
    <x v="123"/>
    <d v="2018-09-20T05:00:00"/>
    <s v="Wed"/>
    <x v="5"/>
    <b v="0"/>
    <b v="0"/>
    <s v="film &amp; video/science fiction"/>
    <x v="4"/>
    <x v="22"/>
  </r>
  <r>
    <n v="767"/>
    <s v="Hale, Pearson and Jenkins"/>
    <s v="Upgradable attitude-oriented project"/>
    <n v="97200"/>
    <n v="55372"/>
    <n v="0.56967078189300413"/>
    <x v="0"/>
    <n v="513"/>
    <n v="107.93762183235867"/>
    <x v="1"/>
    <s v="USD"/>
    <n v="1444107600"/>
    <n v="1447999200"/>
    <x v="696"/>
    <d v="2015-11-20T06:00:00"/>
    <s v="Tue"/>
    <x v="32"/>
    <b v="0"/>
    <b v="0"/>
    <s v="publishing/translations"/>
    <x v="5"/>
    <x v="18"/>
  </r>
  <r>
    <n v="768"/>
    <s v="Ramirez-Calderon"/>
    <s v="Fundamental zero tolerance alliance"/>
    <n v="4800"/>
    <n v="11088"/>
    <n v="2.31"/>
    <x v="1"/>
    <n v="150"/>
    <n v="73.92"/>
    <x v="1"/>
    <s v="USD"/>
    <n v="1386741600"/>
    <n v="1388037600"/>
    <x v="626"/>
    <d v="2013-12-26T06:00:00"/>
    <s v="Wed"/>
    <x v="16"/>
    <b v="0"/>
    <b v="0"/>
    <s v="theater/plays"/>
    <x v="3"/>
    <x v="3"/>
  </r>
  <r>
    <n v="769"/>
    <s v="Johnson-Morales"/>
    <s v="Devolved 24hour forecast"/>
    <n v="125600"/>
    <n v="109106"/>
    <n v="0.86867834394904464"/>
    <x v="0"/>
    <n v="3410"/>
    <n v="31.995894428152493"/>
    <x v="1"/>
    <s v="USD"/>
    <n v="1376542800"/>
    <n v="1378789200"/>
    <x v="697"/>
    <d v="2013-09-10T05:00:00"/>
    <s v="Thu"/>
    <x v="28"/>
    <b v="0"/>
    <b v="0"/>
    <s v="games/video games"/>
    <x v="6"/>
    <x v="11"/>
  </r>
  <r>
    <n v="770"/>
    <s v="Mathis-Rodriguez"/>
    <s v="User-centric attitude-oriented intranet"/>
    <n v="4300"/>
    <n v="11642"/>
    <n v="2.7074418604651163"/>
    <x v="1"/>
    <n v="216"/>
    <n v="53.898148148148145"/>
    <x v="6"/>
    <s v="EUR"/>
    <n v="1397451600"/>
    <n v="1398056400"/>
    <x v="698"/>
    <d v="2014-04-21T05:00:00"/>
    <s v="Mon"/>
    <x v="34"/>
    <b v="0"/>
    <b v="1"/>
    <s v="theater/plays"/>
    <x v="3"/>
    <x v="3"/>
  </r>
  <r>
    <n v="771"/>
    <s v="Smith, Mack and Williams"/>
    <s v="Self-enabling 5thgeneration paradigm"/>
    <n v="5600"/>
    <n v="2769"/>
    <n v="0.49446428571428569"/>
    <x v="3"/>
    <n v="26"/>
    <n v="106.5"/>
    <x v="1"/>
    <s v="USD"/>
    <n v="1548482400"/>
    <n v="1550815200"/>
    <x v="699"/>
    <d v="2019-02-22T06:00:00"/>
    <s v="Sat"/>
    <x v="11"/>
    <b v="0"/>
    <b v="0"/>
    <s v="theater/plays"/>
    <x v="3"/>
    <x v="3"/>
  </r>
  <r>
    <n v="772"/>
    <s v="Johnson-Pace"/>
    <s v="Persistent 3rdgeneration moratorium"/>
    <n v="149600"/>
    <n v="169586"/>
    <n v="1.1335962566844919"/>
    <x v="1"/>
    <n v="5139"/>
    <n v="32.999805409612762"/>
    <x v="1"/>
    <s v="USD"/>
    <n v="1549692000"/>
    <n v="1550037600"/>
    <x v="700"/>
    <d v="2019-02-13T06:00:00"/>
    <s v="Sat"/>
    <x v="3"/>
    <b v="0"/>
    <b v="0"/>
    <s v="music/indie rock"/>
    <x v="1"/>
    <x v="7"/>
  </r>
  <r>
    <n v="773"/>
    <s v="Meza, Kirby and Patel"/>
    <s v="Cross-platform empowering project"/>
    <n v="53100"/>
    <n v="101185"/>
    <n v="1.9055555555555554"/>
    <x v="1"/>
    <n v="2353"/>
    <n v="43.00254993625159"/>
    <x v="1"/>
    <s v="USD"/>
    <n v="1492059600"/>
    <n v="1492923600"/>
    <x v="701"/>
    <d v="2017-04-23T05:00:00"/>
    <s v="Thu"/>
    <x v="39"/>
    <b v="0"/>
    <b v="0"/>
    <s v="theater/plays"/>
    <x v="3"/>
    <x v="3"/>
  </r>
  <r>
    <n v="774"/>
    <s v="Gonzalez-Snow"/>
    <s v="Polarized user-facing interface"/>
    <n v="5000"/>
    <n v="6775"/>
    <n v="1.355"/>
    <x v="1"/>
    <n v="78"/>
    <n v="86.858974358974365"/>
    <x v="6"/>
    <s v="EUR"/>
    <n v="1463979600"/>
    <n v="1467522000"/>
    <x v="702"/>
    <d v="2016-07-03T05:00:00"/>
    <s v="Mon"/>
    <x v="44"/>
    <b v="0"/>
    <b v="0"/>
    <s v="technology/web"/>
    <x v="2"/>
    <x v="2"/>
  </r>
  <r>
    <n v="775"/>
    <s v="Murphy LLC"/>
    <s v="Customer-focused non-volatile framework"/>
    <n v="9400"/>
    <n v="968"/>
    <n v="0.10297872340425532"/>
    <x v="0"/>
    <n v="10"/>
    <n v="96.8"/>
    <x v="1"/>
    <s v="USD"/>
    <n v="1415253600"/>
    <n v="1416117600"/>
    <x v="703"/>
    <d v="2014-11-16T06:00:00"/>
    <s v="Thu"/>
    <x v="39"/>
    <b v="0"/>
    <b v="0"/>
    <s v="music/rock"/>
    <x v="1"/>
    <x v="1"/>
  </r>
  <r>
    <n v="776"/>
    <s v="Taylor-Rowe"/>
    <s v="Synchronized multimedia frame"/>
    <n v="110800"/>
    <n v="72623"/>
    <n v="0.65544223826714798"/>
    <x v="0"/>
    <n v="2201"/>
    <n v="32.995456610631528"/>
    <x v="1"/>
    <s v="USD"/>
    <n v="1562216400"/>
    <n v="1563771600"/>
    <x v="704"/>
    <d v="2019-07-22T05:00:00"/>
    <s v="Thu"/>
    <x v="42"/>
    <b v="0"/>
    <b v="0"/>
    <s v="theater/plays"/>
    <x v="3"/>
    <x v="3"/>
  </r>
  <r>
    <n v="777"/>
    <s v="Henderson Ltd"/>
    <s v="Open-architected stable algorithm"/>
    <n v="93800"/>
    <n v="45987"/>
    <n v="0.49026652452025588"/>
    <x v="0"/>
    <n v="676"/>
    <n v="68.028106508875737"/>
    <x v="1"/>
    <s v="USD"/>
    <n v="1316754000"/>
    <n v="1319259600"/>
    <x v="431"/>
    <d v="2011-10-22T05:00:00"/>
    <s v="Fri"/>
    <x v="41"/>
    <b v="0"/>
    <b v="0"/>
    <s v="theater/plays"/>
    <x v="3"/>
    <x v="3"/>
  </r>
  <r>
    <n v="778"/>
    <s v="Moss-Guzman"/>
    <s v="Cross-platform optimizing website"/>
    <n v="1300"/>
    <n v="10243"/>
    <n v="7.8792307692307695"/>
    <x v="1"/>
    <n v="174"/>
    <n v="58.867816091954026"/>
    <x v="5"/>
    <s v="CHF"/>
    <n v="1313211600"/>
    <n v="1313643600"/>
    <x v="705"/>
    <d v="2011-08-18T05:00:00"/>
    <s v="Sat"/>
    <x v="20"/>
    <b v="0"/>
    <b v="0"/>
    <s v="film &amp; video/animation"/>
    <x v="4"/>
    <x v="10"/>
  </r>
  <r>
    <n v="779"/>
    <s v="Webb Group"/>
    <s v="Public-key actuating projection"/>
    <n v="108700"/>
    <n v="87293"/>
    <n v="0.80306347746090156"/>
    <x v="0"/>
    <n v="831"/>
    <n v="105.04572803850782"/>
    <x v="1"/>
    <s v="USD"/>
    <n v="1439528400"/>
    <n v="1440306000"/>
    <x v="706"/>
    <d v="2015-08-23T05:00:00"/>
    <s v="Fri"/>
    <x v="29"/>
    <b v="0"/>
    <b v="1"/>
    <s v="theater/plays"/>
    <x v="3"/>
    <x v="3"/>
  </r>
  <r>
    <n v="780"/>
    <s v="Brooks-Rodriguez"/>
    <s v="Implemented intangible instruction set"/>
    <n v="5100"/>
    <n v="5421"/>
    <n v="1.0629411764705883"/>
    <x v="1"/>
    <n v="164"/>
    <n v="33.054878048780488"/>
    <x v="1"/>
    <s v="USD"/>
    <n v="1469163600"/>
    <n v="1470805200"/>
    <x v="707"/>
    <d v="2016-08-10T05:00:00"/>
    <s v="Fri"/>
    <x v="27"/>
    <b v="0"/>
    <b v="1"/>
    <s v="film &amp; video/drama"/>
    <x v="4"/>
    <x v="6"/>
  </r>
  <r>
    <n v="781"/>
    <s v="Thomas Ltd"/>
    <s v="Cross-group interactive architecture"/>
    <n v="8700"/>
    <n v="4414"/>
    <n v="0.50735632183908042"/>
    <x v="3"/>
    <n v="56"/>
    <n v="78.821428571428569"/>
    <x v="5"/>
    <s v="CHF"/>
    <n v="1288501200"/>
    <n v="1292911200"/>
    <x v="708"/>
    <d v="2010-12-21T06:00:00"/>
    <s v="Sun"/>
    <x v="46"/>
    <b v="0"/>
    <b v="0"/>
    <s v="theater/plays"/>
    <x v="3"/>
    <x v="3"/>
  </r>
  <r>
    <n v="782"/>
    <s v="Williams and Sons"/>
    <s v="Centralized asymmetric framework"/>
    <n v="5100"/>
    <n v="10981"/>
    <n v="2.153137254901961"/>
    <x v="1"/>
    <n v="161"/>
    <n v="68.204968944099377"/>
    <x v="1"/>
    <s v="USD"/>
    <n v="1298959200"/>
    <n v="1301374800"/>
    <x v="709"/>
    <d v="2011-03-29T05:00:00"/>
    <s v="Tue"/>
    <x v="21"/>
    <b v="0"/>
    <b v="1"/>
    <s v="film &amp; video/animation"/>
    <x v="4"/>
    <x v="10"/>
  </r>
  <r>
    <n v="783"/>
    <s v="Vega, Chan and Carney"/>
    <s v="Down-sized systematic utilization"/>
    <n v="7400"/>
    <n v="10451"/>
    <n v="1.4122972972972974"/>
    <x v="1"/>
    <n v="138"/>
    <n v="75.731884057971016"/>
    <x v="1"/>
    <s v="USD"/>
    <n v="1387260000"/>
    <n v="1387864800"/>
    <x v="710"/>
    <d v="2013-12-24T06:00:00"/>
    <s v="Tue"/>
    <x v="34"/>
    <b v="0"/>
    <b v="0"/>
    <s v="music/rock"/>
    <x v="1"/>
    <x v="1"/>
  </r>
  <r>
    <n v="784"/>
    <s v="Byrd Group"/>
    <s v="Profound fault-tolerant model"/>
    <n v="88900"/>
    <n v="102535"/>
    <n v="1.1533745781777278"/>
    <x v="1"/>
    <n v="3308"/>
    <n v="30.996070133010882"/>
    <x v="1"/>
    <s v="USD"/>
    <n v="1457244000"/>
    <n v="1458190800"/>
    <x v="711"/>
    <d v="2016-03-17T05:00:00"/>
    <s v="Sun"/>
    <x v="4"/>
    <b v="0"/>
    <b v="0"/>
    <s v="technology/web"/>
    <x v="2"/>
    <x v="2"/>
  </r>
  <r>
    <n v="785"/>
    <s v="Peterson, Fletcher and Sanchez"/>
    <s v="Multi-channeled bi-directional moratorium"/>
    <n v="6700"/>
    <n v="12939"/>
    <n v="1.9311940298507462"/>
    <x v="1"/>
    <n v="127"/>
    <n v="101.88188976377953"/>
    <x v="2"/>
    <s v="AUD"/>
    <n v="1556341200"/>
    <n v="1559278800"/>
    <x v="157"/>
    <d v="2019-05-31T05:00:00"/>
    <s v="Sat"/>
    <x v="15"/>
    <b v="0"/>
    <b v="1"/>
    <s v="film &amp; video/animation"/>
    <x v="4"/>
    <x v="10"/>
  </r>
  <r>
    <n v="786"/>
    <s v="Smith-Brown"/>
    <s v="Object-based content-based ability"/>
    <n v="1500"/>
    <n v="10946"/>
    <n v="7.2973333333333334"/>
    <x v="1"/>
    <n v="207"/>
    <n v="52.879227053140099"/>
    <x v="6"/>
    <s v="EUR"/>
    <n v="1522126800"/>
    <n v="1522731600"/>
    <x v="630"/>
    <d v="2018-04-03T05:00:00"/>
    <s v="Tue"/>
    <x v="34"/>
    <b v="0"/>
    <b v="1"/>
    <s v="music/jazz"/>
    <x v="1"/>
    <x v="17"/>
  </r>
  <r>
    <n v="787"/>
    <s v="Vance-Glover"/>
    <s v="Progressive coherent secured line"/>
    <n v="61200"/>
    <n v="60994"/>
    <n v="0.99663398692810456"/>
    <x v="0"/>
    <n v="859"/>
    <n v="71.005820721769496"/>
    <x v="0"/>
    <s v="CAD"/>
    <n v="1305954000"/>
    <n v="1306731600"/>
    <x v="712"/>
    <d v="2011-05-30T05:00:00"/>
    <s v="Sat"/>
    <x v="29"/>
    <b v="0"/>
    <b v="0"/>
    <s v="music/rock"/>
    <x v="1"/>
    <x v="1"/>
  </r>
  <r>
    <n v="788"/>
    <s v="Joyce PLC"/>
    <s v="Synchronized directional capability"/>
    <n v="3600"/>
    <n v="3174"/>
    <n v="0.88166666666666671"/>
    <x v="2"/>
    <n v="31"/>
    <n v="102.38709677419355"/>
    <x v="1"/>
    <s v="USD"/>
    <n v="1350709200"/>
    <n v="1352527200"/>
    <x v="93"/>
    <d v="2012-11-10T06:00:00"/>
    <s v="Sat"/>
    <x v="13"/>
    <b v="0"/>
    <b v="0"/>
    <s v="film &amp; video/animation"/>
    <x v="4"/>
    <x v="10"/>
  </r>
  <r>
    <n v="789"/>
    <s v="Kennedy-Miller"/>
    <s v="Cross-platform composite migration"/>
    <n v="9000"/>
    <n v="3351"/>
    <n v="0.37233333333333335"/>
    <x v="0"/>
    <n v="45"/>
    <n v="74.466666666666669"/>
    <x v="1"/>
    <s v="USD"/>
    <n v="1401166800"/>
    <n v="1404363600"/>
    <x v="713"/>
    <d v="2014-07-03T05:00:00"/>
    <s v="Tue"/>
    <x v="22"/>
    <b v="0"/>
    <b v="0"/>
    <s v="theater/plays"/>
    <x v="3"/>
    <x v="3"/>
  </r>
  <r>
    <n v="790"/>
    <s v="White-Obrien"/>
    <s v="Operative local pricing structure"/>
    <n v="185900"/>
    <n v="56774"/>
    <n v="0.30540075309306081"/>
    <x v="3"/>
    <n v="1113"/>
    <n v="51.009883198562441"/>
    <x v="1"/>
    <s v="USD"/>
    <n v="1266127200"/>
    <n v="1266645600"/>
    <x v="714"/>
    <d v="2010-02-20T06:00:00"/>
    <s v="Sun"/>
    <x v="8"/>
    <b v="0"/>
    <b v="0"/>
    <s v="theater/plays"/>
    <x v="3"/>
    <x v="3"/>
  </r>
  <r>
    <n v="791"/>
    <s v="Stafford, Hess and Raymond"/>
    <s v="Optional web-enabled extranet"/>
    <n v="2100"/>
    <n v="540"/>
    <n v="0.25714285714285712"/>
    <x v="0"/>
    <n v="6"/>
    <n v="90"/>
    <x v="1"/>
    <s v="USD"/>
    <n v="1481436000"/>
    <n v="1482818400"/>
    <x v="715"/>
    <d v="2016-12-27T06:00:00"/>
    <s v="Sun"/>
    <x v="30"/>
    <b v="0"/>
    <b v="0"/>
    <s v="food/food trucks"/>
    <x v="0"/>
    <x v="0"/>
  </r>
  <r>
    <n v="792"/>
    <s v="Jordan, Schneider and Hall"/>
    <s v="Reduced 6thgeneration intranet"/>
    <n v="2000"/>
    <n v="680"/>
    <n v="0.34"/>
    <x v="0"/>
    <n v="7"/>
    <n v="97.142857142857139"/>
    <x v="1"/>
    <s v="USD"/>
    <n v="1372222800"/>
    <n v="1374642000"/>
    <x v="716"/>
    <d v="2013-07-24T05:00:00"/>
    <s v="Wed"/>
    <x v="21"/>
    <b v="0"/>
    <b v="1"/>
    <s v="theater/plays"/>
    <x v="3"/>
    <x v="3"/>
  </r>
  <r>
    <n v="793"/>
    <s v="Rodriguez, Cox and Rodriguez"/>
    <s v="Networked disintermediate leverage"/>
    <n v="1100"/>
    <n v="13045"/>
    <n v="11.859090909090909"/>
    <x v="1"/>
    <n v="181"/>
    <n v="72.071823204419886"/>
    <x v="5"/>
    <s v="CHF"/>
    <n v="1372136400"/>
    <n v="1372482000"/>
    <x v="448"/>
    <d v="2013-06-29T05:00:00"/>
    <s v="Tue"/>
    <x v="3"/>
    <b v="0"/>
    <b v="0"/>
    <s v="publishing/nonfiction"/>
    <x v="5"/>
    <x v="9"/>
  </r>
  <r>
    <n v="794"/>
    <s v="Welch Inc"/>
    <s v="Optional optimal website"/>
    <n v="6600"/>
    <n v="8276"/>
    <n v="1.2539393939393939"/>
    <x v="1"/>
    <n v="110"/>
    <n v="75.236363636363635"/>
    <x v="1"/>
    <s v="USD"/>
    <n v="1513922400"/>
    <n v="1514959200"/>
    <x v="717"/>
    <d v="2018-01-03T06:00:00"/>
    <s v="Fri"/>
    <x v="10"/>
    <b v="0"/>
    <b v="0"/>
    <s v="music/rock"/>
    <x v="1"/>
    <x v="1"/>
  </r>
  <r>
    <n v="795"/>
    <s v="Vasquez Inc"/>
    <s v="Stand-alone asynchronous functionalities"/>
    <n v="7100"/>
    <n v="1022"/>
    <n v="0.14394366197183098"/>
    <x v="0"/>
    <n v="31"/>
    <n v="32.967741935483872"/>
    <x v="1"/>
    <s v="USD"/>
    <n v="1477976400"/>
    <n v="1478235600"/>
    <x v="718"/>
    <d v="2016-11-04T05:00:00"/>
    <s v="Tue"/>
    <x v="36"/>
    <b v="0"/>
    <b v="0"/>
    <s v="film &amp; video/drama"/>
    <x v="4"/>
    <x v="6"/>
  </r>
  <r>
    <n v="796"/>
    <s v="Freeman-Ferguson"/>
    <s v="Profound full-range open system"/>
    <n v="7800"/>
    <n v="4275"/>
    <n v="0.54807692307692313"/>
    <x v="0"/>
    <n v="78"/>
    <n v="54.807692307692307"/>
    <x v="1"/>
    <s v="USD"/>
    <n v="1407474000"/>
    <n v="1408078800"/>
    <x v="719"/>
    <d v="2014-08-15T05:00:00"/>
    <s v="Fri"/>
    <x v="34"/>
    <b v="0"/>
    <b v="1"/>
    <s v="games/mobile games"/>
    <x v="6"/>
    <x v="20"/>
  </r>
  <r>
    <n v="797"/>
    <s v="Houston, Moore and Rogers"/>
    <s v="Optional tangible utilization"/>
    <n v="7600"/>
    <n v="8332"/>
    <n v="1.0963157894736841"/>
    <x v="1"/>
    <n v="185"/>
    <n v="45.037837837837834"/>
    <x v="1"/>
    <s v="USD"/>
    <n v="1546149600"/>
    <n v="1548136800"/>
    <x v="720"/>
    <d v="2019-01-22T06:00:00"/>
    <s v="Sun"/>
    <x v="19"/>
    <b v="0"/>
    <b v="0"/>
    <s v="technology/web"/>
    <x v="2"/>
    <x v="2"/>
  </r>
  <r>
    <n v="798"/>
    <s v="Small-Fuentes"/>
    <s v="Seamless maximized product"/>
    <n v="3400"/>
    <n v="6408"/>
    <n v="1.8847058823529412"/>
    <x v="1"/>
    <n v="121"/>
    <n v="52.958677685950413"/>
    <x v="1"/>
    <s v="USD"/>
    <n v="1338440400"/>
    <n v="1340859600"/>
    <x v="721"/>
    <d v="2012-06-28T05:00:00"/>
    <s v="Thu"/>
    <x v="21"/>
    <b v="0"/>
    <b v="1"/>
    <s v="theater/plays"/>
    <x v="3"/>
    <x v="3"/>
  </r>
  <r>
    <n v="799"/>
    <s v="Reid-Day"/>
    <s v="Devolved tertiary time-frame"/>
    <n v="84500"/>
    <n v="73522"/>
    <n v="0.87008284023668636"/>
    <x v="0"/>
    <n v="1225"/>
    <n v="60.017959183673469"/>
    <x v="4"/>
    <s v="GBP"/>
    <n v="1454133600"/>
    <n v="1454479200"/>
    <x v="722"/>
    <d v="2016-02-03T06:00:00"/>
    <s v="Sat"/>
    <x v="3"/>
    <b v="0"/>
    <b v="0"/>
    <s v="theater/plays"/>
    <x v="3"/>
    <x v="3"/>
  </r>
  <r>
    <n v="800"/>
    <s v="Wallace LLC"/>
    <s v="Centralized regional function"/>
    <n v="100"/>
    <n v="1"/>
    <n v="0.01"/>
    <x v="0"/>
    <n v="1"/>
    <n v="1"/>
    <x v="5"/>
    <s v="CHF"/>
    <n v="1434085200"/>
    <n v="1434430800"/>
    <x v="139"/>
    <d v="2015-06-16T05:00:00"/>
    <s v="Fri"/>
    <x v="3"/>
    <b v="0"/>
    <b v="0"/>
    <s v="music/rock"/>
    <x v="1"/>
    <x v="1"/>
  </r>
  <r>
    <n v="801"/>
    <s v="Olson-Bishop"/>
    <s v="User-friendly high-level initiative"/>
    <n v="2300"/>
    <n v="4667"/>
    <n v="2.0291304347826089"/>
    <x v="1"/>
    <n v="106"/>
    <n v="44.028301886792455"/>
    <x v="1"/>
    <s v="USD"/>
    <n v="1577772000"/>
    <n v="1579672800"/>
    <x v="723"/>
    <d v="2020-01-22T06:00:00"/>
    <s v="Tue"/>
    <x v="12"/>
    <b v="0"/>
    <b v="1"/>
    <s v="photography/photography books"/>
    <x v="7"/>
    <x v="14"/>
  </r>
  <r>
    <n v="802"/>
    <s v="Rodriguez, Anderson and Porter"/>
    <s v="Reverse-engineered zero-defect infrastructure"/>
    <n v="6200"/>
    <n v="12216"/>
    <n v="1.9703225806451612"/>
    <x v="1"/>
    <n v="142"/>
    <n v="86.028169014084511"/>
    <x v="1"/>
    <s v="USD"/>
    <n v="1562216400"/>
    <n v="1562389200"/>
    <x v="704"/>
    <d v="2019-07-06T05:00:00"/>
    <s v="Thu"/>
    <x v="1"/>
    <b v="0"/>
    <b v="0"/>
    <s v="photography/photography books"/>
    <x v="7"/>
    <x v="14"/>
  </r>
  <r>
    <n v="803"/>
    <s v="Perez, Brown and Meyers"/>
    <s v="Stand-alone background customer loyalty"/>
    <n v="6100"/>
    <n v="6527"/>
    <n v="1.07"/>
    <x v="1"/>
    <n v="233"/>
    <n v="28.012875536480685"/>
    <x v="1"/>
    <s v="USD"/>
    <n v="1548568800"/>
    <n v="1551506400"/>
    <x v="724"/>
    <d v="2019-03-02T06:00:00"/>
    <s v="Sun"/>
    <x v="15"/>
    <b v="0"/>
    <b v="0"/>
    <s v="theater/plays"/>
    <x v="3"/>
    <x v="3"/>
  </r>
  <r>
    <n v="804"/>
    <s v="English-Mccullough"/>
    <s v="Business-focused discrete software"/>
    <n v="2600"/>
    <n v="6987"/>
    <n v="2.6873076923076922"/>
    <x v="1"/>
    <n v="218"/>
    <n v="32.050458715596328"/>
    <x v="1"/>
    <s v="USD"/>
    <n v="1514872800"/>
    <n v="1516600800"/>
    <x v="725"/>
    <d v="2018-01-22T06:00:00"/>
    <s v="Tue"/>
    <x v="18"/>
    <b v="0"/>
    <b v="0"/>
    <s v="music/rock"/>
    <x v="1"/>
    <x v="1"/>
  </r>
  <r>
    <n v="805"/>
    <s v="Smith-Nguyen"/>
    <s v="Advanced intermediate Graphic Interface"/>
    <n v="9700"/>
    <n v="4932"/>
    <n v="0.50845360824742269"/>
    <x v="0"/>
    <n v="67"/>
    <n v="73.611940298507463"/>
    <x v="2"/>
    <s v="AUD"/>
    <n v="1416031200"/>
    <n v="1420437600"/>
    <x v="660"/>
    <d v="2015-01-05T06:00:00"/>
    <s v="Sat"/>
    <x v="46"/>
    <b v="0"/>
    <b v="0"/>
    <s v="film &amp; video/documentary"/>
    <x v="4"/>
    <x v="4"/>
  </r>
  <r>
    <n v="806"/>
    <s v="Harmon-Madden"/>
    <s v="Adaptive holistic hub"/>
    <n v="700"/>
    <n v="8262"/>
    <n v="11.802857142857142"/>
    <x v="1"/>
    <n v="76"/>
    <n v="108.71052631578948"/>
    <x v="1"/>
    <s v="USD"/>
    <n v="1330927200"/>
    <n v="1332997200"/>
    <x v="726"/>
    <d v="2012-03-29T05:00:00"/>
    <s v="Mon"/>
    <x v="47"/>
    <b v="0"/>
    <b v="1"/>
    <s v="film &amp; video/drama"/>
    <x v="4"/>
    <x v="6"/>
  </r>
  <r>
    <n v="807"/>
    <s v="Walker-Taylor"/>
    <s v="Automated uniform concept"/>
    <n v="700"/>
    <n v="1848"/>
    <n v="2.64"/>
    <x v="1"/>
    <n v="43"/>
    <n v="42.97674418604651"/>
    <x v="1"/>
    <s v="USD"/>
    <n v="1571115600"/>
    <n v="1574920800"/>
    <x v="727"/>
    <d v="2019-11-28T06:00:00"/>
    <s v="Tue"/>
    <x v="51"/>
    <b v="0"/>
    <b v="1"/>
    <s v="theater/plays"/>
    <x v="3"/>
    <x v="3"/>
  </r>
  <r>
    <n v="808"/>
    <s v="Harris, Medina and Mitchell"/>
    <s v="Enhanced regional flexibility"/>
    <n v="5200"/>
    <n v="1583"/>
    <n v="0.30442307692307691"/>
    <x v="0"/>
    <n v="19"/>
    <n v="83.315789473684205"/>
    <x v="1"/>
    <s v="USD"/>
    <n v="1463461200"/>
    <n v="1464930000"/>
    <x v="728"/>
    <d v="2016-06-03T05:00:00"/>
    <s v="Tue"/>
    <x v="0"/>
    <b v="0"/>
    <b v="0"/>
    <s v="food/food trucks"/>
    <x v="0"/>
    <x v="0"/>
  </r>
  <r>
    <n v="809"/>
    <s v="Williams and Sons"/>
    <s v="Public-key bottom-line algorithm"/>
    <n v="140800"/>
    <n v="88536"/>
    <n v="0.62880681818181816"/>
    <x v="0"/>
    <n v="2108"/>
    <n v="42"/>
    <x v="5"/>
    <s v="CHF"/>
    <n v="1344920400"/>
    <n v="1345006800"/>
    <x v="729"/>
    <d v="2012-08-15T05:00:00"/>
    <s v="Tue"/>
    <x v="5"/>
    <b v="0"/>
    <b v="0"/>
    <s v="film &amp; video/documentary"/>
    <x v="4"/>
    <x v="4"/>
  </r>
  <r>
    <n v="810"/>
    <s v="Ball-Fisher"/>
    <s v="Multi-layered intangible instruction set"/>
    <n v="6400"/>
    <n v="12360"/>
    <n v="1.9312499999999999"/>
    <x v="1"/>
    <n v="221"/>
    <n v="55.927601809954751"/>
    <x v="1"/>
    <s v="USD"/>
    <n v="1511848800"/>
    <n v="1512712800"/>
    <x v="730"/>
    <d v="2017-12-08T06:00:00"/>
    <s v="Tue"/>
    <x v="39"/>
    <b v="0"/>
    <b v="1"/>
    <s v="theater/plays"/>
    <x v="3"/>
    <x v="3"/>
  </r>
  <r>
    <n v="811"/>
    <s v="Page, Holt and Mack"/>
    <s v="Fundamental methodical emulation"/>
    <n v="92500"/>
    <n v="71320"/>
    <n v="0.77102702702702708"/>
    <x v="0"/>
    <n v="679"/>
    <n v="105.03681885125184"/>
    <x v="1"/>
    <s v="USD"/>
    <n v="1452319200"/>
    <n v="1452492000"/>
    <x v="731"/>
    <d v="2016-01-11T06:00:00"/>
    <s v="Sat"/>
    <x v="1"/>
    <b v="0"/>
    <b v="1"/>
    <s v="games/video games"/>
    <x v="6"/>
    <x v="11"/>
  </r>
  <r>
    <n v="812"/>
    <s v="Landry Group"/>
    <s v="Expanded value-added hardware"/>
    <n v="59700"/>
    <n v="134640"/>
    <n v="2.2552763819095478"/>
    <x v="1"/>
    <n v="2805"/>
    <n v="48"/>
    <x v="0"/>
    <s v="CAD"/>
    <n v="1523854800"/>
    <n v="1524286800"/>
    <x v="78"/>
    <d v="2018-04-21T05:00:00"/>
    <s v="Mon"/>
    <x v="20"/>
    <b v="0"/>
    <b v="0"/>
    <s v="publishing/nonfiction"/>
    <x v="5"/>
    <x v="9"/>
  </r>
  <r>
    <n v="813"/>
    <s v="Buckley Group"/>
    <s v="Diverse high-level attitude"/>
    <n v="3200"/>
    <n v="7661"/>
    <n v="2.3940625"/>
    <x v="1"/>
    <n v="68"/>
    <n v="112.66176470588235"/>
    <x v="1"/>
    <s v="USD"/>
    <n v="1346043600"/>
    <n v="1346907600"/>
    <x v="732"/>
    <d v="2012-09-06T05:00:00"/>
    <s v="Mon"/>
    <x v="39"/>
    <b v="0"/>
    <b v="0"/>
    <s v="games/video games"/>
    <x v="6"/>
    <x v="11"/>
  </r>
  <r>
    <n v="814"/>
    <s v="Vincent PLC"/>
    <s v="Visionary 24hour analyzer"/>
    <n v="3200"/>
    <n v="2950"/>
    <n v="0.921875"/>
    <x v="0"/>
    <n v="36"/>
    <n v="81.944444444444443"/>
    <x v="3"/>
    <s v="DKK"/>
    <n v="1464325200"/>
    <n v="1464498000"/>
    <x v="733"/>
    <d v="2016-05-29T05:00:00"/>
    <s v="Fri"/>
    <x v="1"/>
    <b v="0"/>
    <b v="1"/>
    <s v="music/rock"/>
    <x v="1"/>
    <x v="1"/>
  </r>
  <r>
    <n v="815"/>
    <s v="Watson-Douglas"/>
    <s v="Centralized bandwidth-monitored leverage"/>
    <n v="9000"/>
    <n v="11721"/>
    <n v="1.3023333333333333"/>
    <x v="1"/>
    <n v="183"/>
    <n v="64.049180327868854"/>
    <x v="0"/>
    <s v="CAD"/>
    <n v="1511935200"/>
    <n v="1514181600"/>
    <x v="734"/>
    <d v="2017-12-25T06:00:00"/>
    <s v="Wed"/>
    <x v="28"/>
    <b v="0"/>
    <b v="0"/>
    <s v="music/rock"/>
    <x v="1"/>
    <x v="1"/>
  </r>
  <r>
    <n v="816"/>
    <s v="Jones, Casey and Jones"/>
    <s v="Ergonomic mission-critical moratorium"/>
    <n v="2300"/>
    <n v="14150"/>
    <n v="6.1521739130434785"/>
    <x v="1"/>
    <n v="133"/>
    <n v="106.39097744360902"/>
    <x v="1"/>
    <s v="USD"/>
    <n v="1392012000"/>
    <n v="1392184800"/>
    <x v="406"/>
    <d v="2014-02-12T06:00:00"/>
    <s v="Mon"/>
    <x v="1"/>
    <b v="1"/>
    <b v="1"/>
    <s v="theater/plays"/>
    <x v="3"/>
    <x v="3"/>
  </r>
  <r>
    <n v="817"/>
    <s v="Alvarez-Bauer"/>
    <s v="Front-line intermediate moderator"/>
    <n v="51300"/>
    <n v="189192"/>
    <n v="3.687953216374269"/>
    <x v="1"/>
    <n v="2489"/>
    <n v="76.011249497790274"/>
    <x v="6"/>
    <s v="EUR"/>
    <n v="1556946000"/>
    <n v="1559365200"/>
    <x v="735"/>
    <d v="2019-06-01T05:00:00"/>
    <s v="Sat"/>
    <x v="21"/>
    <b v="0"/>
    <b v="1"/>
    <s v="publishing/nonfiction"/>
    <x v="5"/>
    <x v="9"/>
  </r>
  <r>
    <n v="818"/>
    <s v="Martinez LLC"/>
    <s v="Automated local secured line"/>
    <n v="700"/>
    <n v="7664"/>
    <n v="10.948571428571428"/>
    <x v="1"/>
    <n v="69"/>
    <n v="111.07246376811594"/>
    <x v="1"/>
    <s v="USD"/>
    <n v="1548050400"/>
    <n v="1549173600"/>
    <x v="736"/>
    <d v="2019-02-03T06:00:00"/>
    <s v="Mon"/>
    <x v="35"/>
    <b v="0"/>
    <b v="1"/>
    <s v="theater/plays"/>
    <x v="3"/>
    <x v="3"/>
  </r>
  <r>
    <n v="819"/>
    <s v="Buck-Khan"/>
    <s v="Integrated bandwidth-monitored alliance"/>
    <n v="8900"/>
    <n v="4509"/>
    <n v="0.50662921348314605"/>
    <x v="0"/>
    <n v="47"/>
    <n v="95.936170212765958"/>
    <x v="1"/>
    <s v="USD"/>
    <n v="1353736800"/>
    <n v="1355032800"/>
    <x v="737"/>
    <d v="2012-12-09T06:00:00"/>
    <s v="Sat"/>
    <x v="16"/>
    <b v="1"/>
    <b v="0"/>
    <s v="games/video games"/>
    <x v="6"/>
    <x v="11"/>
  </r>
  <r>
    <n v="820"/>
    <s v="Valdez, Williams and Meyer"/>
    <s v="Cross-group heuristic forecast"/>
    <n v="1500"/>
    <n v="12009"/>
    <n v="8.0060000000000002"/>
    <x v="1"/>
    <n v="279"/>
    <n v="43.043010752688176"/>
    <x v="4"/>
    <s v="GBP"/>
    <n v="1532840400"/>
    <n v="1533963600"/>
    <x v="192"/>
    <d v="2018-08-11T05:00:00"/>
    <s v="Sun"/>
    <x v="35"/>
    <b v="0"/>
    <b v="1"/>
    <s v="music/rock"/>
    <x v="1"/>
    <x v="1"/>
  </r>
  <r>
    <n v="821"/>
    <s v="Alvarez-Andrews"/>
    <s v="Extended impactful secured line"/>
    <n v="4900"/>
    <n v="14273"/>
    <n v="2.9128571428571428"/>
    <x v="1"/>
    <n v="210"/>
    <n v="67.966666666666669"/>
    <x v="1"/>
    <s v="USD"/>
    <n v="1488261600"/>
    <n v="1489381200"/>
    <x v="738"/>
    <d v="2017-03-13T05:00:00"/>
    <s v="Tue"/>
    <x v="35"/>
    <b v="0"/>
    <b v="0"/>
    <s v="film &amp; video/documentary"/>
    <x v="4"/>
    <x v="4"/>
  </r>
  <r>
    <n v="822"/>
    <s v="Stewart and Sons"/>
    <s v="Distributed optimizing protocol"/>
    <n v="54000"/>
    <n v="188982"/>
    <n v="3.4996666666666667"/>
    <x v="1"/>
    <n v="2100"/>
    <n v="89.991428571428571"/>
    <x v="1"/>
    <s v="USD"/>
    <n v="1393567200"/>
    <n v="1395032400"/>
    <x v="739"/>
    <d v="2014-03-17T05:00:00"/>
    <s v="Fri"/>
    <x v="0"/>
    <b v="0"/>
    <b v="0"/>
    <s v="music/rock"/>
    <x v="1"/>
    <x v="1"/>
  </r>
  <r>
    <n v="823"/>
    <s v="Dyer Inc"/>
    <s v="Secured well-modulated system engine"/>
    <n v="4100"/>
    <n v="14640"/>
    <n v="3.5707317073170732"/>
    <x v="1"/>
    <n v="252"/>
    <n v="58.095238095238095"/>
    <x v="1"/>
    <s v="USD"/>
    <n v="1410325200"/>
    <n v="1412485200"/>
    <x v="613"/>
    <d v="2014-10-05T05:00:00"/>
    <s v="Wed"/>
    <x v="24"/>
    <b v="1"/>
    <b v="1"/>
    <s v="music/rock"/>
    <x v="1"/>
    <x v="1"/>
  </r>
  <r>
    <n v="824"/>
    <s v="Anderson, Williams and Cox"/>
    <s v="Streamlined national benchmark"/>
    <n v="85000"/>
    <n v="107516"/>
    <n v="1.2648941176470587"/>
    <x v="1"/>
    <n v="1280"/>
    <n v="83.996875000000003"/>
    <x v="1"/>
    <s v="USD"/>
    <n v="1276923600"/>
    <n v="1279688400"/>
    <x v="740"/>
    <d v="2010-07-21T05:00:00"/>
    <s v="Sat"/>
    <x v="48"/>
    <b v="0"/>
    <b v="1"/>
    <s v="publishing/nonfiction"/>
    <x v="5"/>
    <x v="9"/>
  </r>
  <r>
    <n v="825"/>
    <s v="Solomon PLC"/>
    <s v="Open-architected 24/7 infrastructure"/>
    <n v="3600"/>
    <n v="13950"/>
    <n v="3.875"/>
    <x v="1"/>
    <n v="157"/>
    <n v="88.853503184713375"/>
    <x v="4"/>
    <s v="GBP"/>
    <n v="1500958800"/>
    <n v="1501995600"/>
    <x v="145"/>
    <d v="2017-08-06T05:00:00"/>
    <s v="Tue"/>
    <x v="10"/>
    <b v="0"/>
    <b v="0"/>
    <s v="film &amp; video/shorts"/>
    <x v="4"/>
    <x v="12"/>
  </r>
  <r>
    <n v="826"/>
    <s v="Miller-Hubbard"/>
    <s v="Digitized 6thgeneration Local Area Network"/>
    <n v="2800"/>
    <n v="12797"/>
    <n v="4.5703571428571426"/>
    <x v="1"/>
    <n v="194"/>
    <n v="65.963917525773198"/>
    <x v="1"/>
    <s v="USD"/>
    <n v="1292220000"/>
    <n v="1294639200"/>
    <x v="741"/>
    <d v="2011-01-10T06:00:00"/>
    <s v="Mon"/>
    <x v="21"/>
    <b v="0"/>
    <b v="1"/>
    <s v="theater/plays"/>
    <x v="3"/>
    <x v="3"/>
  </r>
  <r>
    <n v="827"/>
    <s v="Miranda, Martinez and Lowery"/>
    <s v="Innovative actuating artificial intelligence"/>
    <n v="2300"/>
    <n v="6134"/>
    <n v="2.6669565217391304"/>
    <x v="1"/>
    <n v="82"/>
    <n v="74.804878048780495"/>
    <x v="2"/>
    <s v="AUD"/>
    <n v="1304398800"/>
    <n v="1305435600"/>
    <x v="742"/>
    <d v="2011-05-15T05:00:00"/>
    <s v="Tue"/>
    <x v="10"/>
    <b v="0"/>
    <b v="1"/>
    <s v="film &amp; video/drama"/>
    <x v="4"/>
    <x v="6"/>
  </r>
  <r>
    <n v="828"/>
    <s v="Munoz, Cherry and Bell"/>
    <s v="Cross-platform reciprocal budgetary management"/>
    <n v="7100"/>
    <n v="4899"/>
    <n v="0.69"/>
    <x v="0"/>
    <n v="70"/>
    <n v="69.98571428571428"/>
    <x v="1"/>
    <s v="USD"/>
    <n v="1535432400"/>
    <n v="1537592400"/>
    <x v="202"/>
    <d v="2018-09-22T05:00:00"/>
    <s v="Tue"/>
    <x v="24"/>
    <b v="0"/>
    <b v="0"/>
    <s v="theater/plays"/>
    <x v="3"/>
    <x v="3"/>
  </r>
  <r>
    <n v="829"/>
    <s v="Baker-Higgins"/>
    <s v="Vision-oriented scalable portal"/>
    <n v="9600"/>
    <n v="4929"/>
    <n v="0.51343749999999999"/>
    <x v="0"/>
    <n v="154"/>
    <n v="32.006493506493506"/>
    <x v="1"/>
    <s v="USD"/>
    <n v="1433826000"/>
    <n v="1435122000"/>
    <x v="743"/>
    <d v="2015-06-24T05:00:00"/>
    <s v="Tue"/>
    <x v="16"/>
    <b v="0"/>
    <b v="0"/>
    <s v="theater/plays"/>
    <x v="3"/>
    <x v="3"/>
  </r>
  <r>
    <n v="830"/>
    <s v="Johnson, Turner and Carroll"/>
    <s v="Persevering zero administration knowledge user"/>
    <n v="121600"/>
    <n v="1424"/>
    <n v="1.1710526315789473E-2"/>
    <x v="0"/>
    <n v="22"/>
    <n v="64.727272727272734"/>
    <x v="1"/>
    <s v="USD"/>
    <n v="1514959200"/>
    <n v="1520056800"/>
    <x v="744"/>
    <d v="2018-03-03T06:00:00"/>
    <s v="Wed"/>
    <x v="59"/>
    <b v="0"/>
    <b v="0"/>
    <s v="theater/plays"/>
    <x v="3"/>
    <x v="3"/>
  </r>
  <r>
    <n v="831"/>
    <s v="Ward PLC"/>
    <s v="Front-line bottom-line Graphic Interface"/>
    <n v="97100"/>
    <n v="105817"/>
    <n v="1.089773429454171"/>
    <x v="1"/>
    <n v="4233"/>
    <n v="24.998110087408456"/>
    <x v="1"/>
    <s v="USD"/>
    <n v="1332738000"/>
    <n v="1335675600"/>
    <x v="745"/>
    <d v="2012-04-29T05:00:00"/>
    <s v="Mon"/>
    <x v="15"/>
    <b v="0"/>
    <b v="0"/>
    <s v="photography/photography books"/>
    <x v="7"/>
    <x v="14"/>
  </r>
  <r>
    <n v="832"/>
    <s v="Bradley, Beck and Mayo"/>
    <s v="Synergized fault-tolerant hierarchy"/>
    <n v="43200"/>
    <n v="136156"/>
    <n v="3.1517592592592591"/>
    <x v="1"/>
    <n v="1297"/>
    <n v="104.97764070932922"/>
    <x v="3"/>
    <s v="DKK"/>
    <n v="1445490000"/>
    <n v="1448431200"/>
    <x v="746"/>
    <d v="2015-11-25T06:00:00"/>
    <s v="Thu"/>
    <x v="15"/>
    <b v="1"/>
    <b v="0"/>
    <s v="publishing/translations"/>
    <x v="5"/>
    <x v="18"/>
  </r>
  <r>
    <n v="833"/>
    <s v="Levine, Martin and Hernandez"/>
    <s v="Expanded asynchronous groupware"/>
    <n v="6800"/>
    <n v="10723"/>
    <n v="1.5769117647058823"/>
    <x v="1"/>
    <n v="165"/>
    <n v="64.987878787878785"/>
    <x v="3"/>
    <s v="DKK"/>
    <n v="1297663200"/>
    <n v="1298613600"/>
    <x v="747"/>
    <d v="2011-02-25T06:00:00"/>
    <s v="Mon"/>
    <x v="4"/>
    <b v="0"/>
    <b v="0"/>
    <s v="publishing/translations"/>
    <x v="5"/>
    <x v="18"/>
  </r>
  <r>
    <n v="834"/>
    <s v="Gallegos, Wagner and Gaines"/>
    <s v="Expanded fault-tolerant emulation"/>
    <n v="7300"/>
    <n v="11228"/>
    <n v="1.5380821917808218"/>
    <x v="1"/>
    <n v="119"/>
    <n v="94.352941176470594"/>
    <x v="1"/>
    <s v="USD"/>
    <n v="1371963600"/>
    <n v="1372482000"/>
    <x v="362"/>
    <d v="2013-06-29T05:00:00"/>
    <s v="Sun"/>
    <x v="8"/>
    <b v="0"/>
    <b v="0"/>
    <s v="theater/plays"/>
    <x v="3"/>
    <x v="3"/>
  </r>
  <r>
    <n v="835"/>
    <s v="Hodges, Smith and Kelly"/>
    <s v="Future-proofed 24hour model"/>
    <n v="86200"/>
    <n v="77355"/>
    <n v="0.89738979118329465"/>
    <x v="0"/>
    <n v="1758"/>
    <n v="44.001706484641637"/>
    <x v="1"/>
    <s v="USD"/>
    <n v="1425103200"/>
    <n v="1425621600"/>
    <x v="748"/>
    <d v="2015-03-06T06:00:00"/>
    <s v="Sat"/>
    <x v="8"/>
    <b v="0"/>
    <b v="0"/>
    <s v="technology/web"/>
    <x v="2"/>
    <x v="2"/>
  </r>
  <r>
    <n v="836"/>
    <s v="Macias Inc"/>
    <s v="Optimized didactic intranet"/>
    <n v="8100"/>
    <n v="6086"/>
    <n v="0.75135802469135804"/>
    <x v="0"/>
    <n v="94"/>
    <n v="64.744680851063833"/>
    <x v="1"/>
    <s v="USD"/>
    <n v="1265349600"/>
    <n v="1266300000"/>
    <x v="749"/>
    <d v="2010-02-16T06:00:00"/>
    <s v="Fri"/>
    <x v="4"/>
    <b v="0"/>
    <b v="0"/>
    <s v="music/indie rock"/>
    <x v="1"/>
    <x v="7"/>
  </r>
  <r>
    <n v="837"/>
    <s v="Cook-Ortiz"/>
    <s v="Right-sized dedicated standardization"/>
    <n v="17700"/>
    <n v="150960"/>
    <n v="8.5288135593220336"/>
    <x v="1"/>
    <n v="1797"/>
    <n v="84.00667779632721"/>
    <x v="1"/>
    <s v="USD"/>
    <n v="1301202000"/>
    <n v="1305867600"/>
    <x v="643"/>
    <d v="2011-05-20T05:00:00"/>
    <s v="Sun"/>
    <x v="40"/>
    <b v="0"/>
    <b v="0"/>
    <s v="music/jazz"/>
    <x v="1"/>
    <x v="17"/>
  </r>
  <r>
    <n v="838"/>
    <s v="Jordan-Fischer"/>
    <s v="Vision-oriented high-level extranet"/>
    <n v="6400"/>
    <n v="8890"/>
    <n v="1.3890625000000001"/>
    <x v="1"/>
    <n v="261"/>
    <n v="34.061302681992338"/>
    <x v="1"/>
    <s v="USD"/>
    <n v="1538024400"/>
    <n v="1538802000"/>
    <x v="750"/>
    <d v="2018-10-06T05:00:00"/>
    <s v="Thu"/>
    <x v="29"/>
    <b v="0"/>
    <b v="0"/>
    <s v="theater/plays"/>
    <x v="3"/>
    <x v="3"/>
  </r>
  <r>
    <n v="839"/>
    <s v="Pierce-Ramirez"/>
    <s v="Organized scalable initiative"/>
    <n v="7700"/>
    <n v="14644"/>
    <n v="1.9018181818181819"/>
    <x v="1"/>
    <n v="157"/>
    <n v="93.273885350318466"/>
    <x v="1"/>
    <s v="USD"/>
    <n v="1395032400"/>
    <n v="1398920400"/>
    <x v="751"/>
    <d v="2014-05-01T05:00:00"/>
    <s v="Mon"/>
    <x v="32"/>
    <b v="0"/>
    <b v="1"/>
    <s v="film &amp; video/documentary"/>
    <x v="4"/>
    <x v="4"/>
  </r>
  <r>
    <n v="840"/>
    <s v="Howell and Sons"/>
    <s v="Enhanced regional moderator"/>
    <n v="116300"/>
    <n v="116583"/>
    <n v="1.0024333619948409"/>
    <x v="1"/>
    <n v="3533"/>
    <n v="32.998301726577978"/>
    <x v="1"/>
    <s v="USD"/>
    <n v="1405486800"/>
    <n v="1405659600"/>
    <x v="752"/>
    <d v="2014-07-18T05:00:00"/>
    <s v="Wed"/>
    <x v="1"/>
    <b v="0"/>
    <b v="1"/>
    <s v="theater/plays"/>
    <x v="3"/>
    <x v="3"/>
  </r>
  <r>
    <n v="841"/>
    <s v="Garcia, Dunn and Richardson"/>
    <s v="Automated even-keeled emulation"/>
    <n v="9100"/>
    <n v="12991"/>
    <n v="1.4275824175824177"/>
    <x v="1"/>
    <n v="155"/>
    <n v="83.812903225806451"/>
    <x v="1"/>
    <s v="USD"/>
    <n v="1455861600"/>
    <n v="1457244000"/>
    <x v="753"/>
    <d v="2016-03-06T06:00:00"/>
    <s v="Fri"/>
    <x v="30"/>
    <b v="0"/>
    <b v="0"/>
    <s v="technology/web"/>
    <x v="2"/>
    <x v="2"/>
  </r>
  <r>
    <n v="842"/>
    <s v="Lawson and Sons"/>
    <s v="Reverse-engineered multi-tasking product"/>
    <n v="1500"/>
    <n v="8447"/>
    <n v="5.6313333333333331"/>
    <x v="1"/>
    <n v="132"/>
    <n v="63.992424242424242"/>
    <x v="6"/>
    <s v="EUR"/>
    <n v="1529038800"/>
    <n v="1529298000"/>
    <x v="754"/>
    <d v="2018-06-18T05:00:00"/>
    <s v="Fri"/>
    <x v="36"/>
    <b v="0"/>
    <b v="0"/>
    <s v="technology/wearables"/>
    <x v="2"/>
    <x v="8"/>
  </r>
  <r>
    <n v="843"/>
    <s v="Porter-Hicks"/>
    <s v="De-engineered next generation parallelism"/>
    <n v="8800"/>
    <n v="2703"/>
    <n v="0.30715909090909088"/>
    <x v="0"/>
    <n v="33"/>
    <n v="81.909090909090907"/>
    <x v="1"/>
    <s v="USD"/>
    <n v="1535259600"/>
    <n v="1535778000"/>
    <x v="755"/>
    <d v="2018-09-01T05:00:00"/>
    <s v="Sun"/>
    <x v="8"/>
    <b v="0"/>
    <b v="0"/>
    <s v="photography/photography books"/>
    <x v="7"/>
    <x v="14"/>
  </r>
  <r>
    <n v="844"/>
    <s v="Rodriguez-Hansen"/>
    <s v="Intuitive cohesive groupware"/>
    <n v="8800"/>
    <n v="8747"/>
    <n v="0.99397727272727276"/>
    <x v="3"/>
    <n v="94"/>
    <n v="93.053191489361708"/>
    <x v="1"/>
    <s v="USD"/>
    <n v="1327212000"/>
    <n v="1327471200"/>
    <x v="756"/>
    <d v="2012-01-25T06:00:00"/>
    <s v="Sun"/>
    <x v="36"/>
    <b v="0"/>
    <b v="0"/>
    <s v="film &amp; video/documentary"/>
    <x v="4"/>
    <x v="4"/>
  </r>
  <r>
    <n v="845"/>
    <s v="Williams LLC"/>
    <s v="Up-sized high-level access"/>
    <n v="69900"/>
    <n v="138087"/>
    <n v="1.9754935622317598"/>
    <x v="1"/>
    <n v="1354"/>
    <n v="101.98449039881831"/>
    <x v="4"/>
    <s v="GBP"/>
    <n v="1526360400"/>
    <n v="1529557200"/>
    <x v="757"/>
    <d v="2018-06-21T05:00:00"/>
    <s v="Tue"/>
    <x v="22"/>
    <b v="0"/>
    <b v="0"/>
    <s v="technology/web"/>
    <x v="2"/>
    <x v="2"/>
  </r>
  <r>
    <n v="846"/>
    <s v="Cooper, Stanley and Bryant"/>
    <s v="Phased empowering success"/>
    <n v="1000"/>
    <n v="5085"/>
    <n v="5.085"/>
    <x v="1"/>
    <n v="48"/>
    <n v="105.9375"/>
    <x v="1"/>
    <s v="USD"/>
    <n v="1532149200"/>
    <n v="1535259600"/>
    <x v="758"/>
    <d v="2018-08-26T05:00:00"/>
    <s v="Sat"/>
    <x v="38"/>
    <b v="1"/>
    <b v="1"/>
    <s v="technology/web"/>
    <x v="2"/>
    <x v="2"/>
  </r>
  <r>
    <n v="847"/>
    <s v="Miller, Glenn and Adams"/>
    <s v="Distributed actuating project"/>
    <n v="4700"/>
    <n v="11174"/>
    <n v="2.3774468085106384"/>
    <x v="1"/>
    <n v="110"/>
    <n v="101.58181818181818"/>
    <x v="1"/>
    <s v="USD"/>
    <n v="1515304800"/>
    <n v="1515564000"/>
    <x v="759"/>
    <d v="2018-01-10T06:00:00"/>
    <s v="Sun"/>
    <x v="36"/>
    <b v="0"/>
    <b v="0"/>
    <s v="food/food trucks"/>
    <x v="0"/>
    <x v="0"/>
  </r>
  <r>
    <n v="848"/>
    <s v="Cole, Salazar and Moreno"/>
    <s v="Robust motivating orchestration"/>
    <n v="3200"/>
    <n v="10831"/>
    <n v="3.3846875000000001"/>
    <x v="1"/>
    <n v="172"/>
    <n v="62.970930232558139"/>
    <x v="1"/>
    <s v="USD"/>
    <n v="1276318800"/>
    <n v="1277096400"/>
    <x v="760"/>
    <d v="2010-06-21T05:00:00"/>
    <s v="Sat"/>
    <x v="29"/>
    <b v="0"/>
    <b v="0"/>
    <s v="film &amp; video/drama"/>
    <x v="4"/>
    <x v="6"/>
  </r>
  <r>
    <n v="849"/>
    <s v="Jones-Ryan"/>
    <s v="Vision-oriented uniform instruction set"/>
    <n v="6700"/>
    <n v="8917"/>
    <n v="1.3308955223880596"/>
    <x v="1"/>
    <n v="307"/>
    <n v="29.045602605863191"/>
    <x v="1"/>
    <s v="USD"/>
    <n v="1328767200"/>
    <n v="1329026400"/>
    <x v="761"/>
    <d v="2012-02-12T06:00:00"/>
    <s v="Thu"/>
    <x v="36"/>
    <b v="0"/>
    <b v="1"/>
    <s v="music/indie rock"/>
    <x v="1"/>
    <x v="7"/>
  </r>
  <r>
    <n v="850"/>
    <s v="Hood, Perez and Meadows"/>
    <s v="Cross-group upward-trending hierarchy"/>
    <n v="100"/>
    <n v="1"/>
    <n v="0.01"/>
    <x v="0"/>
    <n v="1"/>
    <n v="1"/>
    <x v="1"/>
    <s v="USD"/>
    <n v="1321682400"/>
    <n v="1322978400"/>
    <x v="762"/>
    <d v="2011-12-04T06:00:00"/>
    <s v="Sat"/>
    <x v="16"/>
    <b v="1"/>
    <b v="0"/>
    <s v="music/rock"/>
    <x v="1"/>
    <x v="1"/>
  </r>
  <r>
    <n v="851"/>
    <s v="Bright and Sons"/>
    <s v="Object-based needs-based info-mediaries"/>
    <n v="6000"/>
    <n v="12468"/>
    <n v="2.0779999999999998"/>
    <x v="1"/>
    <n v="160"/>
    <n v="77.924999999999997"/>
    <x v="1"/>
    <s v="USD"/>
    <n v="1335934800"/>
    <n v="1338786000"/>
    <x v="444"/>
    <d v="2012-06-04T05:00:00"/>
    <s v="Wed"/>
    <x v="25"/>
    <b v="0"/>
    <b v="0"/>
    <s v="music/electric music"/>
    <x v="1"/>
    <x v="5"/>
  </r>
  <r>
    <n v="852"/>
    <s v="Brady Ltd"/>
    <s v="Open-source reciprocal standardization"/>
    <n v="4900"/>
    <n v="2505"/>
    <n v="0.51122448979591839"/>
    <x v="0"/>
    <n v="31"/>
    <n v="80.806451612903231"/>
    <x v="1"/>
    <s v="USD"/>
    <n v="1310792400"/>
    <n v="1311656400"/>
    <x v="763"/>
    <d v="2011-07-26T05:00:00"/>
    <s v="Sat"/>
    <x v="39"/>
    <b v="0"/>
    <b v="1"/>
    <s v="games/video games"/>
    <x v="6"/>
    <x v="11"/>
  </r>
  <r>
    <n v="853"/>
    <s v="Collier LLC"/>
    <s v="Secured well-modulated projection"/>
    <n v="17100"/>
    <n v="111502"/>
    <n v="6.5205847953216374"/>
    <x v="1"/>
    <n v="1467"/>
    <n v="76.006816632583508"/>
    <x v="0"/>
    <s v="CAD"/>
    <n v="1308546000"/>
    <n v="1308978000"/>
    <x v="764"/>
    <d v="2011-06-25T05:00:00"/>
    <s v="Mon"/>
    <x v="20"/>
    <b v="0"/>
    <b v="1"/>
    <s v="music/indie rock"/>
    <x v="1"/>
    <x v="7"/>
  </r>
  <r>
    <n v="854"/>
    <s v="Campbell, Thomas and Obrien"/>
    <s v="Multi-channeled secondary middleware"/>
    <n v="171000"/>
    <n v="194309"/>
    <n v="1.1363099415204678"/>
    <x v="1"/>
    <n v="2662"/>
    <n v="72.993613824192337"/>
    <x v="0"/>
    <s v="CAD"/>
    <n v="1574056800"/>
    <n v="1576389600"/>
    <x v="765"/>
    <d v="2019-12-15T06:00:00"/>
    <s v="Mon"/>
    <x v="11"/>
    <b v="0"/>
    <b v="0"/>
    <s v="publishing/fiction"/>
    <x v="5"/>
    <x v="13"/>
  </r>
  <r>
    <n v="855"/>
    <s v="Moses-Terry"/>
    <s v="Horizontal clear-thinking framework"/>
    <n v="23400"/>
    <n v="23956"/>
    <n v="1.0237606837606839"/>
    <x v="1"/>
    <n v="452"/>
    <n v="53"/>
    <x v="2"/>
    <s v="AUD"/>
    <n v="1308373200"/>
    <n v="1311051600"/>
    <x v="766"/>
    <d v="2011-07-19T05:00:00"/>
    <s v="Sat"/>
    <x v="52"/>
    <b v="0"/>
    <b v="0"/>
    <s v="theater/plays"/>
    <x v="3"/>
    <x v="3"/>
  </r>
  <r>
    <n v="856"/>
    <s v="Williams and Sons"/>
    <s v="Profound composite core"/>
    <n v="2400"/>
    <n v="8558"/>
    <n v="3.5658333333333334"/>
    <x v="1"/>
    <n v="158"/>
    <n v="54.164556962025316"/>
    <x v="1"/>
    <s v="USD"/>
    <n v="1335243600"/>
    <n v="1336712400"/>
    <x v="767"/>
    <d v="2012-05-11T05:00:00"/>
    <s v="Tue"/>
    <x v="0"/>
    <b v="0"/>
    <b v="0"/>
    <s v="food/food trucks"/>
    <x v="0"/>
    <x v="0"/>
  </r>
  <r>
    <n v="857"/>
    <s v="Miranda, Gray and Hale"/>
    <s v="Programmable disintermediate matrices"/>
    <n v="5300"/>
    <n v="7413"/>
    <n v="1.3986792452830188"/>
    <x v="1"/>
    <n v="225"/>
    <n v="32.946666666666665"/>
    <x v="5"/>
    <s v="CHF"/>
    <n v="1328421600"/>
    <n v="1330408800"/>
    <x v="768"/>
    <d v="2012-02-28T06:00:00"/>
    <s v="Sun"/>
    <x v="19"/>
    <b v="1"/>
    <b v="0"/>
    <s v="film &amp; video/shorts"/>
    <x v="4"/>
    <x v="12"/>
  </r>
  <r>
    <n v="858"/>
    <s v="Ayala, Crawford and Taylor"/>
    <s v="Realigned 5thgeneration knowledge user"/>
    <n v="4000"/>
    <n v="2778"/>
    <n v="0.69450000000000001"/>
    <x v="0"/>
    <n v="35"/>
    <n v="79.371428571428567"/>
    <x v="1"/>
    <s v="USD"/>
    <n v="1524286800"/>
    <n v="1524891600"/>
    <x v="769"/>
    <d v="2018-04-28T05:00:00"/>
    <s v="Sat"/>
    <x v="34"/>
    <b v="1"/>
    <b v="0"/>
    <s v="food/food trucks"/>
    <x v="0"/>
    <x v="0"/>
  </r>
  <r>
    <n v="859"/>
    <s v="Martinez Ltd"/>
    <s v="Multi-layered upward-trending groupware"/>
    <n v="7300"/>
    <n v="2594"/>
    <n v="0.35534246575342465"/>
    <x v="0"/>
    <n v="63"/>
    <n v="41.174603174603178"/>
    <x v="1"/>
    <s v="USD"/>
    <n v="1362117600"/>
    <n v="1363669200"/>
    <x v="770"/>
    <d v="2013-03-19T05:00:00"/>
    <s v="Fri"/>
    <x v="42"/>
    <b v="0"/>
    <b v="1"/>
    <s v="theater/plays"/>
    <x v="3"/>
    <x v="3"/>
  </r>
  <r>
    <n v="860"/>
    <s v="Lee PLC"/>
    <s v="Re-contextualized leadingedge firmware"/>
    <n v="2000"/>
    <n v="5033"/>
    <n v="2.5165000000000002"/>
    <x v="1"/>
    <n v="65"/>
    <n v="77.430769230769229"/>
    <x v="1"/>
    <s v="USD"/>
    <n v="1550556000"/>
    <n v="1551420000"/>
    <x v="771"/>
    <d v="2019-03-01T06:00:00"/>
    <s v="Tue"/>
    <x v="39"/>
    <b v="0"/>
    <b v="1"/>
    <s v="technology/wearables"/>
    <x v="2"/>
    <x v="8"/>
  </r>
  <r>
    <n v="861"/>
    <s v="Young, Ramsey and Powell"/>
    <s v="Devolved disintermediate analyzer"/>
    <n v="8800"/>
    <n v="9317"/>
    <n v="1.0587500000000001"/>
    <x v="1"/>
    <n v="163"/>
    <n v="57.159509202453989"/>
    <x v="1"/>
    <s v="USD"/>
    <n v="1269147600"/>
    <n v="1269838800"/>
    <x v="772"/>
    <d v="2010-03-29T05:00:00"/>
    <s v="Sun"/>
    <x v="9"/>
    <b v="0"/>
    <b v="0"/>
    <s v="theater/plays"/>
    <x v="3"/>
    <x v="3"/>
  </r>
  <r>
    <n v="862"/>
    <s v="Lewis and Sons"/>
    <s v="Profound disintermediate open system"/>
    <n v="3500"/>
    <n v="6560"/>
    <n v="1.8742857142857143"/>
    <x v="1"/>
    <n v="85"/>
    <n v="77.17647058823529"/>
    <x v="1"/>
    <s v="USD"/>
    <n v="1312174800"/>
    <n v="1312520400"/>
    <x v="773"/>
    <d v="2011-08-05T05:00:00"/>
    <s v="Mon"/>
    <x v="3"/>
    <b v="0"/>
    <b v="0"/>
    <s v="theater/plays"/>
    <x v="3"/>
    <x v="3"/>
  </r>
  <r>
    <n v="863"/>
    <s v="Davis-Johnson"/>
    <s v="Automated reciprocal protocol"/>
    <n v="1400"/>
    <n v="5415"/>
    <n v="3.8678571428571429"/>
    <x v="1"/>
    <n v="217"/>
    <n v="24.953917050691246"/>
    <x v="1"/>
    <s v="USD"/>
    <n v="1434517200"/>
    <n v="1436504400"/>
    <x v="774"/>
    <d v="2015-07-10T05:00:00"/>
    <s v="Wed"/>
    <x v="19"/>
    <b v="0"/>
    <b v="1"/>
    <s v="film &amp; video/television"/>
    <x v="4"/>
    <x v="19"/>
  </r>
  <r>
    <n v="864"/>
    <s v="Stevenson-Thompson"/>
    <s v="Automated static workforce"/>
    <n v="4200"/>
    <n v="14577"/>
    <n v="3.4707142857142856"/>
    <x v="1"/>
    <n v="150"/>
    <n v="97.18"/>
    <x v="1"/>
    <s v="USD"/>
    <n v="1471582800"/>
    <n v="1472014800"/>
    <x v="775"/>
    <d v="2016-08-24T05:00:00"/>
    <s v="Fri"/>
    <x v="20"/>
    <b v="0"/>
    <b v="0"/>
    <s v="film &amp; video/shorts"/>
    <x v="4"/>
    <x v="12"/>
  </r>
  <r>
    <n v="865"/>
    <s v="Ellis, Smith and Armstrong"/>
    <s v="Horizontal attitude-oriented help-desk"/>
    <n v="81000"/>
    <n v="150515"/>
    <n v="1.8582098765432098"/>
    <x v="1"/>
    <n v="3272"/>
    <n v="46.000916870415651"/>
    <x v="1"/>
    <s v="USD"/>
    <n v="1410757200"/>
    <n v="1411534800"/>
    <x v="776"/>
    <d v="2014-09-24T05:00:00"/>
    <s v="Mon"/>
    <x v="29"/>
    <b v="0"/>
    <b v="0"/>
    <s v="theater/plays"/>
    <x v="3"/>
    <x v="3"/>
  </r>
  <r>
    <n v="866"/>
    <s v="Jackson-Brown"/>
    <s v="Versatile 5thgeneration matrices"/>
    <n v="182800"/>
    <n v="79045"/>
    <n v="0.43241247264770238"/>
    <x v="3"/>
    <n v="898"/>
    <n v="88.023385300668153"/>
    <x v="1"/>
    <s v="USD"/>
    <n v="1304830800"/>
    <n v="1304917200"/>
    <x v="777"/>
    <d v="2011-05-09T05:00:00"/>
    <s v="Sun"/>
    <x v="5"/>
    <b v="0"/>
    <b v="0"/>
    <s v="photography/photography books"/>
    <x v="7"/>
    <x v="14"/>
  </r>
  <r>
    <n v="867"/>
    <s v="Kane, Pruitt and Rivera"/>
    <s v="Cross-platform next generation service-desk"/>
    <n v="4800"/>
    <n v="7797"/>
    <n v="1.6243749999999999"/>
    <x v="1"/>
    <n v="300"/>
    <n v="25.99"/>
    <x v="1"/>
    <s v="USD"/>
    <n v="1539061200"/>
    <n v="1539579600"/>
    <x v="778"/>
    <d v="2018-10-15T05:00:00"/>
    <s v="Tue"/>
    <x v="8"/>
    <b v="0"/>
    <b v="0"/>
    <s v="food/food trucks"/>
    <x v="0"/>
    <x v="0"/>
  </r>
  <r>
    <n v="868"/>
    <s v="Wood, Buckley and Meza"/>
    <s v="Front-line web-enabled installation"/>
    <n v="7000"/>
    <n v="12939"/>
    <n v="1.8484285714285715"/>
    <x v="1"/>
    <n v="126"/>
    <n v="102.69047619047619"/>
    <x v="1"/>
    <s v="USD"/>
    <n v="1381554000"/>
    <n v="1382504400"/>
    <x v="779"/>
    <d v="2013-10-23T05:00:00"/>
    <s v="Sat"/>
    <x v="4"/>
    <b v="0"/>
    <b v="0"/>
    <s v="theater/plays"/>
    <x v="3"/>
    <x v="3"/>
  </r>
  <r>
    <n v="869"/>
    <s v="Brown-Williams"/>
    <s v="Multi-channeled responsive product"/>
    <n v="161900"/>
    <n v="38376"/>
    <n v="0.23703520691785052"/>
    <x v="0"/>
    <n v="526"/>
    <n v="72.958174904942965"/>
    <x v="1"/>
    <s v="USD"/>
    <n v="1277096400"/>
    <n v="1278306000"/>
    <x v="780"/>
    <d v="2010-07-05T05:00:00"/>
    <s v="Mon"/>
    <x v="26"/>
    <b v="0"/>
    <b v="0"/>
    <s v="film &amp; video/drama"/>
    <x v="4"/>
    <x v="6"/>
  </r>
  <r>
    <n v="870"/>
    <s v="Hansen-Austin"/>
    <s v="Adaptive demand-driven encryption"/>
    <n v="7700"/>
    <n v="6920"/>
    <n v="0.89870129870129867"/>
    <x v="0"/>
    <n v="121"/>
    <n v="57.190082644628099"/>
    <x v="1"/>
    <s v="USD"/>
    <n v="1440392400"/>
    <n v="1442552400"/>
    <x v="335"/>
    <d v="2015-09-18T05:00:00"/>
    <s v="Mon"/>
    <x v="24"/>
    <b v="0"/>
    <b v="0"/>
    <s v="theater/plays"/>
    <x v="3"/>
    <x v="3"/>
  </r>
  <r>
    <n v="871"/>
    <s v="Santana-George"/>
    <s v="Re-engineered client-driven knowledge user"/>
    <n v="71500"/>
    <n v="194912"/>
    <n v="2.7260419580419581"/>
    <x v="1"/>
    <n v="2320"/>
    <n v="84.013793103448279"/>
    <x v="1"/>
    <s v="USD"/>
    <n v="1509512400"/>
    <n v="1511071200"/>
    <x v="535"/>
    <d v="2017-11-19T06:00:00"/>
    <s v="Wed"/>
    <x v="42"/>
    <b v="0"/>
    <b v="1"/>
    <s v="theater/plays"/>
    <x v="3"/>
    <x v="3"/>
  </r>
  <r>
    <n v="872"/>
    <s v="Davis LLC"/>
    <s v="Compatible logistical paradigm"/>
    <n v="4700"/>
    <n v="7992"/>
    <n v="1.7004255319148935"/>
    <x v="1"/>
    <n v="81"/>
    <n v="98.666666666666671"/>
    <x v="2"/>
    <s v="AUD"/>
    <n v="1535950800"/>
    <n v="1536382800"/>
    <x v="270"/>
    <d v="2018-09-08T05:00:00"/>
    <s v="Mon"/>
    <x v="20"/>
    <b v="0"/>
    <b v="0"/>
    <s v="film &amp; video/science fiction"/>
    <x v="4"/>
    <x v="22"/>
  </r>
  <r>
    <n v="873"/>
    <s v="Vazquez, Ochoa and Clark"/>
    <s v="Intuitive value-added installation"/>
    <n v="42100"/>
    <n v="79268"/>
    <n v="1.8828503562945369"/>
    <x v="1"/>
    <n v="1887"/>
    <n v="42.007419183889773"/>
    <x v="1"/>
    <s v="USD"/>
    <n v="1389160800"/>
    <n v="1389592800"/>
    <x v="781"/>
    <d v="2014-01-13T06:00:00"/>
    <s v="Wed"/>
    <x v="20"/>
    <b v="0"/>
    <b v="0"/>
    <s v="photography/photography books"/>
    <x v="7"/>
    <x v="14"/>
  </r>
  <r>
    <n v="874"/>
    <s v="Chung-Nguyen"/>
    <s v="Managed discrete parallelism"/>
    <n v="40200"/>
    <n v="139468"/>
    <n v="3.4693532338308457"/>
    <x v="1"/>
    <n v="4358"/>
    <n v="32.002753556677376"/>
    <x v="1"/>
    <s v="USD"/>
    <n v="1271998800"/>
    <n v="1275282000"/>
    <x v="782"/>
    <d v="2010-05-31T05:00:00"/>
    <s v="Fri"/>
    <x v="53"/>
    <b v="0"/>
    <b v="1"/>
    <s v="photography/photography books"/>
    <x v="7"/>
    <x v="14"/>
  </r>
  <r>
    <n v="875"/>
    <s v="Mueller-Harmon"/>
    <s v="Implemented tangible approach"/>
    <n v="7900"/>
    <n v="5465"/>
    <n v="0.6917721518987342"/>
    <x v="0"/>
    <n v="67"/>
    <n v="81.567164179104481"/>
    <x v="1"/>
    <s v="USD"/>
    <n v="1294898400"/>
    <n v="1294984800"/>
    <x v="783"/>
    <d v="2011-01-14T06:00:00"/>
    <s v="Thu"/>
    <x v="5"/>
    <b v="0"/>
    <b v="0"/>
    <s v="music/rock"/>
    <x v="1"/>
    <x v="1"/>
  </r>
  <r>
    <n v="876"/>
    <s v="Dixon, Perez and Banks"/>
    <s v="Re-engineered encompassing definition"/>
    <n v="8300"/>
    <n v="2111"/>
    <n v="0.25433734939759034"/>
    <x v="0"/>
    <n v="57"/>
    <n v="37.035087719298247"/>
    <x v="0"/>
    <s v="CAD"/>
    <n v="1559970000"/>
    <n v="1562043600"/>
    <x v="784"/>
    <d v="2019-07-02T05:00:00"/>
    <s v="Sat"/>
    <x v="47"/>
    <b v="0"/>
    <b v="0"/>
    <s v="photography/photography books"/>
    <x v="7"/>
    <x v="14"/>
  </r>
  <r>
    <n v="877"/>
    <s v="Estrada Group"/>
    <s v="Multi-lateral uniform collaboration"/>
    <n v="163600"/>
    <n v="126628"/>
    <n v="0.77400977995110021"/>
    <x v="0"/>
    <n v="1229"/>
    <n v="103.033360455655"/>
    <x v="1"/>
    <s v="USD"/>
    <n v="1469509200"/>
    <n v="1469595600"/>
    <x v="785"/>
    <d v="2016-07-27T05:00:00"/>
    <s v="Tue"/>
    <x v="5"/>
    <b v="0"/>
    <b v="0"/>
    <s v="food/food trucks"/>
    <x v="0"/>
    <x v="0"/>
  </r>
  <r>
    <n v="878"/>
    <s v="Lutz Group"/>
    <s v="Enterprise-wide foreground paradigm"/>
    <n v="2700"/>
    <n v="1012"/>
    <n v="0.37481481481481482"/>
    <x v="0"/>
    <n v="12"/>
    <n v="84.333333333333329"/>
    <x v="6"/>
    <s v="EUR"/>
    <n v="1579068000"/>
    <n v="1581141600"/>
    <x v="786"/>
    <d v="2020-02-08T06:00:00"/>
    <s v="Wed"/>
    <x v="47"/>
    <b v="0"/>
    <b v="0"/>
    <s v="music/metal"/>
    <x v="1"/>
    <x v="16"/>
  </r>
  <r>
    <n v="879"/>
    <s v="Ortiz Inc"/>
    <s v="Stand-alone incremental parallelism"/>
    <n v="1000"/>
    <n v="5438"/>
    <n v="5.4379999999999997"/>
    <x v="1"/>
    <n v="53"/>
    <n v="102.60377358490567"/>
    <x v="1"/>
    <s v="USD"/>
    <n v="1487743200"/>
    <n v="1488520800"/>
    <x v="787"/>
    <d v="2017-03-03T06:00:00"/>
    <s v="Wed"/>
    <x v="29"/>
    <b v="0"/>
    <b v="0"/>
    <s v="publishing/nonfiction"/>
    <x v="5"/>
    <x v="9"/>
  </r>
  <r>
    <n v="880"/>
    <s v="Craig, Ellis and Miller"/>
    <s v="Persevering 5thgeneration throughput"/>
    <n v="84500"/>
    <n v="193101"/>
    <n v="2.2852189349112426"/>
    <x v="1"/>
    <n v="2414"/>
    <n v="79.992129246064621"/>
    <x v="1"/>
    <s v="USD"/>
    <n v="1563685200"/>
    <n v="1563858000"/>
    <x v="788"/>
    <d v="2019-07-23T05:00:00"/>
    <s v="Sun"/>
    <x v="1"/>
    <b v="0"/>
    <b v="0"/>
    <s v="music/electric music"/>
    <x v="1"/>
    <x v="5"/>
  </r>
  <r>
    <n v="881"/>
    <s v="Charles Inc"/>
    <s v="Implemented object-oriented synergy"/>
    <n v="81300"/>
    <n v="31665"/>
    <n v="0.38948339483394834"/>
    <x v="0"/>
    <n v="452"/>
    <n v="70.055309734513273"/>
    <x v="1"/>
    <s v="USD"/>
    <n v="1436418000"/>
    <n v="1438923600"/>
    <x v="330"/>
    <d v="2015-08-07T05:00:00"/>
    <s v="Thu"/>
    <x v="41"/>
    <b v="0"/>
    <b v="1"/>
    <s v="theater/plays"/>
    <x v="3"/>
    <x v="3"/>
  </r>
  <r>
    <n v="882"/>
    <s v="White-Rosario"/>
    <s v="Balanced demand-driven definition"/>
    <n v="800"/>
    <n v="2960"/>
    <n v="3.7"/>
    <x v="1"/>
    <n v="80"/>
    <n v="37"/>
    <x v="1"/>
    <s v="USD"/>
    <n v="1421820000"/>
    <n v="1422165600"/>
    <x v="789"/>
    <d v="2015-01-25T06:00:00"/>
    <s v="Wed"/>
    <x v="3"/>
    <b v="0"/>
    <b v="0"/>
    <s v="theater/plays"/>
    <x v="3"/>
    <x v="3"/>
  </r>
  <r>
    <n v="883"/>
    <s v="Simmons-Villarreal"/>
    <s v="Customer-focused mobile Graphic Interface"/>
    <n v="3400"/>
    <n v="8089"/>
    <n v="2.3791176470588233"/>
    <x v="1"/>
    <n v="193"/>
    <n v="41.911917098445599"/>
    <x v="1"/>
    <s v="USD"/>
    <n v="1274763600"/>
    <n v="1277874000"/>
    <x v="790"/>
    <d v="2010-06-30T05:00:00"/>
    <s v="Tue"/>
    <x v="38"/>
    <b v="0"/>
    <b v="0"/>
    <s v="film &amp; video/shorts"/>
    <x v="4"/>
    <x v="12"/>
  </r>
  <r>
    <n v="884"/>
    <s v="Strickland Group"/>
    <s v="Horizontal secondary interface"/>
    <n v="170800"/>
    <n v="109374"/>
    <n v="0.64036299765807958"/>
    <x v="0"/>
    <n v="1886"/>
    <n v="57.992576882290564"/>
    <x v="1"/>
    <s v="USD"/>
    <n v="1399179600"/>
    <n v="1399352400"/>
    <x v="791"/>
    <d v="2014-05-06T05:00:00"/>
    <s v="Sun"/>
    <x v="1"/>
    <b v="0"/>
    <b v="1"/>
    <s v="theater/plays"/>
    <x v="3"/>
    <x v="3"/>
  </r>
  <r>
    <n v="885"/>
    <s v="Lynch Ltd"/>
    <s v="Virtual analyzing collaboration"/>
    <n v="1800"/>
    <n v="2129"/>
    <n v="1.1827777777777777"/>
    <x v="1"/>
    <n v="52"/>
    <n v="40.942307692307693"/>
    <x v="1"/>
    <s v="USD"/>
    <n v="1275800400"/>
    <n v="1279083600"/>
    <x v="792"/>
    <d v="2010-07-14T05:00:00"/>
    <s v="Sun"/>
    <x v="53"/>
    <b v="0"/>
    <b v="0"/>
    <s v="theater/plays"/>
    <x v="3"/>
    <x v="3"/>
  </r>
  <r>
    <n v="886"/>
    <s v="Sanders LLC"/>
    <s v="Multi-tiered explicit focus group"/>
    <n v="150600"/>
    <n v="127745"/>
    <n v="0.84824037184594958"/>
    <x v="0"/>
    <n v="1825"/>
    <n v="69.9972602739726"/>
    <x v="1"/>
    <s v="USD"/>
    <n v="1282798800"/>
    <n v="1284354000"/>
    <x v="793"/>
    <d v="2010-09-13T05:00:00"/>
    <s v="Thu"/>
    <x v="42"/>
    <b v="0"/>
    <b v="0"/>
    <s v="music/indie rock"/>
    <x v="1"/>
    <x v="7"/>
  </r>
  <r>
    <n v="887"/>
    <s v="Cooper LLC"/>
    <s v="Multi-layered systematic knowledgebase"/>
    <n v="7800"/>
    <n v="2289"/>
    <n v="0.29346153846153844"/>
    <x v="0"/>
    <n v="31"/>
    <n v="73.838709677419359"/>
    <x v="1"/>
    <s v="USD"/>
    <n v="1437109200"/>
    <n v="1441170000"/>
    <x v="794"/>
    <d v="2015-09-02T05:00:00"/>
    <s v="Fri"/>
    <x v="37"/>
    <b v="0"/>
    <b v="1"/>
    <s v="theater/plays"/>
    <x v="3"/>
    <x v="3"/>
  </r>
  <r>
    <n v="888"/>
    <s v="Palmer Ltd"/>
    <s v="Reverse-engineered uniform knowledge user"/>
    <n v="5800"/>
    <n v="12174"/>
    <n v="2.0989655172413793"/>
    <x v="1"/>
    <n v="290"/>
    <n v="41.979310344827589"/>
    <x v="1"/>
    <s v="USD"/>
    <n v="1491886800"/>
    <n v="1493528400"/>
    <x v="795"/>
    <d v="2017-04-30T05:00:00"/>
    <s v="Tue"/>
    <x v="27"/>
    <b v="0"/>
    <b v="0"/>
    <s v="theater/plays"/>
    <x v="3"/>
    <x v="3"/>
  </r>
  <r>
    <n v="889"/>
    <s v="Santos Group"/>
    <s v="Secured dynamic capacity"/>
    <n v="5600"/>
    <n v="9508"/>
    <n v="1.697857142857143"/>
    <x v="1"/>
    <n v="122"/>
    <n v="77.93442622950819"/>
    <x v="1"/>
    <s v="USD"/>
    <n v="1394600400"/>
    <n v="1395205200"/>
    <x v="796"/>
    <d v="2014-03-19T05:00:00"/>
    <s v="Wed"/>
    <x v="34"/>
    <b v="0"/>
    <b v="1"/>
    <s v="music/electric music"/>
    <x v="1"/>
    <x v="5"/>
  </r>
  <r>
    <n v="890"/>
    <s v="Christian, Kim and Jimenez"/>
    <s v="Devolved foreground throughput"/>
    <n v="134400"/>
    <n v="155849"/>
    <n v="1.1595907738095239"/>
    <x v="1"/>
    <n v="1470"/>
    <n v="106.01972789115646"/>
    <x v="1"/>
    <s v="USD"/>
    <n v="1561352400"/>
    <n v="1561438800"/>
    <x v="797"/>
    <d v="2019-06-25T05:00:00"/>
    <s v="Mon"/>
    <x v="5"/>
    <b v="0"/>
    <b v="0"/>
    <s v="music/indie rock"/>
    <x v="1"/>
    <x v="7"/>
  </r>
  <r>
    <n v="891"/>
    <s v="Williams, Price and Hurley"/>
    <s v="Synchronized demand-driven infrastructure"/>
    <n v="3000"/>
    <n v="7758"/>
    <n v="2.5859999999999999"/>
    <x v="1"/>
    <n v="165"/>
    <n v="47.018181818181816"/>
    <x v="0"/>
    <s v="CAD"/>
    <n v="1322892000"/>
    <n v="1326693600"/>
    <x v="798"/>
    <d v="2012-01-16T06:00:00"/>
    <s v="Sat"/>
    <x v="51"/>
    <b v="0"/>
    <b v="0"/>
    <s v="film &amp; video/documentary"/>
    <x v="4"/>
    <x v="4"/>
  </r>
  <r>
    <n v="892"/>
    <s v="Anderson, Parks and Estrada"/>
    <s v="Realigned discrete structure"/>
    <n v="6000"/>
    <n v="13835"/>
    <n v="2.3058333333333332"/>
    <x v="1"/>
    <n v="182"/>
    <n v="76.016483516483518"/>
    <x v="1"/>
    <s v="USD"/>
    <n v="1274418000"/>
    <n v="1277960400"/>
    <x v="799"/>
    <d v="2010-07-01T05:00:00"/>
    <s v="Fri"/>
    <x v="44"/>
    <b v="0"/>
    <b v="0"/>
    <s v="publishing/translations"/>
    <x v="5"/>
    <x v="18"/>
  </r>
  <r>
    <n v="893"/>
    <s v="Collins-Martinez"/>
    <s v="Progressive grid-enabled website"/>
    <n v="8400"/>
    <n v="10770"/>
    <n v="1.2821428571428573"/>
    <x v="1"/>
    <n v="199"/>
    <n v="54.120603015075375"/>
    <x v="6"/>
    <s v="EUR"/>
    <n v="1434344400"/>
    <n v="1434690000"/>
    <x v="800"/>
    <d v="2015-06-19T05:00:00"/>
    <s v="Mon"/>
    <x v="3"/>
    <b v="0"/>
    <b v="1"/>
    <s v="film &amp; video/documentary"/>
    <x v="4"/>
    <x v="4"/>
  </r>
  <r>
    <n v="894"/>
    <s v="Barrett Inc"/>
    <s v="Organic cohesive neural-net"/>
    <n v="1700"/>
    <n v="3208"/>
    <n v="1.8870588235294117"/>
    <x v="1"/>
    <n v="56"/>
    <n v="57.285714285714285"/>
    <x v="4"/>
    <s v="GBP"/>
    <n v="1373518800"/>
    <n v="1376110800"/>
    <x v="801"/>
    <d v="2013-08-10T05:00:00"/>
    <s v="Thu"/>
    <x v="31"/>
    <b v="0"/>
    <b v="1"/>
    <s v="film &amp; video/television"/>
    <x v="4"/>
    <x v="19"/>
  </r>
  <r>
    <n v="895"/>
    <s v="Adams-Rollins"/>
    <s v="Integrated demand-driven info-mediaries"/>
    <n v="159800"/>
    <n v="11108"/>
    <n v="6.9511889862327911E-2"/>
    <x v="0"/>
    <n v="107"/>
    <n v="103.81308411214954"/>
    <x v="1"/>
    <s v="USD"/>
    <n v="1517637600"/>
    <n v="1518415200"/>
    <x v="802"/>
    <d v="2018-02-12T06:00:00"/>
    <s v="Sat"/>
    <x v="29"/>
    <b v="0"/>
    <b v="0"/>
    <s v="theater/plays"/>
    <x v="3"/>
    <x v="3"/>
  </r>
  <r>
    <n v="896"/>
    <s v="Wright-Bryant"/>
    <s v="Reverse-engineered client-server extranet"/>
    <n v="19800"/>
    <n v="153338"/>
    <n v="7.7443434343434348"/>
    <x v="1"/>
    <n v="1460"/>
    <n v="105.02602739726028"/>
    <x v="2"/>
    <s v="AUD"/>
    <n v="1310619600"/>
    <n v="1310878800"/>
    <x v="803"/>
    <d v="2011-07-17T05:00:00"/>
    <s v="Thu"/>
    <x v="36"/>
    <b v="0"/>
    <b v="1"/>
    <s v="food/food trucks"/>
    <x v="0"/>
    <x v="0"/>
  </r>
  <r>
    <n v="897"/>
    <s v="Berry-Cannon"/>
    <s v="Organized discrete encoding"/>
    <n v="8800"/>
    <n v="2437"/>
    <n v="0.27693181818181817"/>
    <x v="0"/>
    <n v="27"/>
    <n v="90.259259259259252"/>
    <x v="1"/>
    <s v="USD"/>
    <n v="1556427600"/>
    <n v="1556600400"/>
    <x v="212"/>
    <d v="2019-04-30T05:00:00"/>
    <s v="Sun"/>
    <x v="1"/>
    <b v="0"/>
    <b v="0"/>
    <s v="theater/plays"/>
    <x v="3"/>
    <x v="3"/>
  </r>
  <r>
    <n v="898"/>
    <s v="Davis-Gonzalez"/>
    <s v="Balanced regional flexibility"/>
    <n v="179100"/>
    <n v="93991"/>
    <n v="0.52479620323841425"/>
    <x v="0"/>
    <n v="1221"/>
    <n v="76.978705978705975"/>
    <x v="1"/>
    <s v="USD"/>
    <n v="1576476000"/>
    <n v="1576994400"/>
    <x v="804"/>
    <d v="2019-12-22T06:00:00"/>
    <s v="Mon"/>
    <x v="8"/>
    <b v="0"/>
    <b v="0"/>
    <s v="film &amp; video/documentary"/>
    <x v="4"/>
    <x v="4"/>
  </r>
  <r>
    <n v="899"/>
    <s v="Best-Young"/>
    <s v="Implemented multimedia time-frame"/>
    <n v="3100"/>
    <n v="12620"/>
    <n v="4.0709677419354842"/>
    <x v="1"/>
    <n v="123"/>
    <n v="102.60162601626017"/>
    <x v="5"/>
    <s v="CHF"/>
    <n v="1381122000"/>
    <n v="1382677200"/>
    <x v="805"/>
    <d v="2013-10-25T05:00:00"/>
    <s v="Mon"/>
    <x v="42"/>
    <b v="0"/>
    <b v="0"/>
    <s v="music/jazz"/>
    <x v="1"/>
    <x v="17"/>
  </r>
  <r>
    <n v="900"/>
    <s v="Powers, Smith and Deleon"/>
    <s v="Enhanced uniform service-desk"/>
    <n v="100"/>
    <n v="2"/>
    <n v="0.02"/>
    <x v="0"/>
    <n v="1"/>
    <n v="2"/>
    <x v="1"/>
    <s v="USD"/>
    <n v="1411102800"/>
    <n v="1411189200"/>
    <x v="806"/>
    <d v="2014-09-20T05:00:00"/>
    <s v="Fri"/>
    <x v="5"/>
    <b v="0"/>
    <b v="1"/>
    <s v="technology/web"/>
    <x v="2"/>
    <x v="2"/>
  </r>
  <r>
    <n v="901"/>
    <s v="Hogan Group"/>
    <s v="Versatile bottom-line definition"/>
    <n v="5600"/>
    <n v="8746"/>
    <n v="1.5617857142857143"/>
    <x v="1"/>
    <n v="159"/>
    <n v="55.0062893081761"/>
    <x v="1"/>
    <s v="USD"/>
    <n v="1531803600"/>
    <n v="1534654800"/>
    <x v="807"/>
    <d v="2018-08-19T05:00:00"/>
    <s v="Tue"/>
    <x v="25"/>
    <b v="0"/>
    <b v="1"/>
    <s v="music/rock"/>
    <x v="1"/>
    <x v="1"/>
  </r>
  <r>
    <n v="902"/>
    <s v="Wang, Silva and Byrd"/>
    <s v="Integrated bifurcated software"/>
    <n v="1400"/>
    <n v="3534"/>
    <n v="2.5242857142857145"/>
    <x v="1"/>
    <n v="110"/>
    <n v="32.127272727272725"/>
    <x v="1"/>
    <s v="USD"/>
    <n v="1454133600"/>
    <n v="1457762400"/>
    <x v="722"/>
    <d v="2016-03-12T06:00:00"/>
    <s v="Sat"/>
    <x v="23"/>
    <b v="0"/>
    <b v="0"/>
    <s v="technology/web"/>
    <x v="2"/>
    <x v="2"/>
  </r>
  <r>
    <n v="903"/>
    <s v="Parker-Morris"/>
    <s v="Assimilated next generation instruction set"/>
    <n v="41000"/>
    <n v="709"/>
    <n v="1.729268292682927E-2"/>
    <x v="2"/>
    <n v="14"/>
    <n v="50.642857142857146"/>
    <x v="1"/>
    <s v="USD"/>
    <n v="1336194000"/>
    <n v="1337490000"/>
    <x v="477"/>
    <d v="2012-05-20T05:00:00"/>
    <s v="Sat"/>
    <x v="16"/>
    <b v="0"/>
    <b v="1"/>
    <s v="publishing/nonfiction"/>
    <x v="5"/>
    <x v="9"/>
  </r>
  <r>
    <n v="904"/>
    <s v="Rodriguez, Johnson and Jackson"/>
    <s v="Digitized foreground array"/>
    <n v="6500"/>
    <n v="795"/>
    <n v="0.12230769230769231"/>
    <x v="0"/>
    <n v="16"/>
    <n v="49.6875"/>
    <x v="1"/>
    <s v="USD"/>
    <n v="1349326800"/>
    <n v="1349672400"/>
    <x v="259"/>
    <d v="2012-10-08T05:00:00"/>
    <s v="Thu"/>
    <x v="3"/>
    <b v="0"/>
    <b v="0"/>
    <s v="publishing/radio &amp; podcasts"/>
    <x v="5"/>
    <x v="15"/>
  </r>
  <r>
    <n v="905"/>
    <s v="Haynes PLC"/>
    <s v="Re-engineered clear-thinking project"/>
    <n v="7900"/>
    <n v="12955"/>
    <n v="1.6398734177215191"/>
    <x v="1"/>
    <n v="236"/>
    <n v="54.894067796610166"/>
    <x v="1"/>
    <s v="USD"/>
    <n v="1379566800"/>
    <n v="1379826000"/>
    <x v="9"/>
    <d v="2013-09-22T05:00:00"/>
    <s v="Thu"/>
    <x v="36"/>
    <b v="0"/>
    <b v="0"/>
    <s v="theater/plays"/>
    <x v="3"/>
    <x v="3"/>
  </r>
  <r>
    <n v="906"/>
    <s v="Hayes Group"/>
    <s v="Implemented even-keeled standardization"/>
    <n v="5500"/>
    <n v="8964"/>
    <n v="1.6298181818181818"/>
    <x v="1"/>
    <n v="191"/>
    <n v="46.931937172774866"/>
    <x v="1"/>
    <s v="USD"/>
    <n v="1494651600"/>
    <n v="1497762000"/>
    <x v="808"/>
    <d v="2017-06-18T05:00:00"/>
    <s v="Sat"/>
    <x v="38"/>
    <b v="1"/>
    <b v="1"/>
    <s v="film &amp; video/documentary"/>
    <x v="4"/>
    <x v="4"/>
  </r>
  <r>
    <n v="907"/>
    <s v="White, Pena and Calhoun"/>
    <s v="Quality-focused asymmetric adapter"/>
    <n v="9100"/>
    <n v="1843"/>
    <n v="0.20252747252747252"/>
    <x v="0"/>
    <n v="41"/>
    <n v="44.951219512195124"/>
    <x v="1"/>
    <s v="USD"/>
    <n v="1303880400"/>
    <n v="1304485200"/>
    <x v="809"/>
    <d v="2011-05-04T05:00:00"/>
    <s v="Wed"/>
    <x v="34"/>
    <b v="0"/>
    <b v="0"/>
    <s v="theater/plays"/>
    <x v="3"/>
    <x v="3"/>
  </r>
  <r>
    <n v="908"/>
    <s v="Bryant-Pope"/>
    <s v="Networked intangible help-desk"/>
    <n v="38200"/>
    <n v="121950"/>
    <n v="3.1924083769633507"/>
    <x v="1"/>
    <n v="3934"/>
    <n v="30.99898322318251"/>
    <x v="1"/>
    <s v="USD"/>
    <n v="1335934800"/>
    <n v="1336885200"/>
    <x v="444"/>
    <d v="2012-05-13T05:00:00"/>
    <s v="Wed"/>
    <x v="4"/>
    <b v="0"/>
    <b v="0"/>
    <s v="games/video games"/>
    <x v="6"/>
    <x v="11"/>
  </r>
  <r>
    <n v="909"/>
    <s v="Gates, Li and Thompson"/>
    <s v="Synchronized attitude-oriented frame"/>
    <n v="1800"/>
    <n v="8621"/>
    <n v="4.7894444444444444"/>
    <x v="1"/>
    <n v="80"/>
    <n v="107.7625"/>
    <x v="0"/>
    <s v="CAD"/>
    <n v="1528088400"/>
    <n v="1530421200"/>
    <x v="384"/>
    <d v="2018-07-01T05:00:00"/>
    <s v="Mon"/>
    <x v="11"/>
    <b v="0"/>
    <b v="1"/>
    <s v="theater/plays"/>
    <x v="3"/>
    <x v="3"/>
  </r>
  <r>
    <n v="910"/>
    <s v="King-Morris"/>
    <s v="Proactive incremental architecture"/>
    <n v="154500"/>
    <n v="30215"/>
    <n v="0.19556634304207121"/>
    <x v="3"/>
    <n v="296"/>
    <n v="102.07770270270271"/>
    <x v="1"/>
    <s v="USD"/>
    <n v="1421906400"/>
    <n v="1421992800"/>
    <x v="810"/>
    <d v="2015-01-23T06:00:00"/>
    <s v="Thu"/>
    <x v="5"/>
    <b v="0"/>
    <b v="0"/>
    <s v="theater/plays"/>
    <x v="3"/>
    <x v="3"/>
  </r>
  <r>
    <n v="911"/>
    <s v="Carter, Cole and Curtis"/>
    <s v="Cloned responsive standardization"/>
    <n v="5800"/>
    <n v="11539"/>
    <n v="1.9894827586206896"/>
    <x v="1"/>
    <n v="462"/>
    <n v="24.976190476190474"/>
    <x v="1"/>
    <s v="USD"/>
    <n v="1568005200"/>
    <n v="1568178000"/>
    <x v="811"/>
    <d v="2019-09-11T05:00:00"/>
    <s v="Mon"/>
    <x v="1"/>
    <b v="1"/>
    <b v="0"/>
    <s v="technology/web"/>
    <x v="2"/>
    <x v="2"/>
  </r>
  <r>
    <n v="912"/>
    <s v="Sanchez-Parsons"/>
    <s v="Reduced bifurcated pricing structure"/>
    <n v="1800"/>
    <n v="14310"/>
    <n v="7.95"/>
    <x v="1"/>
    <n v="179"/>
    <n v="79.944134078212286"/>
    <x v="1"/>
    <s v="USD"/>
    <n v="1346821200"/>
    <n v="1347944400"/>
    <x v="812"/>
    <d v="2012-09-18T05:00:00"/>
    <s v="Wed"/>
    <x v="35"/>
    <b v="1"/>
    <b v="0"/>
    <s v="film &amp; video/drama"/>
    <x v="4"/>
    <x v="6"/>
  </r>
  <r>
    <n v="913"/>
    <s v="Rivera-Pearson"/>
    <s v="Re-engineered asymmetric challenge"/>
    <n v="70200"/>
    <n v="35536"/>
    <n v="0.50621082621082625"/>
    <x v="0"/>
    <n v="523"/>
    <n v="67.946462715105156"/>
    <x v="2"/>
    <s v="AUD"/>
    <n v="1557637200"/>
    <n v="1558760400"/>
    <x v="813"/>
    <d v="2019-05-25T05:00:00"/>
    <s v="Sun"/>
    <x v="35"/>
    <b v="0"/>
    <b v="0"/>
    <s v="film &amp; video/drama"/>
    <x v="4"/>
    <x v="6"/>
  </r>
  <r>
    <n v="914"/>
    <s v="Ramirez, Padilla and Barrera"/>
    <s v="Diverse client-driven conglomeration"/>
    <n v="6400"/>
    <n v="3676"/>
    <n v="0.57437499999999997"/>
    <x v="0"/>
    <n v="141"/>
    <n v="26.070921985815602"/>
    <x v="4"/>
    <s v="GBP"/>
    <n v="1375592400"/>
    <n v="1376629200"/>
    <x v="814"/>
    <d v="2013-08-16T05:00:00"/>
    <s v="Sun"/>
    <x v="10"/>
    <b v="0"/>
    <b v="0"/>
    <s v="theater/plays"/>
    <x v="3"/>
    <x v="3"/>
  </r>
  <r>
    <n v="915"/>
    <s v="Riggs Group"/>
    <s v="Configurable upward-trending solution"/>
    <n v="125900"/>
    <n v="195936"/>
    <n v="1.5562827640984909"/>
    <x v="1"/>
    <n v="1866"/>
    <n v="105.0032154340836"/>
    <x v="4"/>
    <s v="GBP"/>
    <n v="1503982800"/>
    <n v="1504760400"/>
    <x v="80"/>
    <d v="2017-09-07T05:00:00"/>
    <s v="Tue"/>
    <x v="29"/>
    <b v="0"/>
    <b v="0"/>
    <s v="film &amp; video/television"/>
    <x v="4"/>
    <x v="19"/>
  </r>
  <r>
    <n v="916"/>
    <s v="Clements Ltd"/>
    <s v="Persistent bandwidth-monitored framework"/>
    <n v="3700"/>
    <n v="1343"/>
    <n v="0.36297297297297298"/>
    <x v="0"/>
    <n v="52"/>
    <n v="25.826923076923077"/>
    <x v="1"/>
    <s v="USD"/>
    <n v="1418882400"/>
    <n v="1419660000"/>
    <x v="815"/>
    <d v="2014-12-27T06:00:00"/>
    <s v="Thu"/>
    <x v="29"/>
    <b v="0"/>
    <b v="0"/>
    <s v="photography/photography books"/>
    <x v="7"/>
    <x v="14"/>
  </r>
  <r>
    <n v="917"/>
    <s v="Cooper Inc"/>
    <s v="Polarized discrete product"/>
    <n v="3600"/>
    <n v="2097"/>
    <n v="0.58250000000000002"/>
    <x v="2"/>
    <n v="27"/>
    <n v="77.666666666666671"/>
    <x v="4"/>
    <s v="GBP"/>
    <n v="1309237200"/>
    <n v="1311310800"/>
    <x v="816"/>
    <d v="2011-07-22T05:00:00"/>
    <s v="Tue"/>
    <x v="47"/>
    <b v="0"/>
    <b v="1"/>
    <s v="film &amp; video/shorts"/>
    <x v="4"/>
    <x v="12"/>
  </r>
  <r>
    <n v="918"/>
    <s v="Jones-Gonzalez"/>
    <s v="Seamless dynamic website"/>
    <n v="3800"/>
    <n v="9021"/>
    <n v="2.3739473684210526"/>
    <x v="1"/>
    <n v="156"/>
    <n v="57.82692307692308"/>
    <x v="5"/>
    <s v="CHF"/>
    <n v="1343365200"/>
    <n v="1344315600"/>
    <x v="474"/>
    <d v="2012-08-07T05:00:00"/>
    <s v="Fri"/>
    <x v="4"/>
    <b v="0"/>
    <b v="0"/>
    <s v="publishing/radio &amp; podcasts"/>
    <x v="5"/>
    <x v="15"/>
  </r>
  <r>
    <n v="919"/>
    <s v="Fox Ltd"/>
    <s v="Extended multimedia firmware"/>
    <n v="35600"/>
    <n v="20915"/>
    <n v="0.58750000000000002"/>
    <x v="0"/>
    <n v="225"/>
    <n v="92.955555555555549"/>
    <x v="2"/>
    <s v="AUD"/>
    <n v="1507957200"/>
    <n v="1510725600"/>
    <x v="817"/>
    <d v="2017-11-15T06:00:00"/>
    <s v="Sat"/>
    <x v="48"/>
    <b v="0"/>
    <b v="1"/>
    <s v="theater/plays"/>
    <x v="3"/>
    <x v="3"/>
  </r>
  <r>
    <n v="920"/>
    <s v="Green, Murphy and Webb"/>
    <s v="Versatile directional project"/>
    <n v="5300"/>
    <n v="9676"/>
    <n v="1.8256603773584905"/>
    <x v="1"/>
    <n v="255"/>
    <n v="37.945098039215686"/>
    <x v="1"/>
    <s v="USD"/>
    <n v="1549519200"/>
    <n v="1551247200"/>
    <x v="818"/>
    <d v="2019-02-27T06:00:00"/>
    <s v="Thu"/>
    <x v="18"/>
    <b v="1"/>
    <b v="0"/>
    <s v="film &amp; video/animation"/>
    <x v="4"/>
    <x v="10"/>
  </r>
  <r>
    <n v="921"/>
    <s v="Stevenson PLC"/>
    <s v="Profound directional knowledge user"/>
    <n v="160400"/>
    <n v="1210"/>
    <n v="7.5436408977556111E-3"/>
    <x v="0"/>
    <n v="38"/>
    <n v="31.842105263157894"/>
    <x v="1"/>
    <s v="USD"/>
    <n v="1329026400"/>
    <n v="1330236000"/>
    <x v="819"/>
    <d v="2012-02-26T06:00:00"/>
    <s v="Sun"/>
    <x v="26"/>
    <b v="0"/>
    <b v="0"/>
    <s v="technology/web"/>
    <x v="2"/>
    <x v="2"/>
  </r>
  <r>
    <n v="922"/>
    <s v="Soto-Anthony"/>
    <s v="Ameliorated logistical capability"/>
    <n v="51400"/>
    <n v="90440"/>
    <n v="1.7595330739299611"/>
    <x v="1"/>
    <n v="2261"/>
    <n v="40"/>
    <x v="1"/>
    <s v="USD"/>
    <n v="1544335200"/>
    <n v="1545112800"/>
    <x v="609"/>
    <d v="2018-12-18T06:00:00"/>
    <s v="Sun"/>
    <x v="29"/>
    <b v="0"/>
    <b v="1"/>
    <s v="music/world music"/>
    <x v="1"/>
    <x v="21"/>
  </r>
  <r>
    <n v="923"/>
    <s v="Wise and Sons"/>
    <s v="Sharable discrete definition"/>
    <n v="1700"/>
    <n v="4044"/>
    <n v="2.3788235294117648"/>
    <x v="1"/>
    <n v="40"/>
    <n v="101.1"/>
    <x v="1"/>
    <s v="USD"/>
    <n v="1279083600"/>
    <n v="1279170000"/>
    <x v="547"/>
    <d v="2010-07-15T05:00:00"/>
    <s v="Wed"/>
    <x v="5"/>
    <b v="0"/>
    <b v="0"/>
    <s v="theater/plays"/>
    <x v="3"/>
    <x v="3"/>
  </r>
  <r>
    <n v="924"/>
    <s v="Butler-Barr"/>
    <s v="User-friendly next generation core"/>
    <n v="39400"/>
    <n v="192292"/>
    <n v="4.8805076142131982"/>
    <x v="1"/>
    <n v="2289"/>
    <n v="84.006989951944078"/>
    <x v="6"/>
    <s v="EUR"/>
    <n v="1572498000"/>
    <n v="1573452000"/>
    <x v="820"/>
    <d v="2019-11-11T06:00:00"/>
    <s v="Thu"/>
    <x v="4"/>
    <b v="0"/>
    <b v="0"/>
    <s v="theater/plays"/>
    <x v="3"/>
    <x v="3"/>
  </r>
  <r>
    <n v="925"/>
    <s v="Wilson, Jefferson and Anderson"/>
    <s v="Profit-focused empowering system engine"/>
    <n v="3000"/>
    <n v="6722"/>
    <n v="2.2406666666666668"/>
    <x v="1"/>
    <n v="65"/>
    <n v="103.41538461538461"/>
    <x v="1"/>
    <s v="USD"/>
    <n v="1506056400"/>
    <n v="1507093200"/>
    <x v="821"/>
    <d v="2017-10-04T05:00:00"/>
    <s v="Fri"/>
    <x v="10"/>
    <b v="0"/>
    <b v="0"/>
    <s v="theater/plays"/>
    <x v="3"/>
    <x v="3"/>
  </r>
  <r>
    <n v="926"/>
    <s v="Brown-Oliver"/>
    <s v="Synchronized cohesive encoding"/>
    <n v="8700"/>
    <n v="1577"/>
    <n v="0.18126436781609195"/>
    <x v="0"/>
    <n v="15"/>
    <n v="105.13333333333334"/>
    <x v="1"/>
    <s v="USD"/>
    <n v="1463029200"/>
    <n v="1463374800"/>
    <x v="151"/>
    <d v="2016-05-16T05:00:00"/>
    <s v="Thu"/>
    <x v="3"/>
    <b v="0"/>
    <b v="0"/>
    <s v="food/food trucks"/>
    <x v="0"/>
    <x v="0"/>
  </r>
  <r>
    <n v="927"/>
    <s v="Davis-Gardner"/>
    <s v="Synergistic dynamic utilization"/>
    <n v="7200"/>
    <n v="3301"/>
    <n v="0.45847222222222223"/>
    <x v="0"/>
    <n v="37"/>
    <n v="89.21621621621621"/>
    <x v="1"/>
    <s v="USD"/>
    <n v="1342069200"/>
    <n v="1344574800"/>
    <x v="822"/>
    <d v="2012-08-10T05:00:00"/>
    <s v="Thu"/>
    <x v="41"/>
    <b v="0"/>
    <b v="0"/>
    <s v="theater/plays"/>
    <x v="3"/>
    <x v="3"/>
  </r>
  <r>
    <n v="928"/>
    <s v="Dawson Group"/>
    <s v="Triple-buffered bi-directional model"/>
    <n v="167400"/>
    <n v="196386"/>
    <n v="1.1731541218637993"/>
    <x v="1"/>
    <n v="3777"/>
    <n v="51.995234312946785"/>
    <x v="6"/>
    <s v="EUR"/>
    <n v="1388296800"/>
    <n v="1389074400"/>
    <x v="823"/>
    <d v="2014-01-07T06:00:00"/>
    <s v="Sun"/>
    <x v="29"/>
    <b v="0"/>
    <b v="0"/>
    <s v="technology/web"/>
    <x v="2"/>
    <x v="2"/>
  </r>
  <r>
    <n v="929"/>
    <s v="Turner-Terrell"/>
    <s v="Polarized tertiary function"/>
    <n v="5500"/>
    <n v="11952"/>
    <n v="2.173090909090909"/>
    <x v="1"/>
    <n v="184"/>
    <n v="64.956521739130437"/>
    <x v="4"/>
    <s v="GBP"/>
    <n v="1493787600"/>
    <n v="1494997200"/>
    <x v="824"/>
    <d v="2017-05-17T05:00:00"/>
    <s v="Wed"/>
    <x v="26"/>
    <b v="0"/>
    <b v="0"/>
    <s v="theater/plays"/>
    <x v="3"/>
    <x v="3"/>
  </r>
  <r>
    <n v="930"/>
    <s v="Hall, Buchanan and Benton"/>
    <s v="Configurable fault-tolerant structure"/>
    <n v="3500"/>
    <n v="3930"/>
    <n v="1.1228571428571428"/>
    <x v="1"/>
    <n v="85"/>
    <n v="46.235294117647058"/>
    <x v="1"/>
    <s v="USD"/>
    <n v="1424844000"/>
    <n v="1425448800"/>
    <x v="825"/>
    <d v="2015-03-04T06:00:00"/>
    <s v="Wed"/>
    <x v="34"/>
    <b v="0"/>
    <b v="1"/>
    <s v="theater/plays"/>
    <x v="3"/>
    <x v="3"/>
  </r>
  <r>
    <n v="931"/>
    <s v="Lowery, Hayden and Cruz"/>
    <s v="Digitized 24/7 budgetary management"/>
    <n v="7900"/>
    <n v="5729"/>
    <n v="0.72518987341772156"/>
    <x v="0"/>
    <n v="112"/>
    <n v="51.151785714285715"/>
    <x v="1"/>
    <s v="USD"/>
    <n v="1403931600"/>
    <n v="1404104400"/>
    <x v="826"/>
    <d v="2014-06-30T05:00:00"/>
    <s v="Sat"/>
    <x v="1"/>
    <b v="0"/>
    <b v="1"/>
    <s v="theater/plays"/>
    <x v="3"/>
    <x v="3"/>
  </r>
  <r>
    <n v="932"/>
    <s v="Mora, Miller and Harper"/>
    <s v="Stand-alone zero tolerance algorithm"/>
    <n v="2300"/>
    <n v="4883"/>
    <n v="2.1230434782608696"/>
    <x v="1"/>
    <n v="144"/>
    <n v="33.909722222222221"/>
    <x v="1"/>
    <s v="USD"/>
    <n v="1394514000"/>
    <n v="1394773200"/>
    <x v="827"/>
    <d v="2014-03-14T05:00:00"/>
    <s v="Tue"/>
    <x v="36"/>
    <b v="0"/>
    <b v="0"/>
    <s v="music/rock"/>
    <x v="1"/>
    <x v="1"/>
  </r>
  <r>
    <n v="933"/>
    <s v="Espinoza Group"/>
    <s v="Implemented tangible support"/>
    <n v="73000"/>
    <n v="175015"/>
    <n v="2.3974657534246577"/>
    <x v="1"/>
    <n v="1902"/>
    <n v="92.016298633017882"/>
    <x v="1"/>
    <s v="USD"/>
    <n v="1365397200"/>
    <n v="1366520400"/>
    <x v="828"/>
    <d v="2013-04-21T05:00:00"/>
    <s v="Mon"/>
    <x v="35"/>
    <b v="0"/>
    <b v="0"/>
    <s v="theater/plays"/>
    <x v="3"/>
    <x v="3"/>
  </r>
  <r>
    <n v="934"/>
    <s v="Davis, Crawford and Lopez"/>
    <s v="Reactive radical framework"/>
    <n v="6200"/>
    <n v="11280"/>
    <n v="1.8193548387096774"/>
    <x v="1"/>
    <n v="105"/>
    <n v="107.42857142857143"/>
    <x v="1"/>
    <s v="USD"/>
    <n v="1456120800"/>
    <n v="1456639200"/>
    <x v="829"/>
    <d v="2016-02-28T06:00:00"/>
    <s v="Mon"/>
    <x v="8"/>
    <b v="0"/>
    <b v="0"/>
    <s v="theater/plays"/>
    <x v="3"/>
    <x v="3"/>
  </r>
  <r>
    <n v="935"/>
    <s v="Richards, Stevens and Fleming"/>
    <s v="Object-based full-range knowledge user"/>
    <n v="6100"/>
    <n v="10012"/>
    <n v="1.6413114754098361"/>
    <x v="1"/>
    <n v="132"/>
    <n v="75.848484848484844"/>
    <x v="1"/>
    <s v="USD"/>
    <n v="1437714000"/>
    <n v="1438318800"/>
    <x v="830"/>
    <d v="2015-07-31T05:00:00"/>
    <s v="Fri"/>
    <x v="34"/>
    <b v="0"/>
    <b v="0"/>
    <s v="theater/plays"/>
    <x v="3"/>
    <x v="3"/>
  </r>
  <r>
    <n v="936"/>
    <s v="Brown Ltd"/>
    <s v="Enhanced composite contingency"/>
    <n v="103200"/>
    <n v="1690"/>
    <n v="1.6375968992248063E-2"/>
    <x v="0"/>
    <n v="21"/>
    <n v="80.476190476190482"/>
    <x v="1"/>
    <s v="USD"/>
    <n v="1563771600"/>
    <n v="1564030800"/>
    <x v="831"/>
    <d v="2019-07-25T05:00:00"/>
    <s v="Mon"/>
    <x v="36"/>
    <b v="1"/>
    <b v="0"/>
    <s v="theater/plays"/>
    <x v="3"/>
    <x v="3"/>
  </r>
  <r>
    <n v="937"/>
    <s v="Tapia, Sandoval and Hurley"/>
    <s v="Cloned fresh-thinking model"/>
    <n v="171000"/>
    <n v="84891"/>
    <n v="0.49643859649122807"/>
    <x v="3"/>
    <n v="976"/>
    <n v="86.978483606557376"/>
    <x v="1"/>
    <s v="USD"/>
    <n v="1448517600"/>
    <n v="1449295200"/>
    <x v="832"/>
    <d v="2015-12-05T06:00:00"/>
    <s v="Thu"/>
    <x v="29"/>
    <b v="0"/>
    <b v="0"/>
    <s v="film &amp; video/documentary"/>
    <x v="4"/>
    <x v="4"/>
  </r>
  <r>
    <n v="938"/>
    <s v="Allen Inc"/>
    <s v="Total dedicated benchmark"/>
    <n v="9200"/>
    <n v="10093"/>
    <n v="1.0970652173913042"/>
    <x v="1"/>
    <n v="96"/>
    <n v="105.13541666666667"/>
    <x v="1"/>
    <s v="USD"/>
    <n v="1528779600"/>
    <n v="1531890000"/>
    <x v="833"/>
    <d v="2018-07-18T05:00:00"/>
    <s v="Tue"/>
    <x v="38"/>
    <b v="0"/>
    <b v="1"/>
    <s v="publishing/fiction"/>
    <x v="5"/>
    <x v="13"/>
  </r>
  <r>
    <n v="939"/>
    <s v="Williams, Johnson and Campbell"/>
    <s v="Streamlined human-resource Graphic Interface"/>
    <n v="7800"/>
    <n v="3839"/>
    <n v="0.49217948717948717"/>
    <x v="0"/>
    <n v="67"/>
    <n v="57.298507462686565"/>
    <x v="1"/>
    <s v="USD"/>
    <n v="1304744400"/>
    <n v="1306213200"/>
    <x v="834"/>
    <d v="2011-05-24T05:00:00"/>
    <s v="Sat"/>
    <x v="0"/>
    <b v="0"/>
    <b v="1"/>
    <s v="games/video games"/>
    <x v="6"/>
    <x v="11"/>
  </r>
  <r>
    <n v="940"/>
    <s v="Wiggins Ltd"/>
    <s v="Upgradable analyzing core"/>
    <n v="9900"/>
    <n v="6161"/>
    <n v="0.62232323232323228"/>
    <x v="2"/>
    <n v="66"/>
    <n v="93.348484848484844"/>
    <x v="0"/>
    <s v="CAD"/>
    <n v="1354341600"/>
    <n v="1356242400"/>
    <x v="835"/>
    <d v="2012-12-23T06:00:00"/>
    <s v="Sat"/>
    <x v="12"/>
    <b v="0"/>
    <b v="0"/>
    <s v="technology/web"/>
    <x v="2"/>
    <x v="2"/>
  </r>
  <r>
    <n v="941"/>
    <s v="Luna-Horne"/>
    <s v="Profound exuding pricing structure"/>
    <n v="43000"/>
    <n v="5615"/>
    <n v="0.1305813953488372"/>
    <x v="0"/>
    <n v="78"/>
    <n v="71.987179487179489"/>
    <x v="1"/>
    <s v="USD"/>
    <n v="1294552800"/>
    <n v="1297576800"/>
    <x v="836"/>
    <d v="2011-02-13T06:00:00"/>
    <s v="Sun"/>
    <x v="43"/>
    <b v="1"/>
    <b v="0"/>
    <s v="theater/plays"/>
    <x v="3"/>
    <x v="3"/>
  </r>
  <r>
    <n v="942"/>
    <s v="Allen Inc"/>
    <s v="Horizontal optimizing model"/>
    <n v="9600"/>
    <n v="6205"/>
    <n v="0.64635416666666667"/>
    <x v="0"/>
    <n v="67"/>
    <n v="92.611940298507463"/>
    <x v="2"/>
    <s v="AUD"/>
    <n v="1295935200"/>
    <n v="1296194400"/>
    <x v="837"/>
    <d v="2011-01-28T06:00:00"/>
    <s v="Tue"/>
    <x v="36"/>
    <b v="0"/>
    <b v="0"/>
    <s v="theater/plays"/>
    <x v="3"/>
    <x v="3"/>
  </r>
  <r>
    <n v="943"/>
    <s v="Peterson, Gonzalez and Spencer"/>
    <s v="Synchronized fault-tolerant algorithm"/>
    <n v="7500"/>
    <n v="11969"/>
    <n v="1.5958666666666668"/>
    <x v="1"/>
    <n v="114"/>
    <n v="104.99122807017544"/>
    <x v="1"/>
    <s v="USD"/>
    <n v="1411534800"/>
    <n v="1414558800"/>
    <x v="219"/>
    <d v="2014-10-29T05:00:00"/>
    <s v="Wed"/>
    <x v="43"/>
    <b v="0"/>
    <b v="0"/>
    <s v="food/food trucks"/>
    <x v="0"/>
    <x v="0"/>
  </r>
  <r>
    <n v="944"/>
    <s v="Walter Inc"/>
    <s v="Streamlined 5thgeneration intranet"/>
    <n v="10000"/>
    <n v="8142"/>
    <n v="0.81420000000000003"/>
    <x v="0"/>
    <n v="263"/>
    <n v="30.958174904942965"/>
    <x v="2"/>
    <s v="AUD"/>
    <n v="1486706400"/>
    <n v="1488348000"/>
    <x v="365"/>
    <d v="2017-03-01T06:00:00"/>
    <s v="Fri"/>
    <x v="27"/>
    <b v="0"/>
    <b v="0"/>
    <s v="photography/photography books"/>
    <x v="7"/>
    <x v="14"/>
  </r>
  <r>
    <n v="945"/>
    <s v="Sanders, Farley and Huffman"/>
    <s v="Cross-group clear-thinking task-force"/>
    <n v="172000"/>
    <n v="55805"/>
    <n v="0.32444767441860467"/>
    <x v="0"/>
    <n v="1691"/>
    <n v="33.001182732111175"/>
    <x v="1"/>
    <s v="USD"/>
    <n v="1333602000"/>
    <n v="1334898000"/>
    <x v="838"/>
    <d v="2012-04-20T05:00:00"/>
    <s v="Thu"/>
    <x v="16"/>
    <b v="1"/>
    <b v="0"/>
    <s v="photography/photography books"/>
    <x v="7"/>
    <x v="14"/>
  </r>
  <r>
    <n v="946"/>
    <s v="Hall, Holmes and Walker"/>
    <s v="Public-key bandwidth-monitored intranet"/>
    <n v="153700"/>
    <n v="15238"/>
    <n v="9.9141184124918666E-2"/>
    <x v="0"/>
    <n v="181"/>
    <n v="84.187845303867405"/>
    <x v="1"/>
    <s v="USD"/>
    <n v="1308200400"/>
    <n v="1308373200"/>
    <x v="839"/>
    <d v="2011-06-18T05:00:00"/>
    <s v="Thu"/>
    <x v="1"/>
    <b v="0"/>
    <b v="0"/>
    <s v="theater/plays"/>
    <x v="3"/>
    <x v="3"/>
  </r>
  <r>
    <n v="947"/>
    <s v="Smith-Powell"/>
    <s v="Upgradable clear-thinking hardware"/>
    <n v="3600"/>
    <n v="961"/>
    <n v="0.26694444444444443"/>
    <x v="0"/>
    <n v="13"/>
    <n v="73.92307692307692"/>
    <x v="1"/>
    <s v="USD"/>
    <n v="1411707600"/>
    <n v="1412312400"/>
    <x v="840"/>
    <d v="2014-10-03T05:00:00"/>
    <s v="Fri"/>
    <x v="34"/>
    <b v="0"/>
    <b v="0"/>
    <s v="theater/plays"/>
    <x v="3"/>
    <x v="3"/>
  </r>
  <r>
    <n v="948"/>
    <s v="Smith-Hill"/>
    <s v="Integrated holistic paradigm"/>
    <n v="9400"/>
    <n v="5918"/>
    <n v="0.62957446808510642"/>
    <x v="3"/>
    <n v="160"/>
    <n v="36.987499999999997"/>
    <x v="1"/>
    <s v="USD"/>
    <n v="1418364000"/>
    <n v="1419228000"/>
    <x v="841"/>
    <d v="2014-12-22T06:00:00"/>
    <s v="Fri"/>
    <x v="39"/>
    <b v="1"/>
    <b v="1"/>
    <s v="film &amp; video/documentary"/>
    <x v="4"/>
    <x v="4"/>
  </r>
  <r>
    <n v="949"/>
    <s v="Wright LLC"/>
    <s v="Seamless clear-thinking conglomeration"/>
    <n v="5900"/>
    <n v="9520"/>
    <n v="1.6135593220338984"/>
    <x v="1"/>
    <n v="203"/>
    <n v="46.896551724137929"/>
    <x v="1"/>
    <s v="USD"/>
    <n v="1429333200"/>
    <n v="1430974800"/>
    <x v="842"/>
    <d v="2015-05-07T05:00:00"/>
    <s v="Sat"/>
    <x v="27"/>
    <b v="0"/>
    <b v="0"/>
    <s v="technology/web"/>
    <x v="2"/>
    <x v="2"/>
  </r>
  <r>
    <n v="950"/>
    <s v="Williams, Orozco and Gomez"/>
    <s v="Persistent content-based methodology"/>
    <n v="100"/>
    <n v="5"/>
    <n v="0.05"/>
    <x v="0"/>
    <n v="1"/>
    <n v="5"/>
    <x v="1"/>
    <s v="USD"/>
    <n v="1555390800"/>
    <n v="1555822800"/>
    <x v="843"/>
    <d v="2019-04-21T05:00:00"/>
    <s v="Tue"/>
    <x v="20"/>
    <b v="0"/>
    <b v="1"/>
    <s v="theater/plays"/>
    <x v="3"/>
    <x v="3"/>
  </r>
  <r>
    <n v="951"/>
    <s v="Peterson Ltd"/>
    <s v="Re-engineered 24hour matrix"/>
    <n v="14500"/>
    <n v="159056"/>
    <n v="10.969379310344827"/>
    <x v="1"/>
    <n v="1559"/>
    <n v="102.02437459910199"/>
    <x v="1"/>
    <s v="USD"/>
    <n v="1482732000"/>
    <n v="1482818400"/>
    <x v="844"/>
    <d v="2016-12-27T06:00:00"/>
    <s v="Mon"/>
    <x v="5"/>
    <b v="0"/>
    <b v="1"/>
    <s v="music/rock"/>
    <x v="1"/>
    <x v="1"/>
  </r>
  <r>
    <n v="952"/>
    <s v="Cummings-Hayes"/>
    <s v="Virtual multi-tasking core"/>
    <n v="145500"/>
    <n v="101987"/>
    <n v="0.70094158075601376"/>
    <x v="3"/>
    <n v="2266"/>
    <n v="45.007502206531335"/>
    <x v="1"/>
    <s v="USD"/>
    <n v="1470718800"/>
    <n v="1471928400"/>
    <x v="845"/>
    <d v="2016-08-23T05:00:00"/>
    <s v="Tue"/>
    <x v="26"/>
    <b v="0"/>
    <b v="0"/>
    <s v="film &amp; video/documentary"/>
    <x v="4"/>
    <x v="4"/>
  </r>
  <r>
    <n v="953"/>
    <s v="Boyle Ltd"/>
    <s v="Streamlined fault-tolerant conglomeration"/>
    <n v="3300"/>
    <n v="1980"/>
    <n v="0.6"/>
    <x v="0"/>
    <n v="21"/>
    <n v="94.285714285714292"/>
    <x v="1"/>
    <s v="USD"/>
    <n v="1450591200"/>
    <n v="1453701600"/>
    <x v="846"/>
    <d v="2016-01-25T06:00:00"/>
    <s v="Sun"/>
    <x v="38"/>
    <b v="0"/>
    <b v="1"/>
    <s v="film &amp; video/science fiction"/>
    <x v="4"/>
    <x v="22"/>
  </r>
  <r>
    <n v="954"/>
    <s v="Henderson, Parker and Diaz"/>
    <s v="Enterprise-wide client-driven policy"/>
    <n v="42600"/>
    <n v="156384"/>
    <n v="3.6709859154929578"/>
    <x v="1"/>
    <n v="1548"/>
    <n v="101.02325581395348"/>
    <x v="2"/>
    <s v="AUD"/>
    <n v="1348290000"/>
    <n v="1350363600"/>
    <x v="110"/>
    <d v="2012-10-16T05:00:00"/>
    <s v="Sat"/>
    <x v="47"/>
    <b v="0"/>
    <b v="0"/>
    <s v="technology/web"/>
    <x v="2"/>
    <x v="2"/>
  </r>
  <r>
    <n v="955"/>
    <s v="Moss-Obrien"/>
    <s v="Function-based next generation emulation"/>
    <n v="700"/>
    <n v="7763"/>
    <n v="11.09"/>
    <x v="1"/>
    <n v="80"/>
    <n v="97.037499999999994"/>
    <x v="1"/>
    <s v="USD"/>
    <n v="1353823200"/>
    <n v="1353996000"/>
    <x v="847"/>
    <d v="2012-11-27T06:00:00"/>
    <s v="Sun"/>
    <x v="1"/>
    <b v="0"/>
    <b v="0"/>
    <s v="theater/plays"/>
    <x v="3"/>
    <x v="3"/>
  </r>
  <r>
    <n v="956"/>
    <s v="Wood Inc"/>
    <s v="Re-engineered composite focus group"/>
    <n v="187600"/>
    <n v="35698"/>
    <n v="0.19028784648187633"/>
    <x v="0"/>
    <n v="830"/>
    <n v="43.00963855421687"/>
    <x v="1"/>
    <s v="USD"/>
    <n v="1450764000"/>
    <n v="1451109600"/>
    <x v="848"/>
    <d v="2015-12-26T06:00:00"/>
    <s v="Tue"/>
    <x v="3"/>
    <b v="0"/>
    <b v="0"/>
    <s v="film &amp; video/science fiction"/>
    <x v="4"/>
    <x v="22"/>
  </r>
  <r>
    <n v="957"/>
    <s v="Riley, Cohen and Goodman"/>
    <s v="Profound mission-critical function"/>
    <n v="9800"/>
    <n v="12434"/>
    <n v="1.2687755102040816"/>
    <x v="1"/>
    <n v="131"/>
    <n v="94.916030534351151"/>
    <x v="1"/>
    <s v="USD"/>
    <n v="1329372000"/>
    <n v="1329631200"/>
    <x v="849"/>
    <d v="2012-02-19T06:00:00"/>
    <s v="Thu"/>
    <x v="36"/>
    <b v="0"/>
    <b v="0"/>
    <s v="theater/plays"/>
    <x v="3"/>
    <x v="3"/>
  </r>
  <r>
    <n v="958"/>
    <s v="Green, Robinson and Ho"/>
    <s v="De-engineered zero-defect open system"/>
    <n v="1100"/>
    <n v="8081"/>
    <n v="7.3463636363636367"/>
    <x v="1"/>
    <n v="112"/>
    <n v="72.151785714285708"/>
    <x v="1"/>
    <s v="USD"/>
    <n v="1277096400"/>
    <n v="1278997200"/>
    <x v="780"/>
    <d v="2010-07-13T05:00:00"/>
    <s v="Mon"/>
    <x v="12"/>
    <b v="0"/>
    <b v="0"/>
    <s v="film &amp; video/animation"/>
    <x v="4"/>
    <x v="10"/>
  </r>
  <r>
    <n v="959"/>
    <s v="Black-Graham"/>
    <s v="Operative hybrid utilization"/>
    <n v="145000"/>
    <n v="6631"/>
    <n v="4.5731034482758622E-2"/>
    <x v="0"/>
    <n v="130"/>
    <n v="51.007692307692309"/>
    <x v="1"/>
    <s v="USD"/>
    <n v="1277701200"/>
    <n v="1280120400"/>
    <x v="140"/>
    <d v="2010-07-26T05:00:00"/>
    <s v="Mon"/>
    <x v="21"/>
    <b v="0"/>
    <b v="0"/>
    <s v="publishing/translations"/>
    <x v="5"/>
    <x v="18"/>
  </r>
  <r>
    <n v="960"/>
    <s v="Robbins Group"/>
    <s v="Function-based interactive matrix"/>
    <n v="5500"/>
    <n v="4678"/>
    <n v="0.85054545454545449"/>
    <x v="0"/>
    <n v="55"/>
    <n v="85.054545454545448"/>
    <x v="1"/>
    <s v="USD"/>
    <n v="1454911200"/>
    <n v="1458104400"/>
    <x v="850"/>
    <d v="2016-03-16T05:00:00"/>
    <s v="Mon"/>
    <x v="22"/>
    <b v="0"/>
    <b v="0"/>
    <s v="technology/web"/>
    <x v="2"/>
    <x v="2"/>
  </r>
  <r>
    <n v="961"/>
    <s v="Mason, Case and May"/>
    <s v="Optimized content-based collaboration"/>
    <n v="5700"/>
    <n v="6800"/>
    <n v="1.1929824561403508"/>
    <x v="1"/>
    <n v="155"/>
    <n v="43.87096774193548"/>
    <x v="1"/>
    <s v="USD"/>
    <n v="1297922400"/>
    <n v="1298268000"/>
    <x v="851"/>
    <d v="2011-02-21T06:00:00"/>
    <s v="Thu"/>
    <x v="3"/>
    <b v="0"/>
    <b v="0"/>
    <s v="publishing/translations"/>
    <x v="5"/>
    <x v="18"/>
  </r>
  <r>
    <n v="962"/>
    <s v="Harris, Russell and Mitchell"/>
    <s v="User-centric cohesive policy"/>
    <n v="3600"/>
    <n v="10657"/>
    <n v="2.9602777777777778"/>
    <x v="1"/>
    <n v="266"/>
    <n v="40.063909774436091"/>
    <x v="1"/>
    <s v="USD"/>
    <n v="1384408800"/>
    <n v="1386223200"/>
    <x v="852"/>
    <d v="2013-12-05T06:00:00"/>
    <s v="Thu"/>
    <x v="13"/>
    <b v="0"/>
    <b v="0"/>
    <s v="food/food trucks"/>
    <x v="0"/>
    <x v="0"/>
  </r>
  <r>
    <n v="963"/>
    <s v="Rodriguez-Robinson"/>
    <s v="Ergonomic methodical hub"/>
    <n v="5900"/>
    <n v="4997"/>
    <n v="0.84694915254237291"/>
    <x v="0"/>
    <n v="114"/>
    <n v="43.833333333333336"/>
    <x v="6"/>
    <s v="EUR"/>
    <n v="1299304800"/>
    <n v="1299823200"/>
    <x v="853"/>
    <d v="2011-03-11T06:00:00"/>
    <s v="Sat"/>
    <x v="8"/>
    <b v="0"/>
    <b v="1"/>
    <s v="photography/photography books"/>
    <x v="7"/>
    <x v="14"/>
  </r>
  <r>
    <n v="964"/>
    <s v="Peck, Higgins and Smith"/>
    <s v="Devolved disintermediate encryption"/>
    <n v="3700"/>
    <n v="13164"/>
    <n v="3.5578378378378379"/>
    <x v="1"/>
    <n v="155"/>
    <n v="84.92903225806451"/>
    <x v="1"/>
    <s v="USD"/>
    <n v="1431320400"/>
    <n v="1431752400"/>
    <x v="854"/>
    <d v="2015-05-16T05:00:00"/>
    <s v="Mon"/>
    <x v="20"/>
    <b v="0"/>
    <b v="0"/>
    <s v="theater/plays"/>
    <x v="3"/>
    <x v="3"/>
  </r>
  <r>
    <n v="965"/>
    <s v="Nunez-King"/>
    <s v="Phased clear-thinking policy"/>
    <n v="2200"/>
    <n v="8501"/>
    <n v="3.8640909090909092"/>
    <x v="1"/>
    <n v="207"/>
    <n v="41.067632850241544"/>
    <x v="4"/>
    <s v="GBP"/>
    <n v="1264399200"/>
    <n v="1267855200"/>
    <x v="67"/>
    <d v="2010-03-06T06:00:00"/>
    <s v="Mon"/>
    <x v="2"/>
    <b v="0"/>
    <b v="0"/>
    <s v="music/rock"/>
    <x v="1"/>
    <x v="1"/>
  </r>
  <r>
    <n v="966"/>
    <s v="Davis and Sons"/>
    <s v="Seamless solution-oriented capacity"/>
    <n v="1700"/>
    <n v="13468"/>
    <n v="7.9223529411764702"/>
    <x v="1"/>
    <n v="245"/>
    <n v="54.971428571428568"/>
    <x v="1"/>
    <s v="USD"/>
    <n v="1497502800"/>
    <n v="1497675600"/>
    <x v="855"/>
    <d v="2017-06-17T05:00:00"/>
    <s v="Thu"/>
    <x v="1"/>
    <b v="0"/>
    <b v="0"/>
    <s v="theater/plays"/>
    <x v="3"/>
    <x v="3"/>
  </r>
  <r>
    <n v="967"/>
    <s v="Howard-Douglas"/>
    <s v="Organized human-resource attitude"/>
    <n v="88400"/>
    <n v="121138"/>
    <n v="1.3703393665158372"/>
    <x v="1"/>
    <n v="1573"/>
    <n v="77.010807374443743"/>
    <x v="1"/>
    <s v="USD"/>
    <n v="1333688400"/>
    <n v="1336885200"/>
    <x v="107"/>
    <d v="2012-05-13T05:00:00"/>
    <s v="Fri"/>
    <x v="22"/>
    <b v="0"/>
    <b v="0"/>
    <s v="music/world music"/>
    <x v="1"/>
    <x v="21"/>
  </r>
  <r>
    <n v="968"/>
    <s v="Gonzalez-White"/>
    <s v="Open-architected disintermediate budgetary management"/>
    <n v="2400"/>
    <n v="8117"/>
    <n v="3.3820833333333336"/>
    <x v="1"/>
    <n v="114"/>
    <n v="71.201754385964918"/>
    <x v="1"/>
    <s v="USD"/>
    <n v="1293861600"/>
    <n v="1295157600"/>
    <x v="344"/>
    <d v="2011-01-16T06:00:00"/>
    <s v="Sat"/>
    <x v="16"/>
    <b v="0"/>
    <b v="0"/>
    <s v="food/food trucks"/>
    <x v="0"/>
    <x v="0"/>
  </r>
  <r>
    <n v="969"/>
    <s v="Lopez-King"/>
    <s v="Multi-lateral radical solution"/>
    <n v="7900"/>
    <n v="8550"/>
    <n v="1.0822784810126582"/>
    <x v="1"/>
    <n v="93"/>
    <n v="91.935483870967744"/>
    <x v="1"/>
    <s v="USD"/>
    <n v="1576994400"/>
    <n v="1577599200"/>
    <x v="856"/>
    <d v="2019-12-29T06:00:00"/>
    <s v="Sun"/>
    <x v="34"/>
    <b v="0"/>
    <b v="0"/>
    <s v="theater/plays"/>
    <x v="3"/>
    <x v="3"/>
  </r>
  <r>
    <n v="970"/>
    <s v="Glover-Nelson"/>
    <s v="Inverse context-sensitive info-mediaries"/>
    <n v="94900"/>
    <n v="57659"/>
    <n v="0.60757639620653314"/>
    <x v="0"/>
    <n v="594"/>
    <n v="97.069023569023571"/>
    <x v="1"/>
    <s v="USD"/>
    <n v="1304917200"/>
    <n v="1305003600"/>
    <x v="857"/>
    <d v="2011-05-10T05:00:00"/>
    <s v="Mon"/>
    <x v="5"/>
    <b v="0"/>
    <b v="0"/>
    <s v="theater/plays"/>
    <x v="3"/>
    <x v="3"/>
  </r>
  <r>
    <n v="971"/>
    <s v="Garner and Sons"/>
    <s v="Versatile neutral workforce"/>
    <n v="5100"/>
    <n v="1414"/>
    <n v="0.27725490196078434"/>
    <x v="0"/>
    <n v="24"/>
    <n v="58.916666666666664"/>
    <x v="1"/>
    <s v="USD"/>
    <n v="1381208400"/>
    <n v="1381726800"/>
    <x v="858"/>
    <d v="2013-10-14T05:00:00"/>
    <s v="Tue"/>
    <x v="8"/>
    <b v="0"/>
    <b v="0"/>
    <s v="film &amp; video/television"/>
    <x v="4"/>
    <x v="19"/>
  </r>
  <r>
    <n v="972"/>
    <s v="Sellers, Roach and Garrison"/>
    <s v="Multi-tiered systematic knowledge user"/>
    <n v="42700"/>
    <n v="97524"/>
    <n v="2.283934426229508"/>
    <x v="1"/>
    <n v="1681"/>
    <n v="58.015466983938133"/>
    <x v="1"/>
    <s v="USD"/>
    <n v="1401685200"/>
    <n v="1402462800"/>
    <x v="859"/>
    <d v="2014-06-11T05:00:00"/>
    <s v="Mon"/>
    <x v="29"/>
    <b v="0"/>
    <b v="1"/>
    <s v="technology/web"/>
    <x v="2"/>
    <x v="2"/>
  </r>
  <r>
    <n v="973"/>
    <s v="Herrera, Bennett and Silva"/>
    <s v="Programmable multi-state algorithm"/>
    <n v="121100"/>
    <n v="26176"/>
    <n v="0.21615194054500414"/>
    <x v="0"/>
    <n v="252"/>
    <n v="103.87301587301587"/>
    <x v="1"/>
    <s v="USD"/>
    <n v="1291960800"/>
    <n v="1292133600"/>
    <x v="860"/>
    <d v="2010-12-12T06:00:00"/>
    <s v="Fri"/>
    <x v="1"/>
    <b v="0"/>
    <b v="1"/>
    <s v="theater/plays"/>
    <x v="3"/>
    <x v="3"/>
  </r>
  <r>
    <n v="974"/>
    <s v="Thomas, Clay and Mendoza"/>
    <s v="Multi-channeled reciprocal interface"/>
    <n v="800"/>
    <n v="2991"/>
    <n v="3.73875"/>
    <x v="1"/>
    <n v="32"/>
    <n v="93.46875"/>
    <x v="1"/>
    <s v="USD"/>
    <n v="1368853200"/>
    <n v="1368939600"/>
    <x v="170"/>
    <d v="2013-05-19T05:00:00"/>
    <s v="Sat"/>
    <x v="5"/>
    <b v="0"/>
    <b v="0"/>
    <s v="music/indie rock"/>
    <x v="1"/>
    <x v="7"/>
  </r>
  <r>
    <n v="975"/>
    <s v="Ayala Group"/>
    <s v="Right-sized maximized migration"/>
    <n v="5400"/>
    <n v="8366"/>
    <n v="1.5492592592592593"/>
    <x v="1"/>
    <n v="135"/>
    <n v="61.970370370370368"/>
    <x v="1"/>
    <s v="USD"/>
    <n v="1448776800"/>
    <n v="1452146400"/>
    <x v="861"/>
    <d v="2016-01-07T06:00:00"/>
    <s v="Sun"/>
    <x v="33"/>
    <b v="0"/>
    <b v="1"/>
    <s v="theater/plays"/>
    <x v="3"/>
    <x v="3"/>
  </r>
  <r>
    <n v="976"/>
    <s v="Huerta, Roberts and Dickerson"/>
    <s v="Self-enabling value-added artificial intelligence"/>
    <n v="4000"/>
    <n v="12886"/>
    <n v="3.2214999999999998"/>
    <x v="1"/>
    <n v="140"/>
    <n v="92.042857142857144"/>
    <x v="1"/>
    <s v="USD"/>
    <n v="1296194400"/>
    <n v="1296712800"/>
    <x v="862"/>
    <d v="2011-02-03T06:00:00"/>
    <s v="Fri"/>
    <x v="8"/>
    <b v="0"/>
    <b v="1"/>
    <s v="theater/plays"/>
    <x v="3"/>
    <x v="3"/>
  </r>
  <r>
    <n v="977"/>
    <s v="Johnson Group"/>
    <s v="Vision-oriented interactive solution"/>
    <n v="7000"/>
    <n v="5177"/>
    <n v="0.73957142857142855"/>
    <x v="0"/>
    <n v="67"/>
    <n v="77.268656716417908"/>
    <x v="1"/>
    <s v="USD"/>
    <n v="1517983200"/>
    <n v="1520748000"/>
    <x v="863"/>
    <d v="2018-03-11T06:00:00"/>
    <s v="Wed"/>
    <x v="48"/>
    <b v="0"/>
    <b v="0"/>
    <s v="food/food trucks"/>
    <x v="0"/>
    <x v="0"/>
  </r>
  <r>
    <n v="978"/>
    <s v="Bailey, Nguyen and Martinez"/>
    <s v="Fundamental user-facing productivity"/>
    <n v="1000"/>
    <n v="8641"/>
    <n v="8.641"/>
    <x v="1"/>
    <n v="92"/>
    <n v="93.923913043478265"/>
    <x v="1"/>
    <s v="USD"/>
    <n v="1478930400"/>
    <n v="1480831200"/>
    <x v="864"/>
    <d v="2016-12-04T06:00:00"/>
    <s v="Sat"/>
    <x v="12"/>
    <b v="0"/>
    <b v="0"/>
    <s v="games/video games"/>
    <x v="6"/>
    <x v="11"/>
  </r>
  <r>
    <n v="979"/>
    <s v="Williams, Martin and Meyer"/>
    <s v="Innovative well-modulated capability"/>
    <n v="60200"/>
    <n v="86244"/>
    <n v="1.432624584717608"/>
    <x v="1"/>
    <n v="1015"/>
    <n v="84.969458128078813"/>
    <x v="4"/>
    <s v="GBP"/>
    <n v="1426395600"/>
    <n v="1426914000"/>
    <x v="527"/>
    <d v="2015-03-21T05:00:00"/>
    <s v="Sun"/>
    <x v="8"/>
    <b v="0"/>
    <b v="0"/>
    <s v="theater/plays"/>
    <x v="3"/>
    <x v="3"/>
  </r>
  <r>
    <n v="980"/>
    <s v="Huff-Johnson"/>
    <s v="Universal fault-tolerant orchestration"/>
    <n v="195200"/>
    <n v="78630"/>
    <n v="0.40281762295081969"/>
    <x v="0"/>
    <n v="742"/>
    <n v="105.97035040431267"/>
    <x v="1"/>
    <s v="USD"/>
    <n v="1446181200"/>
    <n v="1446616800"/>
    <x v="865"/>
    <d v="2015-11-04T06:00:00"/>
    <s v="Fri"/>
    <x v="20"/>
    <b v="1"/>
    <b v="0"/>
    <s v="publishing/nonfiction"/>
    <x v="5"/>
    <x v="9"/>
  </r>
  <r>
    <n v="981"/>
    <s v="Diaz-Little"/>
    <s v="Grass-roots executive synergy"/>
    <n v="6700"/>
    <n v="11941"/>
    <n v="1.7822388059701493"/>
    <x v="1"/>
    <n v="323"/>
    <n v="36.969040247678016"/>
    <x v="1"/>
    <s v="USD"/>
    <n v="1514181600"/>
    <n v="1517032800"/>
    <x v="866"/>
    <d v="2018-01-27T06:00:00"/>
    <s v="Mon"/>
    <x v="25"/>
    <b v="0"/>
    <b v="0"/>
    <s v="technology/web"/>
    <x v="2"/>
    <x v="2"/>
  </r>
  <r>
    <n v="982"/>
    <s v="Freeman-French"/>
    <s v="Multi-layered optimal application"/>
    <n v="7200"/>
    <n v="6115"/>
    <n v="0.84930555555555554"/>
    <x v="0"/>
    <n v="75"/>
    <n v="81.533333333333331"/>
    <x v="1"/>
    <s v="USD"/>
    <n v="1311051600"/>
    <n v="1311224400"/>
    <x v="867"/>
    <d v="2011-07-21T05:00:00"/>
    <s v="Tue"/>
    <x v="1"/>
    <b v="0"/>
    <b v="1"/>
    <s v="film &amp; video/documentary"/>
    <x v="4"/>
    <x v="4"/>
  </r>
  <r>
    <n v="983"/>
    <s v="Beck-Weber"/>
    <s v="Business-focused full-range core"/>
    <n v="129100"/>
    <n v="188404"/>
    <n v="1.4593648334624323"/>
    <x v="1"/>
    <n v="2326"/>
    <n v="80.999140154772135"/>
    <x v="1"/>
    <s v="USD"/>
    <n v="1564894800"/>
    <n v="1566190800"/>
    <x v="868"/>
    <d v="2019-08-19T05:00:00"/>
    <s v="Sun"/>
    <x v="16"/>
    <b v="0"/>
    <b v="0"/>
    <s v="film &amp; video/documentary"/>
    <x v="4"/>
    <x v="4"/>
  </r>
  <r>
    <n v="984"/>
    <s v="Lewis-Jacobson"/>
    <s v="Exclusive system-worthy Graphic Interface"/>
    <n v="6500"/>
    <n v="9910"/>
    <n v="1.5246153846153847"/>
    <x v="1"/>
    <n v="381"/>
    <n v="26.010498687664043"/>
    <x v="1"/>
    <s v="USD"/>
    <n v="1567918800"/>
    <n v="1570165200"/>
    <x v="105"/>
    <d v="2019-10-04T05:00:00"/>
    <s v="Sun"/>
    <x v="28"/>
    <b v="0"/>
    <b v="0"/>
    <s v="theater/plays"/>
    <x v="3"/>
    <x v="3"/>
  </r>
  <r>
    <n v="985"/>
    <s v="Logan-Curtis"/>
    <s v="Enhanced optimal ability"/>
    <n v="170600"/>
    <n v="114523"/>
    <n v="0.67129542790152408"/>
    <x v="0"/>
    <n v="4405"/>
    <n v="25.998410896708286"/>
    <x v="1"/>
    <s v="USD"/>
    <n v="1386309600"/>
    <n v="1388556000"/>
    <x v="481"/>
    <d v="2014-01-01T06:00:00"/>
    <s v="Fri"/>
    <x v="28"/>
    <b v="0"/>
    <b v="1"/>
    <s v="music/rock"/>
    <x v="1"/>
    <x v="1"/>
  </r>
  <r>
    <n v="986"/>
    <s v="Chan, Washington and Callahan"/>
    <s v="Optional zero administration neural-net"/>
    <n v="7800"/>
    <n v="3144"/>
    <n v="0.40307692307692305"/>
    <x v="0"/>
    <n v="92"/>
    <n v="34.173913043478258"/>
    <x v="1"/>
    <s v="USD"/>
    <n v="1301979600"/>
    <n v="1303189200"/>
    <x v="253"/>
    <d v="2011-04-19T05:00:00"/>
    <s v="Tue"/>
    <x v="26"/>
    <b v="0"/>
    <b v="0"/>
    <s v="music/rock"/>
    <x v="1"/>
    <x v="1"/>
  </r>
  <r>
    <n v="987"/>
    <s v="Wilson Group"/>
    <s v="Ameliorated foreground focus group"/>
    <n v="6200"/>
    <n v="13441"/>
    <n v="2.1679032258064517"/>
    <x v="1"/>
    <n v="480"/>
    <n v="28.002083333333335"/>
    <x v="1"/>
    <s v="USD"/>
    <n v="1493269200"/>
    <n v="1494478800"/>
    <x v="869"/>
    <d v="2017-05-11T05:00:00"/>
    <s v="Thu"/>
    <x v="26"/>
    <b v="0"/>
    <b v="0"/>
    <s v="film &amp; video/documentary"/>
    <x v="4"/>
    <x v="4"/>
  </r>
  <r>
    <n v="988"/>
    <s v="Gardner, Ryan and Gutierrez"/>
    <s v="Triple-buffered multi-tasking matrices"/>
    <n v="9400"/>
    <n v="4899"/>
    <n v="0.52117021276595743"/>
    <x v="0"/>
    <n v="64"/>
    <n v="76.546875"/>
    <x v="1"/>
    <s v="USD"/>
    <n v="1478930400"/>
    <n v="1480744800"/>
    <x v="864"/>
    <d v="2016-12-03T06:00:00"/>
    <s v="Sat"/>
    <x v="13"/>
    <b v="0"/>
    <b v="0"/>
    <s v="publishing/radio &amp; podcasts"/>
    <x v="5"/>
    <x v="15"/>
  </r>
  <r>
    <n v="989"/>
    <s v="Hernandez Inc"/>
    <s v="Versatile dedicated migration"/>
    <n v="2400"/>
    <n v="11990"/>
    <n v="4.9958333333333336"/>
    <x v="1"/>
    <n v="226"/>
    <n v="53.053097345132741"/>
    <x v="1"/>
    <s v="USD"/>
    <n v="1555390800"/>
    <n v="1555822800"/>
    <x v="843"/>
    <d v="2019-04-21T05:00:00"/>
    <s v="Tue"/>
    <x v="20"/>
    <b v="0"/>
    <b v="0"/>
    <s v="publishing/translations"/>
    <x v="5"/>
    <x v="18"/>
  </r>
  <r>
    <n v="990"/>
    <s v="Ortiz-Roberts"/>
    <s v="Devolved foreground customer loyalty"/>
    <n v="7800"/>
    <n v="6839"/>
    <n v="0.87679487179487181"/>
    <x v="0"/>
    <n v="64"/>
    <n v="106.859375"/>
    <x v="1"/>
    <s v="USD"/>
    <n v="1456984800"/>
    <n v="1458882000"/>
    <x v="289"/>
    <d v="2016-03-25T05:00:00"/>
    <s v="Thu"/>
    <x v="12"/>
    <b v="0"/>
    <b v="1"/>
    <s v="film &amp; video/drama"/>
    <x v="4"/>
    <x v="6"/>
  </r>
  <r>
    <n v="991"/>
    <s v="Ramirez LLC"/>
    <s v="Reduced reciprocal focus group"/>
    <n v="9800"/>
    <n v="11091"/>
    <n v="1.131734693877551"/>
    <x v="1"/>
    <n v="241"/>
    <n v="46.020746887966808"/>
    <x v="1"/>
    <s v="USD"/>
    <n v="1411621200"/>
    <n v="1411966800"/>
    <x v="870"/>
    <d v="2014-09-29T05:00:00"/>
    <s v="Thu"/>
    <x v="3"/>
    <b v="0"/>
    <b v="1"/>
    <s v="music/rock"/>
    <x v="1"/>
    <x v="1"/>
  </r>
  <r>
    <n v="992"/>
    <s v="Morrow Inc"/>
    <s v="Networked global migration"/>
    <n v="3100"/>
    <n v="13223"/>
    <n v="4.2654838709677421"/>
    <x v="1"/>
    <n v="132"/>
    <n v="100.17424242424242"/>
    <x v="1"/>
    <s v="USD"/>
    <n v="1525669200"/>
    <n v="1526878800"/>
    <x v="871"/>
    <d v="2018-05-21T05:00:00"/>
    <s v="Mon"/>
    <x v="26"/>
    <b v="0"/>
    <b v="1"/>
    <s v="film &amp; video/drama"/>
    <x v="4"/>
    <x v="6"/>
  </r>
  <r>
    <n v="993"/>
    <s v="Erickson-Rogers"/>
    <s v="De-engineered even-keeled definition"/>
    <n v="9800"/>
    <n v="7608"/>
    <n v="0.77632653061224488"/>
    <x v="3"/>
    <n v="75"/>
    <n v="101.44"/>
    <x v="6"/>
    <s v="EUR"/>
    <n v="1450936800"/>
    <n v="1452405600"/>
    <x v="872"/>
    <d v="2016-01-10T06:00:00"/>
    <s v="Thu"/>
    <x v="0"/>
    <b v="0"/>
    <b v="1"/>
    <s v="photography/photography books"/>
    <x v="7"/>
    <x v="14"/>
  </r>
  <r>
    <n v="994"/>
    <s v="Leach, Rich and Price"/>
    <s v="Implemented bi-directional flexibility"/>
    <n v="141100"/>
    <n v="74073"/>
    <n v="0.52496810772501767"/>
    <x v="0"/>
    <n v="842"/>
    <n v="87.972684085510693"/>
    <x v="1"/>
    <s v="USD"/>
    <n v="1413522000"/>
    <n v="1414040400"/>
    <x v="873"/>
    <d v="2014-10-23T05:00:00"/>
    <s v="Fri"/>
    <x v="8"/>
    <b v="0"/>
    <b v="1"/>
    <s v="publishing/translations"/>
    <x v="5"/>
    <x v="18"/>
  </r>
  <r>
    <n v="995"/>
    <s v="Manning-Hamilton"/>
    <s v="Vision-oriented scalable definition"/>
    <n v="97300"/>
    <n v="153216"/>
    <n v="1.5746762589928058"/>
    <x v="1"/>
    <n v="2043"/>
    <n v="74.995594713656388"/>
    <x v="1"/>
    <s v="USD"/>
    <n v="1541307600"/>
    <n v="1543816800"/>
    <x v="874"/>
    <d v="2018-12-03T06:00:00"/>
    <s v="Sun"/>
    <x v="41"/>
    <b v="0"/>
    <b v="1"/>
    <s v="food/food trucks"/>
    <x v="0"/>
    <x v="0"/>
  </r>
  <r>
    <n v="996"/>
    <s v="Butler LLC"/>
    <s v="Future-proofed upward-trending migration"/>
    <n v="6600"/>
    <n v="4814"/>
    <n v="0.72939393939393937"/>
    <x v="0"/>
    <n v="112"/>
    <n v="42.982142857142854"/>
    <x v="1"/>
    <s v="USD"/>
    <n v="1357106400"/>
    <n v="1359698400"/>
    <x v="875"/>
    <d v="2013-02-01T06:00:00"/>
    <s v="Wed"/>
    <x v="31"/>
    <b v="0"/>
    <b v="0"/>
    <s v="theater/plays"/>
    <x v="3"/>
    <x v="3"/>
  </r>
  <r>
    <n v="997"/>
    <s v="Ball LLC"/>
    <s v="Right-sized full-range throughput"/>
    <n v="7600"/>
    <n v="4603"/>
    <n v="0.60565789473684206"/>
    <x v="3"/>
    <n v="139"/>
    <n v="33.115107913669064"/>
    <x v="6"/>
    <s v="EUR"/>
    <n v="1390197600"/>
    <n v="1390629600"/>
    <x v="876"/>
    <d v="2014-01-25T06:00:00"/>
    <s v="Mon"/>
    <x v="20"/>
    <b v="0"/>
    <b v="0"/>
    <s v="theater/plays"/>
    <x v="3"/>
    <x v="3"/>
  </r>
  <r>
    <n v="998"/>
    <s v="Taylor, Santiago and Flores"/>
    <s v="Polarized composite customer loyalty"/>
    <n v="66600"/>
    <n v="37823"/>
    <n v="0.5679129129129129"/>
    <x v="0"/>
    <n v="374"/>
    <n v="101.13101604278074"/>
    <x v="1"/>
    <s v="USD"/>
    <n v="1265868000"/>
    <n v="1267077600"/>
    <x v="877"/>
    <d v="2010-02-25T06:00:00"/>
    <s v="Thu"/>
    <x v="26"/>
    <b v="0"/>
    <b v="1"/>
    <s v="music/indie rock"/>
    <x v="1"/>
    <x v="7"/>
  </r>
  <r>
    <n v="999"/>
    <s v="Hernandez, Norton and Kelley"/>
    <s v="Expanded eco-centric policy"/>
    <n v="111100"/>
    <n v="62819"/>
    <n v="0.56542754275427543"/>
    <x v="3"/>
    <n v="1122"/>
    <n v="55.98841354723708"/>
    <x v="1"/>
    <s v="USD"/>
    <n v="1467176400"/>
    <n v="1467781200"/>
    <x v="878"/>
    <d v="2016-07-06T05:00:00"/>
    <s v="Wed"/>
    <x v="34"/>
    <b v="0"/>
    <b v="0"/>
    <s v="food/food trucks"/>
    <x v="0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0"/>
    <s v="Baldwin, Riley and Jackson"/>
    <s v="Pre-emptive tertiary standardization"/>
    <n v="100"/>
    <n v="0"/>
    <n v="0"/>
    <n v="0.50551920620886137"/>
    <x v="0"/>
    <n v="0"/>
    <n v="0"/>
    <x v="0"/>
    <s v="CAD"/>
    <n v="1448690400"/>
    <n v="1450159200"/>
    <x v="0"/>
    <d v="2015-12-15T06:00:00"/>
    <s v="Sat"/>
    <n v="17"/>
    <b v="0"/>
    <b v="0"/>
    <s v="food/food trucks"/>
    <x v="0"/>
    <x v="0"/>
  </r>
  <r>
    <n v="1"/>
    <s v="Odom Inc"/>
    <s v="Managed bottom-line architecture"/>
    <n v="1400"/>
    <n v="14560"/>
    <n v="10.4"/>
    <n v="2.1230434782608696"/>
    <x v="1"/>
    <n v="158"/>
    <n v="92.151898734177209"/>
    <x v="1"/>
    <s v="USD"/>
    <n v="1408424400"/>
    <n v="1408597200"/>
    <x v="1"/>
    <d v="2014-08-21T05:00:00"/>
    <s v="Tue"/>
    <n v="2"/>
    <b v="0"/>
    <b v="1"/>
    <s v="music/rock"/>
    <x v="1"/>
    <x v="1"/>
  </r>
  <r>
    <n v="2"/>
    <s v="Melton, Robinson and Fritz"/>
    <s v="Function-based leadingedge pricing structure"/>
    <n v="108400"/>
    <n v="142523"/>
    <n v="1.31"/>
    <n v="2.1230434782608696"/>
    <x v="1"/>
    <n v="1425"/>
    <n v="100.01614035087719"/>
    <x v="2"/>
    <s v="AUD"/>
    <n v="1384668000"/>
    <n v="1384840800"/>
    <x v="2"/>
    <d v="2013-11-19T06:00:00"/>
    <s v="Sun"/>
    <n v="2"/>
    <b v="0"/>
    <b v="0"/>
    <s v="technology/web"/>
    <x v="2"/>
    <x v="2"/>
  </r>
  <r>
    <n v="3"/>
    <s v="Mcdonald, Gonzalez and Ross"/>
    <s v="Vision-oriented fresh-thinking conglomeration"/>
    <n v="4200"/>
    <n v="2477"/>
    <n v="0.58976190476190471"/>
    <n v="0.50551920620886137"/>
    <x v="0"/>
    <n v="24"/>
    <n v="103.20833333333333"/>
    <x v="1"/>
    <s v="USD"/>
    <n v="1565499600"/>
    <n v="1568955600"/>
    <x v="3"/>
    <d v="2019-09-20T05:00:00"/>
    <s v="Sun"/>
    <n v="40"/>
    <b v="0"/>
    <b v="0"/>
    <s v="music/rock"/>
    <x v="1"/>
    <x v="1"/>
  </r>
  <r>
    <n v="4"/>
    <s v="Larson-Little"/>
    <s v="Proactive foreground core"/>
    <n v="7600"/>
    <n v="5265"/>
    <n v="0.69276315789473686"/>
    <n v="0.50551920620886137"/>
    <x v="0"/>
    <n v="53"/>
    <n v="99.339622641509436"/>
    <x v="1"/>
    <s v="USD"/>
    <n v="1547964000"/>
    <n v="1548309600"/>
    <x v="4"/>
    <d v="2019-01-24T06:00:00"/>
    <s v="Sun"/>
    <n v="4"/>
    <b v="0"/>
    <b v="0"/>
    <s v="theater/plays"/>
    <x v="3"/>
    <x v="3"/>
  </r>
  <r>
    <n v="5"/>
    <s v="Harris Group"/>
    <s v="Open-source optimizing database"/>
    <n v="7600"/>
    <n v="13195"/>
    <n v="1.7361842105263159"/>
    <n v="2.1230434782608696"/>
    <x v="1"/>
    <n v="174"/>
    <n v="75.833333333333329"/>
    <x v="3"/>
    <s v="DKK"/>
    <n v="1346130000"/>
    <n v="1347080400"/>
    <x v="5"/>
    <d v="2012-09-08T05:00:00"/>
    <s v="Tue"/>
    <n v="11"/>
    <b v="0"/>
    <b v="0"/>
    <s v="theater/plays"/>
    <x v="3"/>
    <x v="3"/>
  </r>
  <r>
    <n v="6"/>
    <s v="Ortiz, Coleman and Mitchell"/>
    <s v="Operative upward-trending algorithm"/>
    <n v="5200"/>
    <n v="1090"/>
    <n v="0.20961538461538462"/>
    <n v="0.50551920620886137"/>
    <x v="0"/>
    <n v="18"/>
    <n v="60.555555555555557"/>
    <x v="4"/>
    <s v="GBP"/>
    <n v="1505278800"/>
    <n v="1505365200"/>
    <x v="6"/>
    <d v="2017-09-14T05:00:00"/>
    <s v="Wed"/>
    <n v="1"/>
    <b v="0"/>
    <b v="0"/>
    <s v="film &amp; video/documentary"/>
    <x v="4"/>
    <x v="4"/>
  </r>
  <r>
    <n v="7"/>
    <s v="Carter-Guzman"/>
    <s v="Centralized cohesive challenge"/>
    <n v="4500"/>
    <n v="14741"/>
    <n v="3.2757777777777779"/>
    <n v="2.1230434782608696"/>
    <x v="1"/>
    <n v="227"/>
    <n v="64.93832599118943"/>
    <x v="3"/>
    <s v="DKK"/>
    <n v="1439442000"/>
    <n v="1439614800"/>
    <x v="7"/>
    <d v="2015-08-15T05:00:00"/>
    <s v="Thu"/>
    <n v="2"/>
    <b v="0"/>
    <b v="0"/>
    <s v="theater/plays"/>
    <x v="3"/>
    <x v="3"/>
  </r>
  <r>
    <n v="8"/>
    <s v="Nunez-Richards"/>
    <s v="Exclusive attitude-oriented intranet"/>
    <n v="110100"/>
    <n v="21946"/>
    <n v="0.19932788374205268"/>
    <n v="0.49522981646937392"/>
    <x v="2"/>
    <n v="708"/>
    <n v="30.997175141242938"/>
    <x v="3"/>
    <s v="DKK"/>
    <n v="1281330000"/>
    <n v="1281502800"/>
    <x v="8"/>
    <d v="2010-08-11T05:00:00"/>
    <s v="Mon"/>
    <n v="2"/>
    <b v="0"/>
    <b v="0"/>
    <s v="theater/plays"/>
    <x v="3"/>
    <x v="3"/>
  </r>
  <r>
    <n v="9"/>
    <s v="Rangel, Holt and Jones"/>
    <s v="Open-source fresh-thinking model"/>
    <n v="6200"/>
    <n v="3208"/>
    <n v="0.51741935483870971"/>
    <n v="0.50551920620886137"/>
    <x v="0"/>
    <n v="44"/>
    <n v="72.909090909090907"/>
    <x v="1"/>
    <s v="USD"/>
    <n v="1379566800"/>
    <n v="1383804000"/>
    <x v="9"/>
    <d v="2013-11-07T06:00:00"/>
    <s v="Thu"/>
    <n v="49"/>
    <b v="0"/>
    <b v="0"/>
    <s v="music/electric music"/>
    <x v="1"/>
    <x v="5"/>
  </r>
  <r>
    <n v="10"/>
    <s v="Green Ltd"/>
    <s v="Monitored empowering installation"/>
    <n v="5200"/>
    <n v="13838"/>
    <n v="2.6611538461538462"/>
    <n v="2.1230434782608696"/>
    <x v="1"/>
    <n v="220"/>
    <n v="62.9"/>
    <x v="1"/>
    <s v="USD"/>
    <n v="1281762000"/>
    <n v="1285909200"/>
    <x v="10"/>
    <d v="2010-10-01T05:00:00"/>
    <s v="Sat"/>
    <n v="48"/>
    <b v="0"/>
    <b v="0"/>
    <s v="film &amp; video/drama"/>
    <x v="4"/>
    <x v="6"/>
  </r>
  <r>
    <n v="11"/>
    <s v="Perez, Johnson and Gardner"/>
    <s v="Grass-roots zero administration system engine"/>
    <n v="6300"/>
    <n v="3030"/>
    <n v="0.48095238095238096"/>
    <n v="0.50551920620886137"/>
    <x v="0"/>
    <n v="27"/>
    <n v="112.22222222222223"/>
    <x v="1"/>
    <s v="USD"/>
    <n v="1285045200"/>
    <n v="1285563600"/>
    <x v="11"/>
    <d v="2010-09-27T05:00:00"/>
    <s v="Tue"/>
    <n v="6"/>
    <b v="0"/>
    <b v="1"/>
    <s v="theater/plays"/>
    <x v="3"/>
    <x v="3"/>
  </r>
  <r>
    <n v="12"/>
    <s v="Kim Ltd"/>
    <s v="Assimilated hybrid intranet"/>
    <n v="6300"/>
    <n v="5629"/>
    <n v="0.89349206349206345"/>
    <n v="0.50551920620886137"/>
    <x v="0"/>
    <n v="55"/>
    <n v="102.34545454545454"/>
    <x v="1"/>
    <s v="USD"/>
    <n v="1571720400"/>
    <n v="1572411600"/>
    <x v="12"/>
    <d v="2019-10-30T05:00:00"/>
    <s v="Tue"/>
    <n v="8"/>
    <b v="0"/>
    <b v="0"/>
    <s v="film &amp; video/drama"/>
    <x v="4"/>
    <x v="6"/>
  </r>
  <r>
    <n v="13"/>
    <s v="Walker, Taylor and Coleman"/>
    <s v="Multi-tiered directional open architecture"/>
    <n v="4200"/>
    <n v="10295"/>
    <n v="2.4511904761904764"/>
    <n v="2.1230434782608696"/>
    <x v="1"/>
    <n v="98"/>
    <n v="105.05102040816327"/>
    <x v="1"/>
    <s v="USD"/>
    <n v="1465621200"/>
    <n v="1466658000"/>
    <x v="13"/>
    <d v="2016-06-23T05:00:00"/>
    <s v="Sat"/>
    <n v="12"/>
    <b v="0"/>
    <b v="0"/>
    <s v="music/indie rock"/>
    <x v="1"/>
    <x v="7"/>
  </r>
  <r>
    <n v="14"/>
    <s v="Rodriguez, Rose and Stewart"/>
    <s v="Cloned directional synergy"/>
    <n v="28200"/>
    <n v="18829"/>
    <n v="0.66769503546099296"/>
    <n v="0.50551920620886137"/>
    <x v="0"/>
    <n v="200"/>
    <n v="94.144999999999996"/>
    <x v="1"/>
    <s v="USD"/>
    <n v="1331013600"/>
    <n v="1333342800"/>
    <x v="14"/>
    <d v="2012-04-02T05:00:00"/>
    <s v="Tue"/>
    <n v="27"/>
    <b v="0"/>
    <b v="0"/>
    <s v="music/indie rock"/>
    <x v="1"/>
    <x v="7"/>
  </r>
  <r>
    <n v="15"/>
    <s v="Wright, Hunt and Rowe"/>
    <s v="Extended eco-centric pricing structure"/>
    <n v="81200"/>
    <n v="38414"/>
    <n v="0.47307881773399013"/>
    <n v="0.50551920620886137"/>
    <x v="0"/>
    <n v="452"/>
    <n v="84.986725663716811"/>
    <x v="1"/>
    <s v="USD"/>
    <n v="1575957600"/>
    <n v="1576303200"/>
    <x v="15"/>
    <d v="2019-12-14T06:00:00"/>
    <s v="Tue"/>
    <n v="4"/>
    <b v="0"/>
    <b v="0"/>
    <s v="technology/wearables"/>
    <x v="2"/>
    <x v="8"/>
  </r>
  <r>
    <n v="16"/>
    <s v="Hines Inc"/>
    <s v="Cross-platform systemic adapter"/>
    <n v="1700"/>
    <n v="11041"/>
    <n v="6.4947058823529416"/>
    <n v="2.1230434782608696"/>
    <x v="1"/>
    <n v="100"/>
    <n v="110.41"/>
    <x v="1"/>
    <s v="USD"/>
    <n v="1390370400"/>
    <n v="1392271200"/>
    <x v="16"/>
    <d v="2014-02-13T06:00:00"/>
    <s v="Wed"/>
    <n v="22"/>
    <b v="0"/>
    <b v="0"/>
    <s v="publishing/nonfiction"/>
    <x v="5"/>
    <x v="9"/>
  </r>
  <r>
    <n v="17"/>
    <s v="Cochran-Nguyen"/>
    <s v="Seamless 4thgeneration methodology"/>
    <n v="84600"/>
    <n v="134845"/>
    <n v="1.5939125295508274"/>
    <n v="2.1230434782608696"/>
    <x v="1"/>
    <n v="1249"/>
    <n v="107.96236989591674"/>
    <x v="1"/>
    <s v="USD"/>
    <n v="1294812000"/>
    <n v="1294898400"/>
    <x v="17"/>
    <d v="2011-01-13T06:00:00"/>
    <s v="Wed"/>
    <n v="1"/>
    <b v="0"/>
    <b v="0"/>
    <s v="film &amp; video/animation"/>
    <x v="4"/>
    <x v="10"/>
  </r>
  <r>
    <n v="18"/>
    <s v="Johnson-Gould"/>
    <s v="Exclusive needs-based adapter"/>
    <n v="9100"/>
    <n v="6089"/>
    <n v="0.66912087912087914"/>
    <n v="0.43241247264770238"/>
    <x v="3"/>
    <n v="135"/>
    <n v="45.103703703703701"/>
    <x v="1"/>
    <s v="USD"/>
    <n v="1536382800"/>
    <n v="1537074000"/>
    <x v="18"/>
    <d v="2018-09-16T05:00:00"/>
    <s v="Sat"/>
    <n v="8"/>
    <b v="0"/>
    <b v="0"/>
    <s v="theater/plays"/>
    <x v="3"/>
    <x v="3"/>
  </r>
  <r>
    <n v="19"/>
    <s v="Perez-Hess"/>
    <s v="Down-sized cohesive archive"/>
    <n v="62500"/>
    <n v="30331"/>
    <n v="0.48529600000000001"/>
    <n v="0.50551920620886137"/>
    <x v="0"/>
    <n v="674"/>
    <n v="45.001483679525222"/>
    <x v="1"/>
    <s v="USD"/>
    <n v="1551679200"/>
    <n v="1553490000"/>
    <x v="19"/>
    <d v="2019-03-25T05:00:00"/>
    <s v="Mon"/>
    <n v="21"/>
    <b v="0"/>
    <b v="1"/>
    <s v="theater/plays"/>
    <x v="3"/>
    <x v="3"/>
  </r>
  <r>
    <n v="20"/>
    <s v="Reeves, Thompson and Richardson"/>
    <s v="Proactive composite alliance"/>
    <n v="131800"/>
    <n v="147936"/>
    <n v="1.1224279210925645"/>
    <n v="2.1230434782608696"/>
    <x v="1"/>
    <n v="1396"/>
    <n v="105.97134670487107"/>
    <x v="1"/>
    <s v="USD"/>
    <n v="1406523600"/>
    <n v="1406523600"/>
    <x v="20"/>
    <d v="2014-07-28T05:00:00"/>
    <s v="Mon"/>
    <n v="0"/>
    <b v="0"/>
    <b v="0"/>
    <s v="film &amp; video/drama"/>
    <x v="4"/>
    <x v="6"/>
  </r>
  <r>
    <n v="21"/>
    <s v="Simmons-Reynolds"/>
    <s v="Re-engineered intangible definition"/>
    <n v="94000"/>
    <n v="38533"/>
    <n v="0.40992553191489361"/>
    <n v="0.50551920620886137"/>
    <x v="0"/>
    <n v="558"/>
    <n v="69.055555555555557"/>
    <x v="1"/>
    <s v="USD"/>
    <n v="1313384400"/>
    <n v="1316322000"/>
    <x v="21"/>
    <d v="2011-09-18T05:00:00"/>
    <s v="Mon"/>
    <n v="34"/>
    <b v="0"/>
    <b v="0"/>
    <s v="theater/plays"/>
    <x v="3"/>
    <x v="3"/>
  </r>
  <r>
    <n v="22"/>
    <s v="Collier Inc"/>
    <s v="Enhanced dynamic definition"/>
    <n v="59100"/>
    <n v="75690"/>
    <n v="1.2807106598984772"/>
    <n v="2.1230434782608696"/>
    <x v="1"/>
    <n v="890"/>
    <n v="85.044943820224717"/>
    <x v="1"/>
    <s v="USD"/>
    <n v="1522731600"/>
    <n v="1524027600"/>
    <x v="22"/>
    <d v="2018-04-18T05:00:00"/>
    <s v="Tue"/>
    <n v="15"/>
    <b v="0"/>
    <b v="0"/>
    <s v="theater/plays"/>
    <x v="3"/>
    <x v="3"/>
  </r>
  <r>
    <n v="23"/>
    <s v="Gray-Jenkins"/>
    <s v="Devolved next generation adapter"/>
    <n v="4500"/>
    <n v="14942"/>
    <n v="3.3204444444444445"/>
    <n v="2.1230434782608696"/>
    <x v="1"/>
    <n v="142"/>
    <n v="105.22535211267606"/>
    <x v="4"/>
    <s v="GBP"/>
    <n v="1550124000"/>
    <n v="1554699600"/>
    <x v="23"/>
    <d v="2019-04-08T05:00:00"/>
    <s v="Thu"/>
    <n v="53"/>
    <b v="0"/>
    <b v="0"/>
    <s v="film &amp; video/documentary"/>
    <x v="4"/>
    <x v="4"/>
  </r>
  <r>
    <n v="24"/>
    <s v="Scott, Wilson and Martin"/>
    <s v="Cross-platform intermediate frame"/>
    <n v="92400"/>
    <n v="104257"/>
    <n v="1.1283225108225108"/>
    <n v="2.1230434782608696"/>
    <x v="1"/>
    <n v="2673"/>
    <n v="39.003741114852225"/>
    <x v="1"/>
    <s v="USD"/>
    <n v="1403326800"/>
    <n v="1403499600"/>
    <x v="24"/>
    <d v="2014-06-23T05:00:00"/>
    <s v="Sat"/>
    <n v="2"/>
    <b v="0"/>
    <b v="0"/>
    <s v="technology/wearables"/>
    <x v="2"/>
    <x v="8"/>
  </r>
  <r>
    <n v="25"/>
    <s v="Caldwell, Velazquez and Wilson"/>
    <s v="Monitored impactful analyzer"/>
    <n v="5500"/>
    <n v="11904"/>
    <n v="2.1643636363636363"/>
    <n v="2.1230434782608696"/>
    <x v="1"/>
    <n v="163"/>
    <n v="73.030674846625772"/>
    <x v="1"/>
    <s v="USD"/>
    <n v="1305694800"/>
    <n v="1307422800"/>
    <x v="25"/>
    <d v="2011-06-07T05:00:00"/>
    <s v="Wed"/>
    <n v="20"/>
    <b v="0"/>
    <b v="1"/>
    <s v="games/video games"/>
    <x v="6"/>
    <x v="11"/>
  </r>
  <r>
    <n v="26"/>
    <s v="Spencer-Bates"/>
    <s v="Optional responsive customer loyalty"/>
    <n v="107500"/>
    <n v="51814"/>
    <n v="0.4819906976744186"/>
    <n v="0.43241247264770238"/>
    <x v="3"/>
    <n v="1480"/>
    <n v="35.009459459459457"/>
    <x v="1"/>
    <s v="USD"/>
    <n v="1533013200"/>
    <n v="1535346000"/>
    <x v="26"/>
    <d v="2018-08-27T05:00:00"/>
    <s v="Tue"/>
    <n v="27"/>
    <b v="0"/>
    <b v="0"/>
    <s v="theater/plays"/>
    <x v="3"/>
    <x v="3"/>
  </r>
  <r>
    <n v="27"/>
    <s v="Best, Carr and Williams"/>
    <s v="Diverse transitional migration"/>
    <n v="2000"/>
    <n v="1599"/>
    <n v="0.79949999999999999"/>
    <n v="0.50551920620886137"/>
    <x v="0"/>
    <n v="15"/>
    <n v="106.6"/>
    <x v="1"/>
    <s v="USD"/>
    <n v="1443848400"/>
    <n v="1444539600"/>
    <x v="27"/>
    <d v="2015-10-11T05:00:00"/>
    <s v="Sat"/>
    <n v="8"/>
    <b v="0"/>
    <b v="0"/>
    <s v="music/rock"/>
    <x v="1"/>
    <x v="1"/>
  </r>
  <r>
    <n v="28"/>
    <s v="Campbell, Brown and Powell"/>
    <s v="Synchronized global task-force"/>
    <n v="130800"/>
    <n v="137635"/>
    <n v="1.0522553516819573"/>
    <n v="2.1230434782608696"/>
    <x v="1"/>
    <n v="2220"/>
    <n v="61.997747747747745"/>
    <x v="1"/>
    <s v="USD"/>
    <n v="1265695200"/>
    <n v="1267682400"/>
    <x v="28"/>
    <d v="2010-03-04T06:00:00"/>
    <s v="Tue"/>
    <n v="23"/>
    <b v="0"/>
    <b v="1"/>
    <s v="theater/plays"/>
    <x v="3"/>
    <x v="3"/>
  </r>
  <r>
    <n v="29"/>
    <s v="Johnson, Parker and Haynes"/>
    <s v="Focused 6thgeneration forecast"/>
    <n v="45900"/>
    <n v="150965"/>
    <n v="3.2889978213507627"/>
    <n v="2.1230434782608696"/>
    <x v="1"/>
    <n v="1606"/>
    <n v="94.000622665006233"/>
    <x v="5"/>
    <s v="CHF"/>
    <n v="1532062800"/>
    <n v="1535518800"/>
    <x v="29"/>
    <d v="2018-08-29T05:00:00"/>
    <s v="Fri"/>
    <n v="40"/>
    <b v="0"/>
    <b v="0"/>
    <s v="film &amp; video/shorts"/>
    <x v="4"/>
    <x v="12"/>
  </r>
  <r>
    <n v="30"/>
    <s v="Clark-Cooke"/>
    <s v="Down-sized analyzing challenge"/>
    <n v="9000"/>
    <n v="14455"/>
    <n v="1.606111111111111"/>
    <n v="2.1230434782608696"/>
    <x v="1"/>
    <n v="129"/>
    <n v="112.05426356589147"/>
    <x v="1"/>
    <s v="USD"/>
    <n v="1558674000"/>
    <n v="1559106000"/>
    <x v="30"/>
    <d v="2019-05-29T05:00:00"/>
    <s v="Fri"/>
    <n v="5"/>
    <b v="0"/>
    <b v="0"/>
    <s v="film &amp; video/animation"/>
    <x v="4"/>
    <x v="10"/>
  </r>
  <r>
    <n v="31"/>
    <s v="Schroeder Ltd"/>
    <s v="Progressive needs-based focus group"/>
    <n v="3500"/>
    <n v="10850"/>
    <n v="3.1"/>
    <n v="2.1230434782608696"/>
    <x v="1"/>
    <n v="226"/>
    <n v="48.008849557522126"/>
    <x v="4"/>
    <s v="GBP"/>
    <n v="1451973600"/>
    <n v="1454392800"/>
    <x v="31"/>
    <d v="2016-02-02T06:00:00"/>
    <s v="Tue"/>
    <n v="28"/>
    <b v="0"/>
    <b v="0"/>
    <s v="games/video games"/>
    <x v="6"/>
    <x v="11"/>
  </r>
  <r>
    <n v="32"/>
    <s v="Jackson PLC"/>
    <s v="Ergonomic 6thgeneration success"/>
    <n v="101000"/>
    <n v="87676"/>
    <n v="0.86807920792079207"/>
    <n v="0.50551920620886137"/>
    <x v="0"/>
    <n v="2307"/>
    <n v="38.004334633723452"/>
    <x v="6"/>
    <s v="EUR"/>
    <n v="1515564000"/>
    <n v="1517896800"/>
    <x v="32"/>
    <d v="2018-02-06T06:00:00"/>
    <s v="Wed"/>
    <n v="27"/>
    <b v="0"/>
    <b v="0"/>
    <s v="film &amp; video/documentary"/>
    <x v="4"/>
    <x v="4"/>
  </r>
  <r>
    <n v="33"/>
    <s v="Blair, Collins and Carter"/>
    <s v="Exclusive interactive approach"/>
    <n v="50200"/>
    <n v="189666"/>
    <n v="3.7782071713147412"/>
    <n v="2.1230434782608696"/>
    <x v="1"/>
    <n v="5419"/>
    <n v="35.000184535892231"/>
    <x v="1"/>
    <s v="USD"/>
    <n v="1412485200"/>
    <n v="1415685600"/>
    <x v="33"/>
    <d v="2014-11-11T06:00:00"/>
    <s v="Sun"/>
    <n v="37"/>
    <b v="0"/>
    <b v="0"/>
    <s v="theater/plays"/>
    <x v="3"/>
    <x v="3"/>
  </r>
  <r>
    <n v="34"/>
    <s v="Maldonado and Sons"/>
    <s v="Reverse-engineered asynchronous archive"/>
    <n v="9300"/>
    <n v="14025"/>
    <n v="1.5080645161290323"/>
    <n v="2.1230434782608696"/>
    <x v="1"/>
    <n v="165"/>
    <n v="85"/>
    <x v="1"/>
    <s v="USD"/>
    <n v="1490245200"/>
    <n v="1490677200"/>
    <x v="34"/>
    <d v="2017-03-28T05:00:00"/>
    <s v="Thu"/>
    <n v="5"/>
    <b v="0"/>
    <b v="0"/>
    <s v="film &amp; video/documentary"/>
    <x v="4"/>
    <x v="4"/>
  </r>
  <r>
    <n v="35"/>
    <s v="Mitchell and Sons"/>
    <s v="Synergized intangible challenge"/>
    <n v="125500"/>
    <n v="188628"/>
    <n v="1.5030119521912351"/>
    <n v="2.1230434782608696"/>
    <x v="1"/>
    <n v="1965"/>
    <n v="95.993893129770996"/>
    <x v="3"/>
    <s v="DKK"/>
    <n v="1547877600"/>
    <n v="1551506400"/>
    <x v="35"/>
    <d v="2019-03-02T06:00:00"/>
    <s v="Sat"/>
    <n v="42"/>
    <b v="0"/>
    <b v="1"/>
    <s v="film &amp; video/drama"/>
    <x v="4"/>
    <x v="6"/>
  </r>
  <r>
    <n v="36"/>
    <s v="Jackson-Lewis"/>
    <s v="Monitored multi-state encryption"/>
    <n v="700"/>
    <n v="1101"/>
    <n v="1.572857142857143"/>
    <n v="2.1230434782608696"/>
    <x v="1"/>
    <n v="16"/>
    <n v="68.8125"/>
    <x v="1"/>
    <s v="USD"/>
    <n v="1298700000"/>
    <n v="1300856400"/>
    <x v="36"/>
    <d v="2011-03-23T05:00:00"/>
    <s v="Sat"/>
    <n v="25"/>
    <b v="0"/>
    <b v="0"/>
    <s v="theater/plays"/>
    <x v="3"/>
    <x v="3"/>
  </r>
  <r>
    <n v="37"/>
    <s v="Black, Armstrong and Anderson"/>
    <s v="Profound attitude-oriented functionalities"/>
    <n v="8100"/>
    <n v="11339"/>
    <n v="1.3998765432098765"/>
    <n v="2.1230434782608696"/>
    <x v="1"/>
    <n v="107"/>
    <n v="105.97196261682242"/>
    <x v="1"/>
    <s v="USD"/>
    <n v="1570338000"/>
    <n v="1573192800"/>
    <x v="37"/>
    <d v="2019-11-08T06:00:00"/>
    <s v="Sun"/>
    <n v="33"/>
    <b v="0"/>
    <b v="1"/>
    <s v="publishing/fiction"/>
    <x v="5"/>
    <x v="13"/>
  </r>
  <r>
    <n v="38"/>
    <s v="Maldonado-Gonzalez"/>
    <s v="Digitized client-driven database"/>
    <n v="3100"/>
    <n v="10085"/>
    <n v="3.2532258064516131"/>
    <n v="2.1230434782608696"/>
    <x v="1"/>
    <n v="134"/>
    <n v="75.261194029850742"/>
    <x v="1"/>
    <s v="USD"/>
    <n v="1287378000"/>
    <n v="1287810000"/>
    <x v="38"/>
    <d v="2010-10-23T05:00:00"/>
    <s v="Mon"/>
    <n v="5"/>
    <b v="0"/>
    <b v="0"/>
    <s v="photography/photography books"/>
    <x v="7"/>
    <x v="14"/>
  </r>
  <r>
    <n v="39"/>
    <s v="Kim-Rice"/>
    <s v="Organized bi-directional function"/>
    <n v="9900"/>
    <n v="5027"/>
    <n v="0.50777777777777777"/>
    <n v="0.50551920620886137"/>
    <x v="0"/>
    <n v="88"/>
    <n v="57.125"/>
    <x v="3"/>
    <s v="DKK"/>
    <n v="1361772000"/>
    <n v="1362978000"/>
    <x v="39"/>
    <d v="2013-03-11T05:00:00"/>
    <s v="Mon"/>
    <n v="14"/>
    <b v="0"/>
    <b v="0"/>
    <s v="theater/plays"/>
    <x v="3"/>
    <x v="3"/>
  </r>
  <r>
    <n v="40"/>
    <s v="Garcia, Garcia and Lopez"/>
    <s v="Reduced stable middleware"/>
    <n v="8800"/>
    <n v="14878"/>
    <n v="1.6906818181818182"/>
    <n v="2.1230434782608696"/>
    <x v="1"/>
    <n v="198"/>
    <n v="75.141414141414145"/>
    <x v="1"/>
    <s v="USD"/>
    <n v="1275714000"/>
    <n v="1277355600"/>
    <x v="40"/>
    <d v="2010-06-24T05:00:00"/>
    <s v="Sat"/>
    <n v="19"/>
    <b v="0"/>
    <b v="1"/>
    <s v="technology/wearables"/>
    <x v="2"/>
    <x v="8"/>
  </r>
  <r>
    <n v="41"/>
    <s v="Watts Group"/>
    <s v="Universal 5thgeneration neural-net"/>
    <n v="5600"/>
    <n v="11924"/>
    <n v="2.1292857142857144"/>
    <n v="2.1230434782608696"/>
    <x v="1"/>
    <n v="111"/>
    <n v="107.42342342342343"/>
    <x v="6"/>
    <s v="EUR"/>
    <n v="1346734800"/>
    <n v="1348981200"/>
    <x v="41"/>
    <d v="2012-09-30T05:00:00"/>
    <s v="Tue"/>
    <n v="26"/>
    <b v="0"/>
    <b v="1"/>
    <s v="music/rock"/>
    <x v="1"/>
    <x v="1"/>
  </r>
  <r>
    <n v="42"/>
    <s v="Werner-Bryant"/>
    <s v="Virtual uniform frame"/>
    <n v="1800"/>
    <n v="7991"/>
    <n v="4.4394444444444447"/>
    <n v="2.1230434782608696"/>
    <x v="1"/>
    <n v="222"/>
    <n v="35.995495495495497"/>
    <x v="1"/>
    <s v="USD"/>
    <n v="1309755600"/>
    <n v="1310533200"/>
    <x v="42"/>
    <d v="2011-07-13T05:00:00"/>
    <s v="Mon"/>
    <n v="9"/>
    <b v="0"/>
    <b v="0"/>
    <s v="food/food trucks"/>
    <x v="0"/>
    <x v="0"/>
  </r>
  <r>
    <n v="43"/>
    <s v="Schmitt-Mendoza"/>
    <s v="Profound explicit paradigm"/>
    <n v="90200"/>
    <n v="167717"/>
    <n v="1.859390243902439"/>
    <n v="2.1230434782608696"/>
    <x v="1"/>
    <n v="6212"/>
    <n v="26.998873148744366"/>
    <x v="1"/>
    <s v="USD"/>
    <n v="1406178000"/>
    <n v="1407560400"/>
    <x v="43"/>
    <d v="2014-08-09T05:00:00"/>
    <s v="Thu"/>
    <n v="16"/>
    <b v="0"/>
    <b v="0"/>
    <s v="publishing/radio &amp; podcasts"/>
    <x v="5"/>
    <x v="15"/>
  </r>
  <r>
    <n v="44"/>
    <s v="Reid-Mccullough"/>
    <s v="Visionary real-time groupware"/>
    <n v="1600"/>
    <n v="10541"/>
    <n v="6.5881249999999998"/>
    <n v="2.1230434782608696"/>
    <x v="1"/>
    <n v="98"/>
    <n v="107.56122448979592"/>
    <x v="3"/>
    <s v="DKK"/>
    <n v="1552798800"/>
    <n v="1552885200"/>
    <x v="44"/>
    <d v="2019-03-18T05:00:00"/>
    <s v="Sun"/>
    <n v="1"/>
    <b v="0"/>
    <b v="0"/>
    <s v="publishing/fiction"/>
    <x v="5"/>
    <x v="13"/>
  </r>
  <r>
    <n v="45"/>
    <s v="Woods-Clark"/>
    <s v="Networked tertiary Graphical User Interface"/>
    <n v="9500"/>
    <n v="4530"/>
    <n v="0.4768421052631579"/>
    <n v="0.50551920620886137"/>
    <x v="0"/>
    <n v="48"/>
    <n v="94.375"/>
    <x v="1"/>
    <s v="USD"/>
    <n v="1478062800"/>
    <n v="1479362400"/>
    <x v="45"/>
    <d v="2016-11-17T06:00:00"/>
    <s v="Wed"/>
    <n v="15"/>
    <b v="0"/>
    <b v="1"/>
    <s v="theater/plays"/>
    <x v="3"/>
    <x v="3"/>
  </r>
  <r>
    <n v="46"/>
    <s v="Vaughn, Hunt and Caldwell"/>
    <s v="Virtual grid-enabled task-force"/>
    <n v="3700"/>
    <n v="4247"/>
    <n v="1.1478378378378378"/>
    <n v="2.1230434782608696"/>
    <x v="1"/>
    <n v="92"/>
    <n v="46.163043478260867"/>
    <x v="1"/>
    <s v="USD"/>
    <n v="1278565200"/>
    <n v="1280552400"/>
    <x v="46"/>
    <d v="2010-07-31T05:00:00"/>
    <s v="Thu"/>
    <n v="23"/>
    <b v="0"/>
    <b v="0"/>
    <s v="music/rock"/>
    <x v="1"/>
    <x v="1"/>
  </r>
  <r>
    <n v="47"/>
    <s v="Bennett and Sons"/>
    <s v="Function-based multi-state software"/>
    <n v="1500"/>
    <n v="7129"/>
    <n v="4.7526666666666664"/>
    <n v="2.1230434782608696"/>
    <x v="1"/>
    <n v="149"/>
    <n v="47.845637583892618"/>
    <x v="1"/>
    <s v="USD"/>
    <n v="1396069200"/>
    <n v="1398661200"/>
    <x v="47"/>
    <d v="2014-04-28T05:00:00"/>
    <s v="Sat"/>
    <n v="30"/>
    <b v="0"/>
    <b v="0"/>
    <s v="theater/plays"/>
    <x v="3"/>
    <x v="3"/>
  </r>
  <r>
    <n v="48"/>
    <s v="Lamb Inc"/>
    <s v="Optimized leadingedge concept"/>
    <n v="33300"/>
    <n v="128862"/>
    <n v="3.86972972972973"/>
    <n v="2.1230434782608696"/>
    <x v="1"/>
    <n v="2431"/>
    <n v="53.007815713698065"/>
    <x v="1"/>
    <s v="USD"/>
    <n v="1435208400"/>
    <n v="1436245200"/>
    <x v="48"/>
    <d v="2015-07-07T05:00:00"/>
    <s v="Thu"/>
    <n v="12"/>
    <b v="0"/>
    <b v="0"/>
    <s v="theater/plays"/>
    <x v="3"/>
    <x v="3"/>
  </r>
  <r>
    <n v="49"/>
    <s v="Casey-Kelly"/>
    <s v="Sharable holistic interface"/>
    <n v="7200"/>
    <n v="13653"/>
    <n v="1.89625"/>
    <n v="2.1230434782608696"/>
    <x v="1"/>
    <n v="303"/>
    <n v="45.059405940594061"/>
    <x v="1"/>
    <s v="USD"/>
    <n v="1571547600"/>
    <n v="1575439200"/>
    <x v="49"/>
    <d v="2019-12-04T06:00:00"/>
    <s v="Sun"/>
    <n v="45"/>
    <b v="0"/>
    <b v="0"/>
    <s v="music/rock"/>
    <x v="1"/>
    <x v="1"/>
  </r>
  <r>
    <n v="50"/>
    <s v="Jones, Taylor and Moore"/>
    <s v="Down-sized system-worthy secured line"/>
    <n v="100"/>
    <n v="2"/>
    <n v="0.02"/>
    <n v="0.50551920620886137"/>
    <x v="0"/>
    <n v="1"/>
    <n v="2"/>
    <x v="6"/>
    <s v="EUR"/>
    <n v="1375333200"/>
    <n v="1377752400"/>
    <x v="50"/>
    <d v="2013-08-29T05:00:00"/>
    <s v="Thu"/>
    <n v="28"/>
    <b v="0"/>
    <b v="0"/>
    <s v="music/metal"/>
    <x v="1"/>
    <x v="16"/>
  </r>
  <r>
    <n v="51"/>
    <s v="Bradshaw, Gill and Donovan"/>
    <s v="Inverse secondary infrastructure"/>
    <n v="158100"/>
    <n v="145243"/>
    <n v="0.91867805186590767"/>
    <n v="0.50551920620886137"/>
    <x v="0"/>
    <n v="1467"/>
    <n v="99.006816632583508"/>
    <x v="4"/>
    <s v="GBP"/>
    <n v="1332824400"/>
    <n v="1334206800"/>
    <x v="51"/>
    <d v="2012-04-12T05:00:00"/>
    <s v="Tue"/>
    <n v="16"/>
    <b v="0"/>
    <b v="1"/>
    <s v="technology/wearables"/>
    <x v="2"/>
    <x v="8"/>
  </r>
  <r>
    <n v="52"/>
    <s v="Hernandez, Rodriguez and Clark"/>
    <s v="Organic foreground leverage"/>
    <n v="7200"/>
    <n v="2459"/>
    <n v="0.34152777777777776"/>
    <n v="0.50551920620886137"/>
    <x v="0"/>
    <n v="75"/>
    <n v="32.786666666666669"/>
    <x v="1"/>
    <s v="USD"/>
    <n v="1284526800"/>
    <n v="1284872400"/>
    <x v="52"/>
    <d v="2010-09-19T05:00:00"/>
    <s v="Wed"/>
    <n v="4"/>
    <b v="0"/>
    <b v="0"/>
    <s v="theater/plays"/>
    <x v="3"/>
    <x v="3"/>
  </r>
  <r>
    <n v="53"/>
    <s v="Smith-Jones"/>
    <s v="Reverse-engineered static concept"/>
    <n v="8800"/>
    <n v="12356"/>
    <n v="1.4040909090909091"/>
    <n v="2.1230434782608696"/>
    <x v="1"/>
    <n v="209"/>
    <n v="59.119617224880386"/>
    <x v="1"/>
    <s v="USD"/>
    <n v="1400562000"/>
    <n v="1403931600"/>
    <x v="53"/>
    <d v="2014-06-28T05:00:00"/>
    <s v="Tue"/>
    <n v="39"/>
    <b v="0"/>
    <b v="0"/>
    <s v="film &amp; video/drama"/>
    <x v="4"/>
    <x v="6"/>
  </r>
  <r>
    <n v="54"/>
    <s v="Roy PLC"/>
    <s v="Multi-channeled neutral customer loyalty"/>
    <n v="6000"/>
    <n v="5392"/>
    <n v="0.89866666666666661"/>
    <n v="0.50551920620886137"/>
    <x v="0"/>
    <n v="120"/>
    <n v="44.93333333333333"/>
    <x v="1"/>
    <s v="USD"/>
    <n v="1520748000"/>
    <n v="1521262800"/>
    <x v="54"/>
    <d v="2018-03-17T05:00:00"/>
    <s v="Sun"/>
    <n v="6"/>
    <b v="0"/>
    <b v="0"/>
    <s v="technology/wearables"/>
    <x v="2"/>
    <x v="8"/>
  </r>
  <r>
    <n v="55"/>
    <s v="Wright, Brooks and Villarreal"/>
    <s v="Reverse-engineered bifurcated strategy"/>
    <n v="6600"/>
    <n v="11746"/>
    <n v="1.7796969696969698"/>
    <n v="2.1230434782608696"/>
    <x v="1"/>
    <n v="131"/>
    <n v="89.664122137404576"/>
    <x v="1"/>
    <s v="USD"/>
    <n v="1532926800"/>
    <n v="1533358800"/>
    <x v="55"/>
    <d v="2018-08-04T05:00:00"/>
    <s v="Mon"/>
    <n v="5"/>
    <b v="0"/>
    <b v="0"/>
    <s v="music/jazz"/>
    <x v="1"/>
    <x v="17"/>
  </r>
  <r>
    <n v="56"/>
    <s v="Flores, Miller and Johnson"/>
    <s v="Horizontal context-sensitive knowledge user"/>
    <n v="8000"/>
    <n v="11493"/>
    <n v="1.436625"/>
    <n v="2.1230434782608696"/>
    <x v="1"/>
    <n v="164"/>
    <n v="70.079268292682926"/>
    <x v="1"/>
    <s v="USD"/>
    <n v="1420869600"/>
    <n v="1421474400"/>
    <x v="56"/>
    <d v="2015-01-17T06:00:00"/>
    <s v="Sat"/>
    <n v="7"/>
    <b v="0"/>
    <b v="0"/>
    <s v="technology/wearables"/>
    <x v="2"/>
    <x v="8"/>
  </r>
  <r>
    <n v="57"/>
    <s v="Bridges, Freeman and Kim"/>
    <s v="Cross-group multi-state task-force"/>
    <n v="2900"/>
    <n v="6243"/>
    <n v="2.1527586206896552"/>
    <n v="2.1230434782608696"/>
    <x v="1"/>
    <n v="201"/>
    <n v="31.059701492537314"/>
    <x v="1"/>
    <s v="USD"/>
    <n v="1504242000"/>
    <n v="1505278800"/>
    <x v="57"/>
    <d v="2017-09-13T05:00:00"/>
    <s v="Fri"/>
    <n v="12"/>
    <b v="0"/>
    <b v="0"/>
    <s v="games/video games"/>
    <x v="6"/>
    <x v="11"/>
  </r>
  <r>
    <n v="58"/>
    <s v="Anderson-Perez"/>
    <s v="Expanded 3rdgeneration strategy"/>
    <n v="2700"/>
    <n v="6132"/>
    <n v="2.2711111111111113"/>
    <n v="2.1230434782608696"/>
    <x v="1"/>
    <n v="211"/>
    <n v="29.061611374407583"/>
    <x v="1"/>
    <s v="USD"/>
    <n v="1442811600"/>
    <n v="1443934800"/>
    <x v="58"/>
    <d v="2015-10-04T05:00:00"/>
    <s v="Mon"/>
    <n v="13"/>
    <b v="0"/>
    <b v="0"/>
    <s v="theater/plays"/>
    <x v="3"/>
    <x v="3"/>
  </r>
  <r>
    <n v="59"/>
    <s v="Wright, Fox and Marks"/>
    <s v="Assimilated real-time support"/>
    <n v="1400"/>
    <n v="3851"/>
    <n v="2.7507142857142859"/>
    <n v="2.1230434782608696"/>
    <x v="1"/>
    <n v="128"/>
    <n v="30.0859375"/>
    <x v="1"/>
    <s v="USD"/>
    <n v="1497243600"/>
    <n v="1498539600"/>
    <x v="59"/>
    <d v="2017-06-27T05:00:00"/>
    <s v="Mon"/>
    <n v="15"/>
    <b v="0"/>
    <b v="1"/>
    <s v="theater/plays"/>
    <x v="3"/>
    <x v="3"/>
  </r>
  <r>
    <n v="60"/>
    <s v="Crawford-Peters"/>
    <s v="User-centric regional database"/>
    <n v="94200"/>
    <n v="135997"/>
    <n v="1.4437048832271762"/>
    <n v="2.1230434782608696"/>
    <x v="1"/>
    <n v="1600"/>
    <n v="84.998125000000002"/>
    <x v="0"/>
    <s v="CAD"/>
    <n v="1342501200"/>
    <n v="1342760400"/>
    <x v="60"/>
    <d v="2012-07-20T05:00:00"/>
    <s v="Tue"/>
    <n v="3"/>
    <b v="0"/>
    <b v="0"/>
    <s v="theater/plays"/>
    <x v="3"/>
    <x v="3"/>
  </r>
  <r>
    <n v="61"/>
    <s v="Romero-Hoffman"/>
    <s v="Open-source zero administration complexity"/>
    <n v="199200"/>
    <n v="184750"/>
    <n v="0.92745983935742971"/>
    <n v="0.50551920620886137"/>
    <x v="0"/>
    <n v="2253"/>
    <n v="82.001775410563695"/>
    <x v="0"/>
    <s v="CAD"/>
    <n v="1298268000"/>
    <n v="1301720400"/>
    <x v="61"/>
    <d v="2011-04-02T05:00:00"/>
    <s v="Mon"/>
    <n v="40"/>
    <b v="0"/>
    <b v="0"/>
    <s v="theater/plays"/>
    <x v="3"/>
    <x v="3"/>
  </r>
  <r>
    <n v="62"/>
    <s v="Sparks-West"/>
    <s v="Organized incremental standardization"/>
    <n v="2000"/>
    <n v="14452"/>
    <n v="7.226"/>
    <n v="2.1230434782608696"/>
    <x v="1"/>
    <n v="249"/>
    <n v="58.040160642570278"/>
    <x v="1"/>
    <s v="USD"/>
    <n v="1433480400"/>
    <n v="1433566800"/>
    <x v="62"/>
    <d v="2015-06-06T05:00:00"/>
    <s v="Fri"/>
    <n v="1"/>
    <b v="0"/>
    <b v="0"/>
    <s v="technology/web"/>
    <x v="2"/>
    <x v="2"/>
  </r>
  <r>
    <n v="63"/>
    <s v="Baker, Morgan and Brown"/>
    <s v="Assimilated didactic open system"/>
    <n v="4700"/>
    <n v="557"/>
    <n v="0.11851063829787234"/>
    <n v="0.50551920620886137"/>
    <x v="0"/>
    <n v="5"/>
    <n v="111.4"/>
    <x v="1"/>
    <s v="USD"/>
    <n v="1493355600"/>
    <n v="1493874000"/>
    <x v="63"/>
    <d v="2017-05-04T05:00:00"/>
    <s v="Fri"/>
    <n v="6"/>
    <b v="0"/>
    <b v="0"/>
    <s v="theater/plays"/>
    <x v="3"/>
    <x v="3"/>
  </r>
  <r>
    <n v="64"/>
    <s v="Mosley-Gilbert"/>
    <s v="Vision-oriented logistical intranet"/>
    <n v="2800"/>
    <n v="2734"/>
    <n v="0.97642857142857142"/>
    <n v="0.50551920620886137"/>
    <x v="0"/>
    <n v="38"/>
    <n v="71.94736842105263"/>
    <x v="1"/>
    <s v="USD"/>
    <n v="1530507600"/>
    <n v="1531803600"/>
    <x v="64"/>
    <d v="2018-07-17T05:00:00"/>
    <s v="Mon"/>
    <n v="15"/>
    <b v="0"/>
    <b v="1"/>
    <s v="technology/web"/>
    <x v="2"/>
    <x v="2"/>
  </r>
  <r>
    <n v="65"/>
    <s v="Berry-Boyer"/>
    <s v="Mandatory incremental projection"/>
    <n v="6100"/>
    <n v="14405"/>
    <n v="2.3614754098360655"/>
    <n v="2.1230434782608696"/>
    <x v="1"/>
    <n v="236"/>
    <n v="61.038135593220339"/>
    <x v="1"/>
    <s v="USD"/>
    <n v="1296108000"/>
    <n v="1296712800"/>
    <x v="65"/>
    <d v="2011-02-03T06:00:00"/>
    <s v="Thu"/>
    <n v="7"/>
    <b v="0"/>
    <b v="0"/>
    <s v="theater/plays"/>
    <x v="3"/>
    <x v="3"/>
  </r>
  <r>
    <n v="66"/>
    <s v="Sanders-Allen"/>
    <s v="Grass-roots needs-based encryption"/>
    <n v="2900"/>
    <n v="1307"/>
    <n v="0.45068965517241377"/>
    <n v="0.50551920620886137"/>
    <x v="0"/>
    <n v="12"/>
    <n v="108.91666666666667"/>
    <x v="1"/>
    <s v="USD"/>
    <n v="1428469200"/>
    <n v="1428901200"/>
    <x v="66"/>
    <d v="2015-04-13T05:00:00"/>
    <s v="Wed"/>
    <n v="5"/>
    <b v="0"/>
    <b v="1"/>
    <s v="theater/plays"/>
    <x v="3"/>
    <x v="3"/>
  </r>
  <r>
    <n v="67"/>
    <s v="Lopez Inc"/>
    <s v="Team-oriented 6thgeneration middleware"/>
    <n v="72600"/>
    <n v="117892"/>
    <n v="1.6238567493112948"/>
    <n v="2.1230434782608696"/>
    <x v="1"/>
    <n v="4065"/>
    <n v="29.001722017220171"/>
    <x v="4"/>
    <s v="GBP"/>
    <n v="1264399200"/>
    <n v="1264831200"/>
    <x v="67"/>
    <d v="2010-01-30T06:00:00"/>
    <s v="Mon"/>
    <n v="5"/>
    <b v="0"/>
    <b v="1"/>
    <s v="technology/wearables"/>
    <x v="2"/>
    <x v="8"/>
  </r>
  <r>
    <n v="68"/>
    <s v="Moreno-Turner"/>
    <s v="Inverse multi-tasking installation"/>
    <n v="5700"/>
    <n v="14508"/>
    <n v="2.5452631578947367"/>
    <n v="2.1230434782608696"/>
    <x v="1"/>
    <n v="246"/>
    <n v="58.975609756097562"/>
    <x v="6"/>
    <s v="EUR"/>
    <n v="1501131600"/>
    <n v="1505192400"/>
    <x v="68"/>
    <d v="2017-09-12T05:00:00"/>
    <s v="Thu"/>
    <n v="47"/>
    <b v="0"/>
    <b v="1"/>
    <s v="theater/plays"/>
    <x v="3"/>
    <x v="3"/>
  </r>
  <r>
    <n v="69"/>
    <s v="Jones-Watson"/>
    <s v="Switchable disintermediate moderator"/>
    <n v="7900"/>
    <n v="1901"/>
    <n v="0.24063291139240506"/>
    <n v="0.43241247264770238"/>
    <x v="3"/>
    <n v="17"/>
    <n v="111.82352941176471"/>
    <x v="1"/>
    <s v="USD"/>
    <n v="1292738400"/>
    <n v="1295676000"/>
    <x v="69"/>
    <d v="2011-01-22T06:00:00"/>
    <s v="Sun"/>
    <n v="34"/>
    <b v="0"/>
    <b v="0"/>
    <s v="theater/plays"/>
    <x v="3"/>
    <x v="3"/>
  </r>
  <r>
    <n v="70"/>
    <s v="Barker Inc"/>
    <s v="Re-engineered 24/7 task-force"/>
    <n v="128000"/>
    <n v="158389"/>
    <n v="1.2374140625000001"/>
    <n v="2.1230434782608696"/>
    <x v="1"/>
    <n v="2475"/>
    <n v="63.995555555555555"/>
    <x v="6"/>
    <s v="EUR"/>
    <n v="1288674000"/>
    <n v="1292911200"/>
    <x v="70"/>
    <d v="2010-12-21T06:00:00"/>
    <s v="Tue"/>
    <n v="49"/>
    <b v="0"/>
    <b v="1"/>
    <s v="theater/plays"/>
    <x v="3"/>
    <x v="3"/>
  </r>
  <r>
    <n v="71"/>
    <s v="Tate, Bass and House"/>
    <s v="Organic object-oriented budgetary management"/>
    <n v="6000"/>
    <n v="6484"/>
    <n v="1.0806666666666667"/>
    <n v="2.1230434782608696"/>
    <x v="1"/>
    <n v="76"/>
    <n v="85.315789473684205"/>
    <x v="1"/>
    <s v="USD"/>
    <n v="1575093600"/>
    <n v="1575439200"/>
    <x v="71"/>
    <d v="2019-12-04T06:00:00"/>
    <s v="Sat"/>
    <n v="4"/>
    <b v="0"/>
    <b v="0"/>
    <s v="theater/plays"/>
    <x v="3"/>
    <x v="3"/>
  </r>
  <r>
    <n v="72"/>
    <s v="Hampton, Lewis and Ray"/>
    <s v="Seamless coherent parallelism"/>
    <n v="600"/>
    <n v="4022"/>
    <n v="6.7033333333333331"/>
    <n v="2.1230434782608696"/>
    <x v="1"/>
    <n v="54"/>
    <n v="74.481481481481481"/>
    <x v="1"/>
    <s v="USD"/>
    <n v="1435726800"/>
    <n v="1438837200"/>
    <x v="72"/>
    <d v="2015-08-06T05:00:00"/>
    <s v="Wed"/>
    <n v="36"/>
    <b v="0"/>
    <b v="0"/>
    <s v="film &amp; video/animation"/>
    <x v="4"/>
    <x v="10"/>
  </r>
  <r>
    <n v="73"/>
    <s v="Collins-Goodman"/>
    <s v="Cross-platform even-keeled initiative"/>
    <n v="1400"/>
    <n v="9253"/>
    <n v="6.609285714285714"/>
    <n v="2.1230434782608696"/>
    <x v="1"/>
    <n v="88"/>
    <n v="105.14772727272727"/>
    <x v="1"/>
    <s v="USD"/>
    <n v="1480226400"/>
    <n v="1480485600"/>
    <x v="73"/>
    <d v="2016-11-30T06:00:00"/>
    <s v="Sun"/>
    <n v="3"/>
    <b v="0"/>
    <b v="0"/>
    <s v="music/jazz"/>
    <x v="1"/>
    <x v="17"/>
  </r>
  <r>
    <n v="74"/>
    <s v="Davis-Michael"/>
    <s v="Progressive tertiary framework"/>
    <n v="3900"/>
    <n v="4776"/>
    <n v="1.2246153846153847"/>
    <n v="2.1230434782608696"/>
    <x v="1"/>
    <n v="85"/>
    <n v="56.188235294117646"/>
    <x v="4"/>
    <s v="GBP"/>
    <n v="1459054800"/>
    <n v="1459141200"/>
    <x v="74"/>
    <d v="2016-03-28T05:00:00"/>
    <s v="Sun"/>
    <n v="1"/>
    <b v="0"/>
    <b v="0"/>
    <s v="music/metal"/>
    <x v="1"/>
    <x v="16"/>
  </r>
  <r>
    <n v="75"/>
    <s v="White, Torres and Bishop"/>
    <s v="Multi-layered dynamic protocol"/>
    <n v="9700"/>
    <n v="14606"/>
    <n v="1.5057731958762886"/>
    <n v="2.1230434782608696"/>
    <x v="1"/>
    <n v="170"/>
    <n v="85.917647058823533"/>
    <x v="1"/>
    <s v="USD"/>
    <n v="1531630800"/>
    <n v="1532322000"/>
    <x v="75"/>
    <d v="2018-07-23T05:00:00"/>
    <s v="Sun"/>
    <n v="8"/>
    <b v="0"/>
    <b v="0"/>
    <s v="photography/photography books"/>
    <x v="7"/>
    <x v="14"/>
  </r>
  <r>
    <n v="76"/>
    <s v="Martin, Conway and Larsen"/>
    <s v="Horizontal next generation function"/>
    <n v="122900"/>
    <n v="95993"/>
    <n v="0.78106590724165992"/>
    <n v="0.50551920620886137"/>
    <x v="0"/>
    <n v="1684"/>
    <n v="57.00296912114014"/>
    <x v="1"/>
    <s v="USD"/>
    <n v="1421992800"/>
    <n v="1426222800"/>
    <x v="76"/>
    <d v="2015-03-13T05:00:00"/>
    <s v="Fri"/>
    <n v="49"/>
    <b v="1"/>
    <b v="1"/>
    <s v="theater/plays"/>
    <x v="3"/>
    <x v="3"/>
  </r>
  <r>
    <n v="77"/>
    <s v="Acevedo-Huffman"/>
    <s v="Pre-emptive impactful model"/>
    <n v="9500"/>
    <n v="4460"/>
    <n v="0.46947368421052632"/>
    <n v="0.50551920620886137"/>
    <x v="0"/>
    <n v="56"/>
    <n v="79.642857142857139"/>
    <x v="1"/>
    <s v="USD"/>
    <n v="1285563600"/>
    <n v="1286773200"/>
    <x v="77"/>
    <d v="2010-10-11T05:00:00"/>
    <s v="Mon"/>
    <n v="14"/>
    <b v="0"/>
    <b v="1"/>
    <s v="film &amp; video/animation"/>
    <x v="4"/>
    <x v="10"/>
  </r>
  <r>
    <n v="78"/>
    <s v="Montgomery, Larson and Spencer"/>
    <s v="User-centric bifurcated knowledge user"/>
    <n v="4500"/>
    <n v="13536"/>
    <n v="3.008"/>
    <n v="2.1230434782608696"/>
    <x v="1"/>
    <n v="330"/>
    <n v="41.018181818181816"/>
    <x v="1"/>
    <s v="USD"/>
    <n v="1523854800"/>
    <n v="1523941200"/>
    <x v="78"/>
    <d v="2018-04-17T05:00:00"/>
    <s v="Mon"/>
    <n v="1"/>
    <b v="0"/>
    <b v="0"/>
    <s v="publishing/translations"/>
    <x v="5"/>
    <x v="18"/>
  </r>
  <r>
    <n v="79"/>
    <s v="Soto LLC"/>
    <s v="Triple-buffered reciprocal project"/>
    <n v="57800"/>
    <n v="40228"/>
    <n v="0.6959861591695502"/>
    <n v="0.50551920620886137"/>
    <x v="0"/>
    <n v="838"/>
    <n v="48.004773269689736"/>
    <x v="1"/>
    <s v="USD"/>
    <n v="1529125200"/>
    <n v="1529557200"/>
    <x v="79"/>
    <d v="2018-06-21T05:00:00"/>
    <s v="Sat"/>
    <n v="5"/>
    <b v="0"/>
    <b v="0"/>
    <s v="theater/plays"/>
    <x v="3"/>
    <x v="3"/>
  </r>
  <r>
    <n v="80"/>
    <s v="Sutton, Barrett and Tucker"/>
    <s v="Cross-platform needs-based approach"/>
    <n v="1100"/>
    <n v="7012"/>
    <n v="6.374545454545455"/>
    <n v="2.1230434782608696"/>
    <x v="1"/>
    <n v="127"/>
    <n v="55.212598425196852"/>
    <x v="1"/>
    <s v="USD"/>
    <n v="1503982800"/>
    <n v="1506574800"/>
    <x v="80"/>
    <d v="2017-09-28T05:00:00"/>
    <s v="Tue"/>
    <n v="30"/>
    <b v="0"/>
    <b v="0"/>
    <s v="games/video games"/>
    <x v="6"/>
    <x v="11"/>
  </r>
  <r>
    <n v="81"/>
    <s v="Gomez, Bailey and Flores"/>
    <s v="User-friendly static contingency"/>
    <n v="16800"/>
    <n v="37857"/>
    <n v="2.253392857142857"/>
    <n v="2.1230434782608696"/>
    <x v="1"/>
    <n v="411"/>
    <n v="92.109489051094897"/>
    <x v="1"/>
    <s v="USD"/>
    <n v="1511416800"/>
    <n v="1513576800"/>
    <x v="81"/>
    <d v="2017-12-18T06:00:00"/>
    <s v="Thu"/>
    <n v="25"/>
    <b v="0"/>
    <b v="0"/>
    <s v="music/rock"/>
    <x v="1"/>
    <x v="1"/>
  </r>
  <r>
    <n v="82"/>
    <s v="Porter-George"/>
    <s v="Reactive content-based framework"/>
    <n v="1000"/>
    <n v="14973"/>
    <n v="14.973000000000001"/>
    <n v="2.1230434782608696"/>
    <x v="1"/>
    <n v="180"/>
    <n v="83.183333333333337"/>
    <x v="4"/>
    <s v="GBP"/>
    <n v="1547704800"/>
    <n v="1548309600"/>
    <x v="82"/>
    <d v="2019-01-24T06:00:00"/>
    <s v="Thu"/>
    <n v="7"/>
    <b v="0"/>
    <b v="1"/>
    <s v="games/video games"/>
    <x v="6"/>
    <x v="11"/>
  </r>
  <r>
    <n v="83"/>
    <s v="Fitzgerald PLC"/>
    <s v="Realigned user-facing concept"/>
    <n v="106400"/>
    <n v="39996"/>
    <n v="0.37590225563909774"/>
    <n v="0.50551920620886137"/>
    <x v="0"/>
    <n v="1000"/>
    <n v="39.996000000000002"/>
    <x v="1"/>
    <s v="USD"/>
    <n v="1469682000"/>
    <n v="1471582800"/>
    <x v="83"/>
    <d v="2016-08-19T05:00:00"/>
    <s v="Thu"/>
    <n v="22"/>
    <b v="0"/>
    <b v="0"/>
    <s v="music/electric music"/>
    <x v="1"/>
    <x v="5"/>
  </r>
  <r>
    <n v="84"/>
    <s v="Cisneros-Burton"/>
    <s v="Public-key zero tolerance orchestration"/>
    <n v="31400"/>
    <n v="41564"/>
    <n v="1.3236942675159236"/>
    <n v="2.1230434782608696"/>
    <x v="1"/>
    <n v="374"/>
    <n v="111.1336898395722"/>
    <x v="1"/>
    <s v="USD"/>
    <n v="1343451600"/>
    <n v="1344315600"/>
    <x v="84"/>
    <d v="2012-08-07T05:00:00"/>
    <s v="Sat"/>
    <n v="10"/>
    <b v="0"/>
    <b v="0"/>
    <s v="technology/wearables"/>
    <x v="2"/>
    <x v="8"/>
  </r>
  <r>
    <n v="85"/>
    <s v="Hill, Lawson and Wilkinson"/>
    <s v="Multi-tiered eco-centric architecture"/>
    <n v="4900"/>
    <n v="6430"/>
    <n v="1.3122448979591836"/>
    <n v="2.1230434782608696"/>
    <x v="1"/>
    <n v="71"/>
    <n v="90.563380281690144"/>
    <x v="2"/>
    <s v="AUD"/>
    <n v="1315717200"/>
    <n v="1316408400"/>
    <x v="85"/>
    <d v="2011-09-19T05:00:00"/>
    <s v="Sun"/>
    <n v="8"/>
    <b v="0"/>
    <b v="0"/>
    <s v="music/indie rock"/>
    <x v="1"/>
    <x v="7"/>
  </r>
  <r>
    <n v="86"/>
    <s v="Davis-Smith"/>
    <s v="Organic motivating firmware"/>
    <n v="7400"/>
    <n v="12405"/>
    <n v="1.6763513513513513"/>
    <n v="2.1230434782608696"/>
    <x v="1"/>
    <n v="203"/>
    <n v="61.108374384236456"/>
    <x v="1"/>
    <s v="USD"/>
    <n v="1430715600"/>
    <n v="1431838800"/>
    <x v="86"/>
    <d v="2015-05-17T05:00:00"/>
    <s v="Mon"/>
    <n v="13"/>
    <b v="1"/>
    <b v="0"/>
    <s v="theater/plays"/>
    <x v="3"/>
    <x v="3"/>
  </r>
  <r>
    <n v="87"/>
    <s v="Farrell and Sons"/>
    <s v="Synergized 4thgeneration conglomeration"/>
    <n v="198500"/>
    <n v="123040"/>
    <n v="0.6198488664987406"/>
    <n v="0.50551920620886137"/>
    <x v="0"/>
    <n v="1482"/>
    <n v="83.022941970310384"/>
    <x v="2"/>
    <s v="AUD"/>
    <n v="1299564000"/>
    <n v="1300510800"/>
    <x v="87"/>
    <d v="2011-03-19T05:00:00"/>
    <s v="Tue"/>
    <n v="11"/>
    <b v="0"/>
    <b v="1"/>
    <s v="music/rock"/>
    <x v="1"/>
    <x v="1"/>
  </r>
  <r>
    <n v="88"/>
    <s v="Clark Group"/>
    <s v="Grass-roots fault-tolerant policy"/>
    <n v="4800"/>
    <n v="12516"/>
    <n v="2.6074999999999999"/>
    <n v="2.1230434782608696"/>
    <x v="1"/>
    <n v="113"/>
    <n v="110.76106194690266"/>
    <x v="1"/>
    <s v="USD"/>
    <n v="1429160400"/>
    <n v="1431061200"/>
    <x v="88"/>
    <d v="2015-05-08T05:00:00"/>
    <s v="Thu"/>
    <n v="22"/>
    <b v="0"/>
    <b v="0"/>
    <s v="publishing/translations"/>
    <x v="5"/>
    <x v="18"/>
  </r>
  <r>
    <n v="89"/>
    <s v="White, Singleton and Zimmerman"/>
    <s v="Monitored scalable knowledgebase"/>
    <n v="3400"/>
    <n v="8588"/>
    <n v="2.5258823529411765"/>
    <n v="2.1230434782608696"/>
    <x v="1"/>
    <n v="96"/>
    <n v="89.458333333333329"/>
    <x v="1"/>
    <s v="USD"/>
    <n v="1271307600"/>
    <n v="1271480400"/>
    <x v="89"/>
    <d v="2010-04-17T05:00:00"/>
    <s v="Thu"/>
    <n v="2"/>
    <b v="0"/>
    <b v="0"/>
    <s v="theater/plays"/>
    <x v="3"/>
    <x v="3"/>
  </r>
  <r>
    <n v="90"/>
    <s v="Kramer Group"/>
    <s v="Synergistic explicit parallelism"/>
    <n v="7800"/>
    <n v="6132"/>
    <n v="0.7861538461538462"/>
    <n v="0.50551920620886137"/>
    <x v="0"/>
    <n v="106"/>
    <n v="57.849056603773583"/>
    <x v="1"/>
    <s v="USD"/>
    <n v="1456380000"/>
    <n v="1456380000"/>
    <x v="90"/>
    <d v="2016-02-25T06:00:00"/>
    <s v="Thu"/>
    <n v="0"/>
    <b v="0"/>
    <b v="1"/>
    <s v="theater/plays"/>
    <x v="3"/>
    <x v="3"/>
  </r>
  <r>
    <n v="91"/>
    <s v="Frazier, Patrick and Smith"/>
    <s v="Enhanced systemic analyzer"/>
    <n v="154300"/>
    <n v="74688"/>
    <n v="0.48404406999351912"/>
    <n v="0.50551920620886137"/>
    <x v="0"/>
    <n v="679"/>
    <n v="109.99705449189985"/>
    <x v="6"/>
    <s v="EUR"/>
    <n v="1470459600"/>
    <n v="1472878800"/>
    <x v="91"/>
    <d v="2016-09-03T05:00:00"/>
    <s v="Sat"/>
    <n v="28"/>
    <b v="0"/>
    <b v="0"/>
    <s v="publishing/translations"/>
    <x v="5"/>
    <x v="18"/>
  </r>
  <r>
    <n v="92"/>
    <s v="Santos, Bell and Lloyd"/>
    <s v="Object-based analyzing knowledge user"/>
    <n v="20000"/>
    <n v="51775"/>
    <n v="2.5887500000000001"/>
    <n v="2.1230434782608696"/>
    <x v="1"/>
    <n v="498"/>
    <n v="103.96586345381526"/>
    <x v="5"/>
    <s v="CHF"/>
    <n v="1277269200"/>
    <n v="1277355600"/>
    <x v="92"/>
    <d v="2010-06-24T05:00:00"/>
    <s v="Wed"/>
    <n v="1"/>
    <b v="0"/>
    <b v="1"/>
    <s v="games/video games"/>
    <x v="6"/>
    <x v="11"/>
  </r>
  <r>
    <n v="93"/>
    <s v="Hall and Sons"/>
    <s v="Pre-emptive radical architecture"/>
    <n v="108800"/>
    <n v="65877"/>
    <n v="0.60548713235294116"/>
    <n v="0.43241247264770238"/>
    <x v="3"/>
    <n v="610"/>
    <n v="107.99508196721311"/>
    <x v="1"/>
    <s v="USD"/>
    <n v="1350709200"/>
    <n v="1351054800"/>
    <x v="93"/>
    <d v="2012-10-24T05:00:00"/>
    <s v="Sat"/>
    <n v="4"/>
    <b v="0"/>
    <b v="1"/>
    <s v="theater/plays"/>
    <x v="3"/>
    <x v="3"/>
  </r>
  <r>
    <n v="94"/>
    <s v="Hanson Inc"/>
    <s v="Grass-roots web-enabled contingency"/>
    <n v="2900"/>
    <n v="8807"/>
    <n v="3.036896551724138"/>
    <n v="2.1230434782608696"/>
    <x v="1"/>
    <n v="180"/>
    <n v="48.927777777777777"/>
    <x v="4"/>
    <s v="GBP"/>
    <n v="1554613200"/>
    <n v="1555563600"/>
    <x v="94"/>
    <d v="2019-04-18T05:00:00"/>
    <s v="Sun"/>
    <n v="11"/>
    <b v="0"/>
    <b v="0"/>
    <s v="technology/web"/>
    <x v="2"/>
    <x v="2"/>
  </r>
  <r>
    <n v="95"/>
    <s v="Sanchez LLC"/>
    <s v="Stand-alone system-worthy standardization"/>
    <n v="900"/>
    <n v="1017"/>
    <n v="1.1299999999999999"/>
    <n v="2.1230434782608696"/>
    <x v="1"/>
    <n v="27"/>
    <n v="37.666666666666664"/>
    <x v="1"/>
    <s v="USD"/>
    <n v="1571029200"/>
    <n v="1571634000"/>
    <x v="95"/>
    <d v="2019-10-21T05:00:00"/>
    <s v="Mon"/>
    <n v="7"/>
    <b v="0"/>
    <b v="0"/>
    <s v="film &amp; video/documentary"/>
    <x v="4"/>
    <x v="4"/>
  </r>
  <r>
    <n v="96"/>
    <s v="Howard Ltd"/>
    <s v="Down-sized systematic policy"/>
    <n v="69700"/>
    <n v="151513"/>
    <n v="2.1737876614060259"/>
    <n v="2.1230434782608696"/>
    <x v="1"/>
    <n v="2331"/>
    <n v="64.999141999141997"/>
    <x v="1"/>
    <s v="USD"/>
    <n v="1299736800"/>
    <n v="1300856400"/>
    <x v="96"/>
    <d v="2011-03-23T05:00:00"/>
    <s v="Thu"/>
    <n v="13"/>
    <b v="0"/>
    <b v="0"/>
    <s v="theater/plays"/>
    <x v="3"/>
    <x v="3"/>
  </r>
  <r>
    <n v="97"/>
    <s v="Stewart LLC"/>
    <s v="Cloned bi-directional architecture"/>
    <n v="1300"/>
    <n v="12047"/>
    <n v="9.2669230769230762"/>
    <n v="2.1230434782608696"/>
    <x v="1"/>
    <n v="113"/>
    <n v="106.61061946902655"/>
    <x v="1"/>
    <s v="USD"/>
    <n v="1435208400"/>
    <n v="1439874000"/>
    <x v="48"/>
    <d v="2015-08-18T05:00:00"/>
    <s v="Thu"/>
    <n v="54"/>
    <b v="0"/>
    <b v="0"/>
    <s v="food/food trucks"/>
    <x v="0"/>
    <x v="0"/>
  </r>
  <r>
    <n v="98"/>
    <s v="Arias, Allen and Miller"/>
    <s v="Seamless transitional portal"/>
    <n v="97800"/>
    <n v="32951"/>
    <n v="0.33692229038854804"/>
    <n v="0.50551920620886137"/>
    <x v="0"/>
    <n v="1220"/>
    <n v="27.009016393442622"/>
    <x v="2"/>
    <s v="AUD"/>
    <n v="1437973200"/>
    <n v="1438318800"/>
    <x v="97"/>
    <d v="2015-07-31T05:00:00"/>
    <s v="Mon"/>
    <n v="4"/>
    <b v="0"/>
    <b v="0"/>
    <s v="games/video games"/>
    <x v="6"/>
    <x v="11"/>
  </r>
  <r>
    <n v="99"/>
    <s v="Baker-Morris"/>
    <s v="Fully-configurable motivating approach"/>
    <n v="7600"/>
    <n v="14951"/>
    <n v="1.9672368421052631"/>
    <n v="2.1230434782608696"/>
    <x v="1"/>
    <n v="164"/>
    <n v="91.16463414634147"/>
    <x v="1"/>
    <s v="USD"/>
    <n v="1416895200"/>
    <n v="1419400800"/>
    <x v="98"/>
    <d v="2014-12-24T06:00:00"/>
    <s v="Tue"/>
    <n v="29"/>
    <b v="0"/>
    <b v="0"/>
    <s v="theater/plays"/>
    <x v="3"/>
    <x v="3"/>
  </r>
  <r>
    <n v="100"/>
    <s v="Tucker, Fox and Green"/>
    <s v="Upgradable fault-tolerant approach"/>
    <n v="100"/>
    <n v="1"/>
    <n v="0.01"/>
    <n v="0.50551920620886137"/>
    <x v="0"/>
    <n v="1"/>
    <n v="1"/>
    <x v="1"/>
    <s v="USD"/>
    <n v="1319000400"/>
    <n v="1320555600"/>
    <x v="99"/>
    <d v="2011-11-06T05:00:00"/>
    <s v="Wed"/>
    <n v="18"/>
    <b v="0"/>
    <b v="0"/>
    <s v="theater/plays"/>
    <x v="3"/>
    <x v="3"/>
  </r>
  <r>
    <n v="101"/>
    <s v="Douglas LLC"/>
    <s v="Reduced heuristic moratorium"/>
    <n v="900"/>
    <n v="9193"/>
    <n v="10.214444444444444"/>
    <n v="2.1230434782608696"/>
    <x v="1"/>
    <n v="164"/>
    <n v="56.054878048780488"/>
    <x v="1"/>
    <s v="USD"/>
    <n v="1424498400"/>
    <n v="1425103200"/>
    <x v="100"/>
    <d v="2015-02-28T06:00:00"/>
    <s v="Sat"/>
    <n v="7"/>
    <b v="0"/>
    <b v="1"/>
    <s v="music/electric music"/>
    <x v="1"/>
    <x v="5"/>
  </r>
  <r>
    <n v="102"/>
    <s v="Garcia Inc"/>
    <s v="Front-line web-enabled model"/>
    <n v="3700"/>
    <n v="10422"/>
    <n v="2.8167567567567566"/>
    <n v="2.1230434782608696"/>
    <x v="1"/>
    <n v="336"/>
    <n v="31.017857142857142"/>
    <x v="1"/>
    <s v="USD"/>
    <n v="1526274000"/>
    <n v="1526878800"/>
    <x v="101"/>
    <d v="2018-05-21T05:00:00"/>
    <s v="Mon"/>
    <n v="7"/>
    <b v="0"/>
    <b v="1"/>
    <s v="technology/wearables"/>
    <x v="2"/>
    <x v="8"/>
  </r>
  <r>
    <n v="103"/>
    <s v="Frye, Hunt and Powell"/>
    <s v="Polarized incremental emulation"/>
    <n v="10000"/>
    <n v="2461"/>
    <n v="0.24610000000000001"/>
    <n v="0.50551920620886137"/>
    <x v="0"/>
    <n v="37"/>
    <n v="66.513513513513516"/>
    <x v="6"/>
    <s v="EUR"/>
    <n v="1287896400"/>
    <n v="1288674000"/>
    <x v="102"/>
    <d v="2010-11-02T05:00:00"/>
    <s v="Sun"/>
    <n v="9"/>
    <b v="0"/>
    <b v="0"/>
    <s v="music/electric music"/>
    <x v="1"/>
    <x v="5"/>
  </r>
  <r>
    <n v="104"/>
    <s v="Smith, Wells and Nguyen"/>
    <s v="Self-enabling grid-enabled initiative"/>
    <n v="119200"/>
    <n v="170623"/>
    <n v="1.4314010067114094"/>
    <n v="2.1230434782608696"/>
    <x v="1"/>
    <n v="1917"/>
    <n v="89.005216484089729"/>
    <x v="1"/>
    <s v="USD"/>
    <n v="1495515600"/>
    <n v="1495602000"/>
    <x v="103"/>
    <d v="2017-05-24T05:00:00"/>
    <s v="Tue"/>
    <n v="1"/>
    <b v="0"/>
    <b v="0"/>
    <s v="music/indie rock"/>
    <x v="1"/>
    <x v="7"/>
  </r>
  <r>
    <n v="105"/>
    <s v="Charles-Johnson"/>
    <s v="Total fresh-thinking system engine"/>
    <n v="6800"/>
    <n v="9829"/>
    <n v="1.4454411764705883"/>
    <n v="2.1230434782608696"/>
    <x v="1"/>
    <n v="95"/>
    <n v="103.46315789473684"/>
    <x v="1"/>
    <s v="USD"/>
    <n v="1364878800"/>
    <n v="1366434000"/>
    <x v="104"/>
    <d v="2013-04-20T05:00:00"/>
    <s v="Tue"/>
    <n v="18"/>
    <b v="0"/>
    <b v="0"/>
    <s v="technology/web"/>
    <x v="2"/>
    <x v="2"/>
  </r>
  <r>
    <n v="106"/>
    <s v="Brandt, Carter and Wood"/>
    <s v="Ameliorated clear-thinking circuit"/>
    <n v="3900"/>
    <n v="14006"/>
    <n v="3.5912820512820511"/>
    <n v="2.1230434782608696"/>
    <x v="1"/>
    <n v="147"/>
    <n v="95.278911564625844"/>
    <x v="1"/>
    <s v="USD"/>
    <n v="1567918800"/>
    <n v="1568350800"/>
    <x v="105"/>
    <d v="2019-09-13T05:00:00"/>
    <s v="Sun"/>
    <n v="5"/>
    <b v="0"/>
    <b v="0"/>
    <s v="theater/plays"/>
    <x v="3"/>
    <x v="3"/>
  </r>
  <r>
    <n v="107"/>
    <s v="Tucker, Schmidt and Reid"/>
    <s v="Multi-layered encompassing installation"/>
    <n v="3500"/>
    <n v="6527"/>
    <n v="1.8648571428571428"/>
    <n v="2.1230434782608696"/>
    <x v="1"/>
    <n v="86"/>
    <n v="75.895348837209298"/>
    <x v="1"/>
    <s v="USD"/>
    <n v="1524459600"/>
    <n v="1525928400"/>
    <x v="106"/>
    <d v="2018-05-10T05:00:00"/>
    <s v="Mon"/>
    <n v="17"/>
    <b v="0"/>
    <b v="1"/>
    <s v="theater/plays"/>
    <x v="3"/>
    <x v="3"/>
  </r>
  <r>
    <n v="108"/>
    <s v="Decker Inc"/>
    <s v="Universal encompassing implementation"/>
    <n v="1500"/>
    <n v="8929"/>
    <n v="5.9526666666666666"/>
    <n v="2.1230434782608696"/>
    <x v="1"/>
    <n v="83"/>
    <n v="107.57831325301204"/>
    <x v="1"/>
    <s v="USD"/>
    <n v="1333688400"/>
    <n v="1336885200"/>
    <x v="107"/>
    <d v="2012-05-13T05:00:00"/>
    <s v="Fri"/>
    <n v="37"/>
    <b v="0"/>
    <b v="0"/>
    <s v="film &amp; video/documentary"/>
    <x v="4"/>
    <x v="4"/>
  </r>
  <r>
    <n v="109"/>
    <s v="Romero and Sons"/>
    <s v="Object-based client-server application"/>
    <n v="5200"/>
    <n v="3079"/>
    <n v="0.5921153846153846"/>
    <n v="0.50551920620886137"/>
    <x v="0"/>
    <n v="60"/>
    <n v="51.31666666666667"/>
    <x v="1"/>
    <s v="USD"/>
    <n v="1389506400"/>
    <n v="1389679200"/>
    <x v="108"/>
    <d v="2014-01-14T06:00:00"/>
    <s v="Sun"/>
    <n v="2"/>
    <b v="0"/>
    <b v="0"/>
    <s v="film &amp; video/television"/>
    <x v="4"/>
    <x v="19"/>
  </r>
  <r>
    <n v="110"/>
    <s v="Castillo-Carey"/>
    <s v="Cross-platform solution-oriented process improvement"/>
    <n v="142400"/>
    <n v="21307"/>
    <n v="0.14962780898876404"/>
    <n v="0.50551920620886137"/>
    <x v="0"/>
    <n v="296"/>
    <n v="71.983108108108112"/>
    <x v="1"/>
    <s v="USD"/>
    <n v="1536642000"/>
    <n v="1538283600"/>
    <x v="109"/>
    <d v="2018-09-30T05:00:00"/>
    <s v="Tue"/>
    <n v="19"/>
    <b v="0"/>
    <b v="0"/>
    <s v="food/food trucks"/>
    <x v="0"/>
    <x v="0"/>
  </r>
  <r>
    <n v="111"/>
    <s v="Hart-Briggs"/>
    <s v="Re-engineered user-facing approach"/>
    <n v="61400"/>
    <n v="73653"/>
    <n v="1.1995602605863191"/>
    <n v="2.1230434782608696"/>
    <x v="1"/>
    <n v="676"/>
    <n v="108.95414201183432"/>
    <x v="1"/>
    <s v="USD"/>
    <n v="1348290000"/>
    <n v="1348808400"/>
    <x v="110"/>
    <d v="2012-09-28T05:00:00"/>
    <s v="Sat"/>
    <n v="6"/>
    <b v="0"/>
    <b v="0"/>
    <s v="publishing/radio &amp; podcasts"/>
    <x v="5"/>
    <x v="15"/>
  </r>
  <r>
    <n v="112"/>
    <s v="Jones-Meyer"/>
    <s v="Re-engineered client-driven hub"/>
    <n v="4700"/>
    <n v="12635"/>
    <n v="2.6882978723404256"/>
    <n v="2.1230434782608696"/>
    <x v="1"/>
    <n v="361"/>
    <n v="35"/>
    <x v="2"/>
    <s v="AUD"/>
    <n v="1408856400"/>
    <n v="1410152400"/>
    <x v="111"/>
    <d v="2014-09-08T05:00:00"/>
    <s v="Sun"/>
    <n v="15"/>
    <b v="0"/>
    <b v="0"/>
    <s v="technology/web"/>
    <x v="2"/>
    <x v="2"/>
  </r>
  <r>
    <n v="113"/>
    <s v="Wright, Hartman and Yu"/>
    <s v="User-friendly tertiary array"/>
    <n v="3300"/>
    <n v="12437"/>
    <n v="3.7687878787878786"/>
    <n v="2.1230434782608696"/>
    <x v="1"/>
    <n v="131"/>
    <n v="94.938931297709928"/>
    <x v="1"/>
    <s v="USD"/>
    <n v="1505192400"/>
    <n v="1505797200"/>
    <x v="112"/>
    <d v="2017-09-19T05:00:00"/>
    <s v="Tue"/>
    <n v="7"/>
    <b v="0"/>
    <b v="0"/>
    <s v="food/food trucks"/>
    <x v="0"/>
    <x v="0"/>
  </r>
  <r>
    <n v="114"/>
    <s v="Harper-Davis"/>
    <s v="Robust heuristic encoding"/>
    <n v="1900"/>
    <n v="13816"/>
    <n v="7.2715789473684209"/>
    <n v="2.1230434782608696"/>
    <x v="1"/>
    <n v="126"/>
    <n v="109.65079365079364"/>
    <x v="1"/>
    <s v="USD"/>
    <n v="1554786000"/>
    <n v="1554872400"/>
    <x v="113"/>
    <d v="2019-04-10T05:00:00"/>
    <s v="Tue"/>
    <n v="1"/>
    <b v="0"/>
    <b v="1"/>
    <s v="technology/wearables"/>
    <x v="2"/>
    <x v="8"/>
  </r>
  <r>
    <n v="115"/>
    <s v="Barrett PLC"/>
    <s v="Team-oriented clear-thinking capacity"/>
    <n v="166700"/>
    <n v="145382"/>
    <n v="0.87211757648470301"/>
    <n v="0.50551920620886137"/>
    <x v="0"/>
    <n v="3304"/>
    <n v="44.001815980629537"/>
    <x v="6"/>
    <s v="EUR"/>
    <n v="1510898400"/>
    <n v="1513922400"/>
    <x v="114"/>
    <d v="2017-12-22T06:00:00"/>
    <s v="Fri"/>
    <n v="35"/>
    <b v="0"/>
    <b v="0"/>
    <s v="publishing/fiction"/>
    <x v="5"/>
    <x v="13"/>
  </r>
  <r>
    <n v="116"/>
    <s v="David-Clark"/>
    <s v="De-engineered motivating standardization"/>
    <n v="7200"/>
    <n v="6336"/>
    <n v="0.88"/>
    <n v="0.50551920620886137"/>
    <x v="0"/>
    <n v="73"/>
    <n v="86.794520547945211"/>
    <x v="1"/>
    <s v="USD"/>
    <n v="1442552400"/>
    <n v="1442638800"/>
    <x v="115"/>
    <d v="2015-09-19T05:00:00"/>
    <s v="Fri"/>
    <n v="1"/>
    <b v="0"/>
    <b v="0"/>
    <s v="theater/plays"/>
    <x v="3"/>
    <x v="3"/>
  </r>
  <r>
    <n v="117"/>
    <s v="Chaney-Dennis"/>
    <s v="Business-focused 24hour groupware"/>
    <n v="4900"/>
    <n v="8523"/>
    <n v="1.7393877551020409"/>
    <n v="2.1230434782608696"/>
    <x v="1"/>
    <n v="275"/>
    <n v="30.992727272727272"/>
    <x v="1"/>
    <s v="USD"/>
    <n v="1316667600"/>
    <n v="1317186000"/>
    <x v="116"/>
    <d v="2011-09-28T05:00:00"/>
    <s v="Thu"/>
    <n v="6"/>
    <b v="0"/>
    <b v="0"/>
    <s v="film &amp; video/television"/>
    <x v="4"/>
    <x v="19"/>
  </r>
  <r>
    <n v="118"/>
    <s v="Robinson, Lopez and Christensen"/>
    <s v="Organic next generation protocol"/>
    <n v="5400"/>
    <n v="6351"/>
    <n v="1.1761111111111111"/>
    <n v="2.1230434782608696"/>
    <x v="1"/>
    <n v="67"/>
    <n v="94.791044776119406"/>
    <x v="1"/>
    <s v="USD"/>
    <n v="1390716000"/>
    <n v="1391234400"/>
    <x v="117"/>
    <d v="2014-02-01T06:00:00"/>
    <s v="Sun"/>
    <n v="6"/>
    <b v="0"/>
    <b v="0"/>
    <s v="photography/photography books"/>
    <x v="7"/>
    <x v="14"/>
  </r>
  <r>
    <n v="119"/>
    <s v="Clark and Sons"/>
    <s v="Reverse-engineered full-range Internet solution"/>
    <n v="5000"/>
    <n v="10748"/>
    <n v="2.1496"/>
    <n v="2.1230434782608696"/>
    <x v="1"/>
    <n v="154"/>
    <n v="69.79220779220779"/>
    <x v="1"/>
    <s v="USD"/>
    <n v="1402894800"/>
    <n v="1404363600"/>
    <x v="118"/>
    <d v="2014-07-03T05:00:00"/>
    <s v="Mon"/>
    <n v="17"/>
    <b v="0"/>
    <b v="1"/>
    <s v="film &amp; video/documentary"/>
    <x v="4"/>
    <x v="4"/>
  </r>
  <r>
    <n v="120"/>
    <s v="Vega Group"/>
    <s v="Synchronized regional synergy"/>
    <n v="75100"/>
    <n v="112272"/>
    <n v="1.4949667110519307"/>
    <n v="2.1230434782608696"/>
    <x v="1"/>
    <n v="1782"/>
    <n v="63.003367003367003"/>
    <x v="1"/>
    <s v="USD"/>
    <n v="1429246800"/>
    <n v="1429592400"/>
    <x v="119"/>
    <d v="2015-04-21T05:00:00"/>
    <s v="Fri"/>
    <n v="4"/>
    <b v="0"/>
    <b v="1"/>
    <s v="games/mobile games"/>
    <x v="6"/>
    <x v="20"/>
  </r>
  <r>
    <n v="121"/>
    <s v="Brown-Brown"/>
    <s v="Multi-lateral homogeneous success"/>
    <n v="45300"/>
    <n v="99361"/>
    <n v="2.1933995584988963"/>
    <n v="2.1230434782608696"/>
    <x v="1"/>
    <n v="903"/>
    <n v="110.0343300110742"/>
    <x v="1"/>
    <s v="USD"/>
    <n v="1412485200"/>
    <n v="1413608400"/>
    <x v="33"/>
    <d v="2014-10-18T05:00:00"/>
    <s v="Sun"/>
    <n v="13"/>
    <b v="0"/>
    <b v="0"/>
    <s v="games/video games"/>
    <x v="6"/>
    <x v="11"/>
  </r>
  <r>
    <n v="122"/>
    <s v="Taylor PLC"/>
    <s v="Seamless zero-defect solution"/>
    <n v="136800"/>
    <n v="88055"/>
    <n v="0.64367690058479532"/>
    <n v="0.50551920620886137"/>
    <x v="0"/>
    <n v="3387"/>
    <n v="25.997933274284026"/>
    <x v="1"/>
    <s v="USD"/>
    <n v="1417068000"/>
    <n v="1419400800"/>
    <x v="120"/>
    <d v="2014-12-24T06:00:00"/>
    <s v="Thu"/>
    <n v="27"/>
    <b v="0"/>
    <b v="0"/>
    <s v="publishing/fiction"/>
    <x v="5"/>
    <x v="13"/>
  </r>
  <r>
    <n v="123"/>
    <s v="Edwards-Lewis"/>
    <s v="Enhanced scalable concept"/>
    <n v="177700"/>
    <n v="33092"/>
    <n v="0.18622397298818233"/>
    <n v="0.50551920620886137"/>
    <x v="0"/>
    <n v="662"/>
    <n v="49.987915407854985"/>
    <x v="0"/>
    <s v="CAD"/>
    <n v="1448344800"/>
    <n v="1448604000"/>
    <x v="121"/>
    <d v="2015-11-27T06:00:00"/>
    <s v="Tue"/>
    <n v="3"/>
    <b v="1"/>
    <b v="0"/>
    <s v="theater/plays"/>
    <x v="3"/>
    <x v="3"/>
  </r>
  <r>
    <n v="124"/>
    <s v="Stanton, Neal and Rodriguez"/>
    <s v="Polarized uniform software"/>
    <n v="2600"/>
    <n v="9562"/>
    <n v="3.6776923076923076"/>
    <n v="2.1230434782608696"/>
    <x v="1"/>
    <n v="94"/>
    <n v="101.72340425531915"/>
    <x v="6"/>
    <s v="EUR"/>
    <n v="1557723600"/>
    <n v="1562302800"/>
    <x v="122"/>
    <d v="2019-07-05T05:00:00"/>
    <s v="Mon"/>
    <n v="53"/>
    <b v="0"/>
    <b v="0"/>
    <s v="photography/photography books"/>
    <x v="7"/>
    <x v="14"/>
  </r>
  <r>
    <n v="125"/>
    <s v="Pratt LLC"/>
    <s v="Stand-alone web-enabled moderator"/>
    <n v="5300"/>
    <n v="8475"/>
    <n v="1.5990566037735849"/>
    <n v="2.1230434782608696"/>
    <x v="1"/>
    <n v="180"/>
    <n v="47.083333333333336"/>
    <x v="1"/>
    <s v="USD"/>
    <n v="1537333200"/>
    <n v="1537678800"/>
    <x v="123"/>
    <d v="2018-09-23T05:00:00"/>
    <s v="Wed"/>
    <n v="4"/>
    <b v="0"/>
    <b v="0"/>
    <s v="theater/plays"/>
    <x v="3"/>
    <x v="3"/>
  </r>
  <r>
    <n v="126"/>
    <s v="Gross PLC"/>
    <s v="Proactive methodical benchmark"/>
    <n v="180200"/>
    <n v="69617"/>
    <n v="0.38633185349611543"/>
    <n v="0.50551920620886137"/>
    <x v="0"/>
    <n v="774"/>
    <n v="89.944444444444443"/>
    <x v="1"/>
    <s v="USD"/>
    <n v="1471150800"/>
    <n v="1473570000"/>
    <x v="124"/>
    <d v="2016-09-11T05:00:00"/>
    <s v="Sun"/>
    <n v="28"/>
    <b v="0"/>
    <b v="1"/>
    <s v="theater/plays"/>
    <x v="3"/>
    <x v="3"/>
  </r>
  <r>
    <n v="127"/>
    <s v="Martinez, Gomez and Dalton"/>
    <s v="Team-oriented 6thgeneration matrix"/>
    <n v="103200"/>
    <n v="53067"/>
    <n v="0.51421511627906979"/>
    <n v="0.50551920620886137"/>
    <x v="0"/>
    <n v="672"/>
    <n v="78.96875"/>
    <x v="0"/>
    <s v="CAD"/>
    <n v="1273640400"/>
    <n v="1273899600"/>
    <x v="125"/>
    <d v="2010-05-15T05:00:00"/>
    <s v="Wed"/>
    <n v="3"/>
    <b v="0"/>
    <b v="0"/>
    <s v="theater/plays"/>
    <x v="3"/>
    <x v="3"/>
  </r>
  <r>
    <n v="128"/>
    <s v="Allen-Curtis"/>
    <s v="Phased human-resource core"/>
    <n v="70600"/>
    <n v="42596"/>
    <n v="0.60334277620396604"/>
    <n v="0.43241247264770238"/>
    <x v="3"/>
    <n v="532"/>
    <n v="80.067669172932327"/>
    <x v="1"/>
    <s v="USD"/>
    <n v="1282885200"/>
    <n v="1284008400"/>
    <x v="126"/>
    <d v="2010-09-09T05:00:00"/>
    <s v="Fri"/>
    <n v="13"/>
    <b v="0"/>
    <b v="0"/>
    <s v="music/rock"/>
    <x v="1"/>
    <x v="1"/>
  </r>
  <r>
    <n v="129"/>
    <s v="Morgan-Martinez"/>
    <s v="Mandatory tertiary implementation"/>
    <n v="148500"/>
    <n v="4756"/>
    <n v="3.2026936026936029E-2"/>
    <n v="0.43241247264770238"/>
    <x v="3"/>
    <n v="55"/>
    <n v="86.472727272727269"/>
    <x v="2"/>
    <s v="AUD"/>
    <n v="1422943200"/>
    <n v="1425103200"/>
    <x v="127"/>
    <d v="2015-02-28T06:00:00"/>
    <s v="Tue"/>
    <n v="25"/>
    <b v="0"/>
    <b v="0"/>
    <s v="food/food trucks"/>
    <x v="0"/>
    <x v="0"/>
  </r>
  <r>
    <n v="130"/>
    <s v="Luna, Anderson and Fox"/>
    <s v="Secured directional encryption"/>
    <n v="9600"/>
    <n v="14925"/>
    <n v="1.5546875"/>
    <n v="2.1230434782608696"/>
    <x v="1"/>
    <n v="533"/>
    <n v="28.001876172607879"/>
    <x v="3"/>
    <s v="DKK"/>
    <n v="1319605200"/>
    <n v="1320991200"/>
    <x v="128"/>
    <d v="2011-11-11T06:00:00"/>
    <s v="Wed"/>
    <n v="16"/>
    <b v="0"/>
    <b v="0"/>
    <s v="film &amp; video/drama"/>
    <x v="4"/>
    <x v="6"/>
  </r>
  <r>
    <n v="131"/>
    <s v="Fleming, Zhang and Henderson"/>
    <s v="Distributed 5thgeneration implementation"/>
    <n v="164700"/>
    <n v="166116"/>
    <n v="1.0085974499089254"/>
    <n v="2.1230434782608696"/>
    <x v="1"/>
    <n v="2443"/>
    <n v="67.996725337699544"/>
    <x v="4"/>
    <s v="GBP"/>
    <n v="1385704800"/>
    <n v="1386828000"/>
    <x v="129"/>
    <d v="2013-12-12T06:00:00"/>
    <s v="Fri"/>
    <n v="13"/>
    <b v="0"/>
    <b v="0"/>
    <s v="technology/web"/>
    <x v="2"/>
    <x v="2"/>
  </r>
  <r>
    <n v="132"/>
    <s v="Flowers and Sons"/>
    <s v="Virtual static core"/>
    <n v="3300"/>
    <n v="3834"/>
    <n v="1.1618181818181819"/>
    <n v="2.1230434782608696"/>
    <x v="1"/>
    <n v="89"/>
    <n v="43.078651685393261"/>
    <x v="1"/>
    <s v="USD"/>
    <n v="1515736800"/>
    <n v="1517119200"/>
    <x v="130"/>
    <d v="2018-01-28T06:00:00"/>
    <s v="Fri"/>
    <n v="16"/>
    <b v="0"/>
    <b v="1"/>
    <s v="theater/plays"/>
    <x v="3"/>
    <x v="3"/>
  </r>
  <r>
    <n v="133"/>
    <s v="Gates PLC"/>
    <s v="Secured content-based product"/>
    <n v="4500"/>
    <n v="13985"/>
    <n v="3.1077777777777778"/>
    <n v="2.1230434782608696"/>
    <x v="1"/>
    <n v="159"/>
    <n v="87.95597484276729"/>
    <x v="1"/>
    <s v="USD"/>
    <n v="1313125200"/>
    <n v="1315026000"/>
    <x v="131"/>
    <d v="2011-09-03T05:00:00"/>
    <s v="Fri"/>
    <n v="22"/>
    <b v="0"/>
    <b v="0"/>
    <s v="music/world music"/>
    <x v="1"/>
    <x v="21"/>
  </r>
  <r>
    <n v="134"/>
    <s v="Caldwell LLC"/>
    <s v="Secured executive concept"/>
    <n v="99500"/>
    <n v="89288"/>
    <n v="0.89736683417085428"/>
    <n v="0.50551920620886137"/>
    <x v="0"/>
    <n v="940"/>
    <n v="94.987234042553197"/>
    <x v="5"/>
    <s v="CHF"/>
    <n v="1308459600"/>
    <n v="1312693200"/>
    <x v="132"/>
    <d v="2011-08-07T05:00:00"/>
    <s v="Sun"/>
    <n v="49"/>
    <b v="0"/>
    <b v="1"/>
    <s v="film &amp; video/documentary"/>
    <x v="4"/>
    <x v="4"/>
  </r>
  <r>
    <n v="135"/>
    <s v="Le, Burton and Evans"/>
    <s v="Balanced zero-defect software"/>
    <n v="7700"/>
    <n v="5488"/>
    <n v="0.71272727272727276"/>
    <n v="0.50551920620886137"/>
    <x v="0"/>
    <n v="117"/>
    <n v="46.905982905982903"/>
    <x v="1"/>
    <s v="USD"/>
    <n v="1362636000"/>
    <n v="1363064400"/>
    <x v="133"/>
    <d v="2013-03-12T05:00:00"/>
    <s v="Thu"/>
    <n v="5"/>
    <b v="0"/>
    <b v="1"/>
    <s v="theater/plays"/>
    <x v="3"/>
    <x v="3"/>
  </r>
  <r>
    <n v="136"/>
    <s v="Briggs PLC"/>
    <s v="Distributed context-sensitive flexibility"/>
    <n v="82800"/>
    <n v="2721"/>
    <n v="3.2862318840579711E-2"/>
    <n v="0.43241247264770238"/>
    <x v="3"/>
    <n v="58"/>
    <n v="46.913793103448278"/>
    <x v="1"/>
    <s v="USD"/>
    <n v="1402117200"/>
    <n v="1403154000"/>
    <x v="134"/>
    <d v="2014-06-19T05:00:00"/>
    <s v="Sat"/>
    <n v="12"/>
    <b v="0"/>
    <b v="1"/>
    <s v="film &amp; video/drama"/>
    <x v="4"/>
    <x v="6"/>
  </r>
  <r>
    <n v="137"/>
    <s v="Hudson-Nguyen"/>
    <s v="Down-sized disintermediate support"/>
    <n v="1800"/>
    <n v="4712"/>
    <n v="2.617777777777778"/>
    <n v="2.1230434782608696"/>
    <x v="1"/>
    <n v="50"/>
    <n v="94.24"/>
    <x v="1"/>
    <s v="USD"/>
    <n v="1286341200"/>
    <n v="1286859600"/>
    <x v="135"/>
    <d v="2010-10-12T05:00:00"/>
    <s v="Wed"/>
    <n v="6"/>
    <b v="0"/>
    <b v="0"/>
    <s v="publishing/nonfiction"/>
    <x v="5"/>
    <x v="9"/>
  </r>
  <r>
    <n v="138"/>
    <s v="Hogan Ltd"/>
    <s v="Stand-alone mission-critical moratorium"/>
    <n v="9600"/>
    <n v="9216"/>
    <n v="0.96"/>
    <n v="0.50551920620886137"/>
    <x v="0"/>
    <n v="115"/>
    <n v="80.139130434782615"/>
    <x v="1"/>
    <s v="USD"/>
    <n v="1348808400"/>
    <n v="1349326800"/>
    <x v="136"/>
    <d v="2012-10-04T05:00:00"/>
    <s v="Fri"/>
    <n v="6"/>
    <b v="0"/>
    <b v="0"/>
    <s v="games/mobile games"/>
    <x v="6"/>
    <x v="20"/>
  </r>
  <r>
    <n v="139"/>
    <s v="Hamilton, Wright and Chavez"/>
    <s v="Down-sized empowering protocol"/>
    <n v="92100"/>
    <n v="19246"/>
    <n v="0.20896851248642778"/>
    <n v="0.50551920620886137"/>
    <x v="0"/>
    <n v="326"/>
    <n v="59.036809815950917"/>
    <x v="1"/>
    <s v="USD"/>
    <n v="1429592400"/>
    <n v="1430974800"/>
    <x v="137"/>
    <d v="2015-05-07T05:00:00"/>
    <s v="Tue"/>
    <n v="16"/>
    <b v="0"/>
    <b v="1"/>
    <s v="technology/wearables"/>
    <x v="2"/>
    <x v="8"/>
  </r>
  <r>
    <n v="140"/>
    <s v="Bautista-Cross"/>
    <s v="Fully-configurable coherent Internet solution"/>
    <n v="5500"/>
    <n v="12274"/>
    <n v="2.2316363636363636"/>
    <n v="2.1230434782608696"/>
    <x v="1"/>
    <n v="186"/>
    <n v="65.989247311827953"/>
    <x v="1"/>
    <s v="USD"/>
    <n v="1519538400"/>
    <n v="1519970400"/>
    <x v="138"/>
    <d v="2018-03-02T06:00:00"/>
    <s v="Sun"/>
    <n v="5"/>
    <b v="0"/>
    <b v="0"/>
    <s v="film &amp; video/documentary"/>
    <x v="4"/>
    <x v="4"/>
  </r>
  <r>
    <n v="141"/>
    <s v="Jackson LLC"/>
    <s v="Distributed motivating algorithm"/>
    <n v="64300"/>
    <n v="65323"/>
    <n v="1.0159097978227061"/>
    <n v="2.1230434782608696"/>
    <x v="1"/>
    <n v="1071"/>
    <n v="60.992530345471522"/>
    <x v="1"/>
    <s v="USD"/>
    <n v="1434085200"/>
    <n v="1434603600"/>
    <x v="139"/>
    <d v="2015-06-18T05:00:00"/>
    <s v="Fri"/>
    <n v="6"/>
    <b v="0"/>
    <b v="0"/>
    <s v="technology/web"/>
    <x v="2"/>
    <x v="2"/>
  </r>
  <r>
    <n v="142"/>
    <s v="Figueroa Ltd"/>
    <s v="Expanded solution-oriented benchmark"/>
    <n v="5000"/>
    <n v="11502"/>
    <n v="2.3003999999999998"/>
    <n v="2.1230434782608696"/>
    <x v="1"/>
    <n v="117"/>
    <n v="98.307692307692307"/>
    <x v="1"/>
    <s v="USD"/>
    <n v="1333688400"/>
    <n v="1337230800"/>
    <x v="107"/>
    <d v="2012-05-17T05:00:00"/>
    <s v="Fri"/>
    <n v="41"/>
    <b v="0"/>
    <b v="0"/>
    <s v="technology/web"/>
    <x v="2"/>
    <x v="2"/>
  </r>
  <r>
    <n v="143"/>
    <s v="Avila-Jones"/>
    <s v="Implemented discrete secured line"/>
    <n v="5400"/>
    <n v="7322"/>
    <n v="1.355925925925926"/>
    <n v="2.1230434782608696"/>
    <x v="1"/>
    <n v="70"/>
    <n v="104.6"/>
    <x v="1"/>
    <s v="USD"/>
    <n v="1277701200"/>
    <n v="1279429200"/>
    <x v="140"/>
    <d v="2010-07-18T05:00:00"/>
    <s v="Mon"/>
    <n v="20"/>
    <b v="0"/>
    <b v="0"/>
    <s v="music/indie rock"/>
    <x v="1"/>
    <x v="7"/>
  </r>
  <r>
    <n v="144"/>
    <s v="Martin, Lopez and Hunter"/>
    <s v="Multi-lateral actuating installation"/>
    <n v="9000"/>
    <n v="11619"/>
    <n v="1.2909999999999999"/>
    <n v="2.1230434782608696"/>
    <x v="1"/>
    <n v="135"/>
    <n v="86.066666666666663"/>
    <x v="1"/>
    <s v="USD"/>
    <n v="1560747600"/>
    <n v="1561438800"/>
    <x v="141"/>
    <d v="2019-06-25T05:00:00"/>
    <s v="Mon"/>
    <n v="8"/>
    <b v="0"/>
    <b v="0"/>
    <s v="theater/plays"/>
    <x v="3"/>
    <x v="3"/>
  </r>
  <r>
    <n v="145"/>
    <s v="Fields-Moore"/>
    <s v="Secured reciprocal array"/>
    <n v="25000"/>
    <n v="59128"/>
    <n v="2.3651200000000001"/>
    <n v="2.1230434782608696"/>
    <x v="1"/>
    <n v="768"/>
    <n v="76.989583333333329"/>
    <x v="5"/>
    <s v="CHF"/>
    <n v="1410066000"/>
    <n v="1410498000"/>
    <x v="142"/>
    <d v="2014-09-12T05:00:00"/>
    <s v="Sun"/>
    <n v="5"/>
    <b v="0"/>
    <b v="0"/>
    <s v="technology/wearables"/>
    <x v="2"/>
    <x v="8"/>
  </r>
  <r>
    <n v="146"/>
    <s v="Harris-Golden"/>
    <s v="Optional bandwidth-monitored middleware"/>
    <n v="8800"/>
    <n v="1518"/>
    <n v="0.17249999999999999"/>
    <n v="0.43241247264770238"/>
    <x v="3"/>
    <n v="51"/>
    <n v="29.764705882352942"/>
    <x v="1"/>
    <s v="USD"/>
    <n v="1320732000"/>
    <n v="1322460000"/>
    <x v="143"/>
    <d v="2011-11-28T06:00:00"/>
    <s v="Tue"/>
    <n v="20"/>
    <b v="0"/>
    <b v="0"/>
    <s v="theater/plays"/>
    <x v="3"/>
    <x v="3"/>
  </r>
  <r>
    <n v="147"/>
    <s v="Moss, Norman and Dunlap"/>
    <s v="Upgradable upward-trending workforce"/>
    <n v="8300"/>
    <n v="9337"/>
    <n v="1.1249397590361445"/>
    <n v="2.1230434782608696"/>
    <x v="1"/>
    <n v="199"/>
    <n v="46.91959798994975"/>
    <x v="1"/>
    <s v="USD"/>
    <n v="1465794000"/>
    <n v="1466312400"/>
    <x v="144"/>
    <d v="2016-06-19T05:00:00"/>
    <s v="Mon"/>
    <n v="6"/>
    <b v="0"/>
    <b v="1"/>
    <s v="theater/plays"/>
    <x v="3"/>
    <x v="3"/>
  </r>
  <r>
    <n v="148"/>
    <s v="White, Larson and Wright"/>
    <s v="Upgradable hybrid capability"/>
    <n v="9300"/>
    <n v="11255"/>
    <n v="1.2102150537634409"/>
    <n v="2.1230434782608696"/>
    <x v="1"/>
    <n v="107"/>
    <n v="105.18691588785046"/>
    <x v="1"/>
    <s v="USD"/>
    <n v="1500958800"/>
    <n v="1501736400"/>
    <x v="145"/>
    <d v="2017-08-03T05:00:00"/>
    <s v="Tue"/>
    <n v="9"/>
    <b v="0"/>
    <b v="0"/>
    <s v="technology/wearables"/>
    <x v="2"/>
    <x v="8"/>
  </r>
  <r>
    <n v="149"/>
    <s v="Payne, Oliver and Burch"/>
    <s v="Managed fresh-thinking flexibility"/>
    <n v="6200"/>
    <n v="13632"/>
    <n v="2.1987096774193549"/>
    <n v="2.1230434782608696"/>
    <x v="1"/>
    <n v="195"/>
    <n v="69.907692307692301"/>
    <x v="1"/>
    <s v="USD"/>
    <n v="1357020000"/>
    <n v="1361512800"/>
    <x v="146"/>
    <d v="2013-02-22T06:00:00"/>
    <s v="Tue"/>
    <n v="52"/>
    <b v="0"/>
    <b v="0"/>
    <s v="music/indie rock"/>
    <x v="1"/>
    <x v="7"/>
  </r>
  <r>
    <n v="150"/>
    <s v="Brown, Palmer and Pace"/>
    <s v="Networked stable workforce"/>
    <n v="100"/>
    <n v="1"/>
    <n v="0.01"/>
    <n v="0.50551920620886137"/>
    <x v="0"/>
    <n v="1"/>
    <n v="1"/>
    <x v="1"/>
    <s v="USD"/>
    <n v="1544940000"/>
    <n v="1545026400"/>
    <x v="147"/>
    <d v="2018-12-17T06:00:00"/>
    <s v="Sun"/>
    <n v="1"/>
    <b v="0"/>
    <b v="0"/>
    <s v="music/rock"/>
    <x v="1"/>
    <x v="1"/>
  </r>
  <r>
    <n v="151"/>
    <s v="Parker LLC"/>
    <s v="Customizable intermediate extranet"/>
    <n v="137200"/>
    <n v="88037"/>
    <n v="0.64166909620991253"/>
    <n v="0.50551920620886137"/>
    <x v="0"/>
    <n v="1467"/>
    <n v="60.011588275391958"/>
    <x v="1"/>
    <s v="USD"/>
    <n v="1402290000"/>
    <n v="1406696400"/>
    <x v="148"/>
    <d v="2014-07-30T05:00:00"/>
    <s v="Mon"/>
    <n v="51"/>
    <b v="0"/>
    <b v="0"/>
    <s v="music/electric music"/>
    <x v="1"/>
    <x v="5"/>
  </r>
  <r>
    <n v="152"/>
    <s v="Bowen, Mcdonald and Hall"/>
    <s v="User-centric fault-tolerant task-force"/>
    <n v="41500"/>
    <n v="175573"/>
    <n v="4.2306746987951804"/>
    <n v="2.1230434782608696"/>
    <x v="1"/>
    <n v="3376"/>
    <n v="52.006220379146917"/>
    <x v="1"/>
    <s v="USD"/>
    <n v="1487311200"/>
    <n v="1487916000"/>
    <x v="149"/>
    <d v="2017-02-24T06:00:00"/>
    <s v="Fri"/>
    <n v="7"/>
    <b v="0"/>
    <b v="0"/>
    <s v="music/indie rock"/>
    <x v="1"/>
    <x v="7"/>
  </r>
  <r>
    <n v="153"/>
    <s v="Whitehead, Bell and Hughes"/>
    <s v="Multi-tiered radical definition"/>
    <n v="189400"/>
    <n v="176112"/>
    <n v="0.92984160506863778"/>
    <n v="0.50551920620886137"/>
    <x v="0"/>
    <n v="5681"/>
    <n v="31.000176025347649"/>
    <x v="1"/>
    <s v="USD"/>
    <n v="1350622800"/>
    <n v="1351141200"/>
    <x v="150"/>
    <d v="2012-10-25T05:00:00"/>
    <s v="Fri"/>
    <n v="6"/>
    <b v="0"/>
    <b v="0"/>
    <s v="theater/plays"/>
    <x v="3"/>
    <x v="3"/>
  </r>
  <r>
    <n v="154"/>
    <s v="Rodriguez-Brown"/>
    <s v="Devolved foreground benchmark"/>
    <n v="171300"/>
    <n v="100650"/>
    <n v="0.58756567425569173"/>
    <n v="0.50551920620886137"/>
    <x v="0"/>
    <n v="1059"/>
    <n v="95.042492917847028"/>
    <x v="1"/>
    <s v="USD"/>
    <n v="1463029200"/>
    <n v="1465016400"/>
    <x v="151"/>
    <d v="2016-06-04T05:00:00"/>
    <s v="Thu"/>
    <n v="23"/>
    <b v="0"/>
    <b v="1"/>
    <s v="music/indie rock"/>
    <x v="1"/>
    <x v="7"/>
  </r>
  <r>
    <n v="155"/>
    <s v="Hall-Schaefer"/>
    <s v="Distributed eco-centric methodology"/>
    <n v="139500"/>
    <n v="90706"/>
    <n v="0.65022222222222226"/>
    <n v="0.50551920620886137"/>
    <x v="0"/>
    <n v="1194"/>
    <n v="75.968174204355108"/>
    <x v="1"/>
    <s v="USD"/>
    <n v="1269493200"/>
    <n v="1270789200"/>
    <x v="152"/>
    <d v="2010-04-09T05:00:00"/>
    <s v="Thu"/>
    <n v="15"/>
    <b v="0"/>
    <b v="0"/>
    <s v="theater/plays"/>
    <x v="3"/>
    <x v="3"/>
  </r>
  <r>
    <n v="156"/>
    <s v="Meza-Rogers"/>
    <s v="Streamlined encompassing encryption"/>
    <n v="36400"/>
    <n v="26914"/>
    <n v="0.73939560439560437"/>
    <n v="0.43241247264770238"/>
    <x v="3"/>
    <n v="379"/>
    <n v="71.013192612137203"/>
    <x v="2"/>
    <s v="AUD"/>
    <n v="1570251600"/>
    <n v="1572325200"/>
    <x v="153"/>
    <d v="2019-10-29T05:00:00"/>
    <s v="Sat"/>
    <n v="24"/>
    <b v="0"/>
    <b v="0"/>
    <s v="music/rock"/>
    <x v="1"/>
    <x v="1"/>
  </r>
  <r>
    <n v="157"/>
    <s v="Curtis-Curtis"/>
    <s v="User-friendly reciprocal initiative"/>
    <n v="4200"/>
    <n v="2212"/>
    <n v="0.52666666666666662"/>
    <n v="0.50551920620886137"/>
    <x v="0"/>
    <n v="30"/>
    <n v="73.733333333333334"/>
    <x v="2"/>
    <s v="AUD"/>
    <n v="1388383200"/>
    <n v="1389420000"/>
    <x v="154"/>
    <d v="2014-01-11T06:00:00"/>
    <s v="Mon"/>
    <n v="12"/>
    <b v="0"/>
    <b v="0"/>
    <s v="photography/photography books"/>
    <x v="7"/>
    <x v="14"/>
  </r>
  <r>
    <n v="158"/>
    <s v="Carlson Inc"/>
    <s v="Ergonomic fresh-thinking installation"/>
    <n v="2100"/>
    <n v="4640"/>
    <n v="2.2095238095238097"/>
    <n v="2.1230434782608696"/>
    <x v="1"/>
    <n v="41"/>
    <n v="113.17073170731707"/>
    <x v="1"/>
    <s v="USD"/>
    <n v="1449554400"/>
    <n v="1449640800"/>
    <x v="155"/>
    <d v="2015-12-09T06:00:00"/>
    <s v="Tue"/>
    <n v="1"/>
    <b v="0"/>
    <b v="0"/>
    <s v="music/rock"/>
    <x v="1"/>
    <x v="1"/>
  </r>
  <r>
    <n v="159"/>
    <s v="Clarke, Anderson and Lee"/>
    <s v="Robust explicit hardware"/>
    <n v="191200"/>
    <n v="191222"/>
    <n v="1.0001150627615063"/>
    <n v="2.1230434782608696"/>
    <x v="1"/>
    <n v="1821"/>
    <n v="105.00933552992861"/>
    <x v="1"/>
    <s v="USD"/>
    <n v="1553662800"/>
    <n v="1555218000"/>
    <x v="156"/>
    <d v="2019-04-14T05:00:00"/>
    <s v="Wed"/>
    <n v="18"/>
    <b v="0"/>
    <b v="1"/>
    <s v="theater/plays"/>
    <x v="3"/>
    <x v="3"/>
  </r>
  <r>
    <n v="160"/>
    <s v="Evans Group"/>
    <s v="Stand-alone actuating support"/>
    <n v="8000"/>
    <n v="12985"/>
    <n v="1.6231249999999999"/>
    <n v="2.1230434782608696"/>
    <x v="1"/>
    <n v="164"/>
    <n v="79.176829268292678"/>
    <x v="1"/>
    <s v="USD"/>
    <n v="1556341200"/>
    <n v="1557723600"/>
    <x v="157"/>
    <d v="2019-05-13T05:00:00"/>
    <s v="Sat"/>
    <n v="16"/>
    <b v="0"/>
    <b v="0"/>
    <s v="technology/wearables"/>
    <x v="2"/>
    <x v="8"/>
  </r>
  <r>
    <n v="161"/>
    <s v="Bruce Group"/>
    <s v="Cross-platform methodical process improvement"/>
    <n v="5500"/>
    <n v="4300"/>
    <n v="0.78181818181818186"/>
    <n v="0.50551920620886137"/>
    <x v="0"/>
    <n v="75"/>
    <n v="57.333333333333336"/>
    <x v="1"/>
    <s v="USD"/>
    <n v="1442984400"/>
    <n v="1443502800"/>
    <x v="158"/>
    <d v="2015-09-29T05:00:00"/>
    <s v="Wed"/>
    <n v="6"/>
    <b v="0"/>
    <b v="1"/>
    <s v="technology/web"/>
    <x v="2"/>
    <x v="2"/>
  </r>
  <r>
    <n v="162"/>
    <s v="Keith, Alvarez and Potter"/>
    <s v="Extended bottom-line open architecture"/>
    <n v="6100"/>
    <n v="9134"/>
    <n v="1.4973770491803278"/>
    <n v="2.1230434782608696"/>
    <x v="1"/>
    <n v="157"/>
    <n v="58.178343949044589"/>
    <x v="5"/>
    <s v="CHF"/>
    <n v="1544248800"/>
    <n v="1546840800"/>
    <x v="159"/>
    <d v="2019-01-07T06:00:00"/>
    <s v="Sat"/>
    <n v="30"/>
    <b v="0"/>
    <b v="0"/>
    <s v="music/rock"/>
    <x v="1"/>
    <x v="1"/>
  </r>
  <r>
    <n v="163"/>
    <s v="Burton-Watkins"/>
    <s v="Extended reciprocal circuit"/>
    <n v="3500"/>
    <n v="8864"/>
    <n v="2.5325714285714285"/>
    <n v="2.1230434782608696"/>
    <x v="1"/>
    <n v="246"/>
    <n v="36.032520325203251"/>
    <x v="1"/>
    <s v="USD"/>
    <n v="1508475600"/>
    <n v="1512712800"/>
    <x v="160"/>
    <d v="2017-12-08T06:00:00"/>
    <s v="Fri"/>
    <n v="49"/>
    <b v="0"/>
    <b v="1"/>
    <s v="photography/photography books"/>
    <x v="7"/>
    <x v="14"/>
  </r>
  <r>
    <n v="164"/>
    <s v="Lopez and Sons"/>
    <s v="Polarized human-resource protocol"/>
    <n v="150500"/>
    <n v="150755"/>
    <n v="1.0016943521594683"/>
    <n v="2.1230434782608696"/>
    <x v="1"/>
    <n v="1396"/>
    <n v="107.99068767908309"/>
    <x v="1"/>
    <s v="USD"/>
    <n v="1507438800"/>
    <n v="1507525200"/>
    <x v="161"/>
    <d v="2017-10-09T05:00:00"/>
    <s v="Sun"/>
    <n v="1"/>
    <b v="0"/>
    <b v="0"/>
    <s v="theater/plays"/>
    <x v="3"/>
    <x v="3"/>
  </r>
  <r>
    <n v="165"/>
    <s v="Cordova Ltd"/>
    <s v="Synergized radical product"/>
    <n v="90400"/>
    <n v="110279"/>
    <n v="1.2199004424778761"/>
    <n v="2.1230434782608696"/>
    <x v="1"/>
    <n v="2506"/>
    <n v="44.005985634477256"/>
    <x v="1"/>
    <s v="USD"/>
    <n v="1501563600"/>
    <n v="1504328400"/>
    <x v="162"/>
    <d v="2017-09-02T05:00:00"/>
    <s v="Tue"/>
    <n v="32"/>
    <b v="0"/>
    <b v="0"/>
    <s v="technology/web"/>
    <x v="2"/>
    <x v="2"/>
  </r>
  <r>
    <n v="166"/>
    <s v="Brown-Vang"/>
    <s v="Robust heuristic artificial intelligence"/>
    <n v="9800"/>
    <n v="13439"/>
    <n v="1.3713265306122449"/>
    <n v="2.1230434782608696"/>
    <x v="1"/>
    <n v="244"/>
    <n v="55.077868852459019"/>
    <x v="1"/>
    <s v="USD"/>
    <n v="1292997600"/>
    <n v="1293343200"/>
    <x v="163"/>
    <d v="2010-12-26T06:00:00"/>
    <s v="Wed"/>
    <n v="4"/>
    <b v="0"/>
    <b v="0"/>
    <s v="photography/photography books"/>
    <x v="7"/>
    <x v="14"/>
  </r>
  <r>
    <n v="167"/>
    <s v="Cruz-Ward"/>
    <s v="Robust content-based emulation"/>
    <n v="2600"/>
    <n v="10804"/>
    <n v="4.155384615384615"/>
    <n v="2.1230434782608696"/>
    <x v="1"/>
    <n v="146"/>
    <n v="74"/>
    <x v="2"/>
    <s v="AUD"/>
    <n v="1370840400"/>
    <n v="1371704400"/>
    <x v="164"/>
    <d v="2013-06-20T05:00:00"/>
    <s v="Mon"/>
    <n v="10"/>
    <b v="0"/>
    <b v="0"/>
    <s v="theater/plays"/>
    <x v="3"/>
    <x v="3"/>
  </r>
  <r>
    <n v="168"/>
    <s v="Hernandez Group"/>
    <s v="Ergonomic uniform open system"/>
    <n v="128100"/>
    <n v="40107"/>
    <n v="0.3130913348946136"/>
    <n v="0.50551920620886137"/>
    <x v="0"/>
    <n v="955"/>
    <n v="41.996858638743454"/>
    <x v="3"/>
    <s v="DKK"/>
    <n v="1550815200"/>
    <n v="1552798800"/>
    <x v="165"/>
    <d v="2019-03-17T05:00:00"/>
    <s v="Fri"/>
    <n v="23"/>
    <b v="0"/>
    <b v="1"/>
    <s v="music/indie rock"/>
    <x v="1"/>
    <x v="7"/>
  </r>
  <r>
    <n v="169"/>
    <s v="Tran, Steele and Wilson"/>
    <s v="Profit-focused modular product"/>
    <n v="23300"/>
    <n v="98811"/>
    <n v="4.240815450643777"/>
    <n v="2.1230434782608696"/>
    <x v="1"/>
    <n v="1267"/>
    <n v="77.988161010260455"/>
    <x v="1"/>
    <s v="USD"/>
    <n v="1339909200"/>
    <n v="1342328400"/>
    <x v="166"/>
    <d v="2012-07-15T05:00:00"/>
    <s v="Sun"/>
    <n v="28"/>
    <b v="0"/>
    <b v="1"/>
    <s v="film &amp; video/shorts"/>
    <x v="4"/>
    <x v="12"/>
  </r>
  <r>
    <n v="170"/>
    <s v="Summers, Gallegos and Stein"/>
    <s v="Mandatory mobile product"/>
    <n v="188100"/>
    <n v="5528"/>
    <n v="2.9388623072833599E-2"/>
    <n v="0.50551920620886137"/>
    <x v="0"/>
    <n v="67"/>
    <n v="82.507462686567166"/>
    <x v="1"/>
    <s v="USD"/>
    <n v="1501736400"/>
    <n v="1502341200"/>
    <x v="167"/>
    <d v="2017-08-10T05:00:00"/>
    <s v="Thu"/>
    <n v="7"/>
    <b v="0"/>
    <b v="0"/>
    <s v="music/indie rock"/>
    <x v="1"/>
    <x v="7"/>
  </r>
  <r>
    <n v="171"/>
    <s v="Blair Group"/>
    <s v="Public-key 3rdgeneration budgetary management"/>
    <n v="4900"/>
    <n v="521"/>
    <n v="0.1063265306122449"/>
    <n v="0.50551920620886137"/>
    <x v="0"/>
    <n v="5"/>
    <n v="104.2"/>
    <x v="1"/>
    <s v="USD"/>
    <n v="1395291600"/>
    <n v="1397192400"/>
    <x v="168"/>
    <d v="2014-04-11T05:00:00"/>
    <s v="Thu"/>
    <n v="22"/>
    <b v="0"/>
    <b v="0"/>
    <s v="publishing/translations"/>
    <x v="5"/>
    <x v="18"/>
  </r>
  <r>
    <n v="172"/>
    <s v="Nixon Inc"/>
    <s v="Centralized national firmware"/>
    <n v="800"/>
    <n v="663"/>
    <n v="0.82874999999999999"/>
    <n v="0.50551920620886137"/>
    <x v="0"/>
    <n v="26"/>
    <n v="25.5"/>
    <x v="1"/>
    <s v="USD"/>
    <n v="1405746000"/>
    <n v="1407042000"/>
    <x v="169"/>
    <d v="2014-08-03T05:00:00"/>
    <s v="Sat"/>
    <n v="15"/>
    <b v="0"/>
    <b v="1"/>
    <s v="film &amp; video/documentary"/>
    <x v="4"/>
    <x v="4"/>
  </r>
  <r>
    <n v="173"/>
    <s v="White LLC"/>
    <s v="Cross-group 4thgeneration middleware"/>
    <n v="96700"/>
    <n v="157635"/>
    <n v="1.6301447776628748"/>
    <n v="2.1230434782608696"/>
    <x v="1"/>
    <n v="1561"/>
    <n v="100.98334401024984"/>
    <x v="1"/>
    <s v="USD"/>
    <n v="1368853200"/>
    <n v="1369371600"/>
    <x v="170"/>
    <d v="2013-05-24T05:00:00"/>
    <s v="Sat"/>
    <n v="6"/>
    <b v="0"/>
    <b v="0"/>
    <s v="theater/plays"/>
    <x v="3"/>
    <x v="3"/>
  </r>
  <r>
    <n v="174"/>
    <s v="Santos, Black and Donovan"/>
    <s v="Pre-emptive scalable access"/>
    <n v="600"/>
    <n v="5368"/>
    <n v="8.9466666666666672"/>
    <n v="2.1230434782608696"/>
    <x v="1"/>
    <n v="48"/>
    <n v="111.83333333333333"/>
    <x v="1"/>
    <s v="USD"/>
    <n v="1444021200"/>
    <n v="1444107600"/>
    <x v="171"/>
    <d v="2015-10-06T05:00:00"/>
    <s v="Mon"/>
    <n v="1"/>
    <b v="0"/>
    <b v="1"/>
    <s v="technology/wearables"/>
    <x v="2"/>
    <x v="8"/>
  </r>
  <r>
    <n v="175"/>
    <s v="Jones, Contreras and Burnett"/>
    <s v="Sharable intangible migration"/>
    <n v="181200"/>
    <n v="47459"/>
    <n v="0.26191501103752757"/>
    <n v="0.50551920620886137"/>
    <x v="0"/>
    <n v="1130"/>
    <n v="41.999115044247787"/>
    <x v="1"/>
    <s v="USD"/>
    <n v="1472619600"/>
    <n v="1474261200"/>
    <x v="172"/>
    <d v="2016-09-19T05:00:00"/>
    <s v="Wed"/>
    <n v="19"/>
    <b v="0"/>
    <b v="0"/>
    <s v="theater/plays"/>
    <x v="3"/>
    <x v="3"/>
  </r>
  <r>
    <n v="176"/>
    <s v="Stone-Orozco"/>
    <s v="Proactive scalable Graphical User Interface"/>
    <n v="115000"/>
    <n v="86060"/>
    <n v="0.74834782608695649"/>
    <n v="0.50551920620886137"/>
    <x v="0"/>
    <n v="782"/>
    <n v="110.05115089514067"/>
    <x v="1"/>
    <s v="USD"/>
    <n v="1472878800"/>
    <n v="1473656400"/>
    <x v="173"/>
    <d v="2016-09-12T05:00:00"/>
    <s v="Sat"/>
    <n v="9"/>
    <b v="0"/>
    <b v="0"/>
    <s v="theater/plays"/>
    <x v="3"/>
    <x v="3"/>
  </r>
  <r>
    <n v="177"/>
    <s v="Lee, Gibson and Morgan"/>
    <s v="Digitized solution-oriented product"/>
    <n v="38800"/>
    <n v="161593"/>
    <n v="4.1647680412371137"/>
    <n v="2.1230434782608696"/>
    <x v="1"/>
    <n v="2739"/>
    <n v="58.997079225994888"/>
    <x v="1"/>
    <s v="USD"/>
    <n v="1289800800"/>
    <n v="1291960800"/>
    <x v="174"/>
    <d v="2010-12-10T06:00:00"/>
    <s v="Mon"/>
    <n v="25"/>
    <b v="0"/>
    <b v="0"/>
    <s v="theater/plays"/>
    <x v="3"/>
    <x v="3"/>
  </r>
  <r>
    <n v="178"/>
    <s v="Alexander-Williams"/>
    <s v="Triple-buffered cohesive structure"/>
    <n v="7200"/>
    <n v="6927"/>
    <n v="0.96208333333333329"/>
    <n v="0.50551920620886137"/>
    <x v="0"/>
    <n v="210"/>
    <n v="32.985714285714288"/>
    <x v="1"/>
    <s v="USD"/>
    <n v="1505970000"/>
    <n v="1506747600"/>
    <x v="175"/>
    <d v="2017-09-30T05:00:00"/>
    <s v="Thu"/>
    <n v="9"/>
    <b v="0"/>
    <b v="0"/>
    <s v="food/food trucks"/>
    <x v="0"/>
    <x v="0"/>
  </r>
  <r>
    <n v="179"/>
    <s v="Marks Ltd"/>
    <s v="Realigned human-resource orchestration"/>
    <n v="44500"/>
    <n v="159185"/>
    <n v="3.5771910112359548"/>
    <n v="2.1230434782608696"/>
    <x v="1"/>
    <n v="3537"/>
    <n v="45.005654509471306"/>
    <x v="0"/>
    <s v="CAD"/>
    <n v="1363496400"/>
    <n v="1363582800"/>
    <x v="176"/>
    <d v="2013-03-18T05:00:00"/>
    <s v="Sun"/>
    <n v="1"/>
    <b v="0"/>
    <b v="1"/>
    <s v="theater/plays"/>
    <x v="3"/>
    <x v="3"/>
  </r>
  <r>
    <n v="180"/>
    <s v="Olsen, Edwards and Reid"/>
    <s v="Optional clear-thinking software"/>
    <n v="56000"/>
    <n v="172736"/>
    <n v="3.0845714285714285"/>
    <n v="2.1230434782608696"/>
    <x v="1"/>
    <n v="2107"/>
    <n v="81.98196487897485"/>
    <x v="2"/>
    <s v="AUD"/>
    <n v="1269234000"/>
    <n v="1269666000"/>
    <x v="177"/>
    <d v="2010-03-27T05:00:00"/>
    <s v="Mon"/>
    <n v="5"/>
    <b v="0"/>
    <b v="0"/>
    <s v="technology/wearables"/>
    <x v="2"/>
    <x v="8"/>
  </r>
  <r>
    <n v="181"/>
    <s v="Daniels, Rose and Tyler"/>
    <s v="Centralized global approach"/>
    <n v="8600"/>
    <n v="5315"/>
    <n v="0.61802325581395345"/>
    <n v="0.50551920620886137"/>
    <x v="0"/>
    <n v="136"/>
    <n v="39.080882352941174"/>
    <x v="1"/>
    <s v="USD"/>
    <n v="1507093200"/>
    <n v="1508648400"/>
    <x v="178"/>
    <d v="2017-10-22T05:00:00"/>
    <s v="Wed"/>
    <n v="18"/>
    <b v="0"/>
    <b v="0"/>
    <s v="technology/web"/>
    <x v="2"/>
    <x v="2"/>
  </r>
  <r>
    <n v="182"/>
    <s v="Adams Group"/>
    <s v="Reverse-engineered bandwidth-monitored contingency"/>
    <n v="27100"/>
    <n v="195750"/>
    <n v="7.2232472324723247"/>
    <n v="2.1230434782608696"/>
    <x v="1"/>
    <n v="3318"/>
    <n v="58.996383363471971"/>
    <x v="3"/>
    <s v="DKK"/>
    <n v="1560574800"/>
    <n v="1561957200"/>
    <x v="179"/>
    <d v="2019-07-01T05:00:00"/>
    <s v="Sat"/>
    <n v="16"/>
    <b v="0"/>
    <b v="0"/>
    <s v="theater/plays"/>
    <x v="3"/>
    <x v="3"/>
  </r>
  <r>
    <n v="183"/>
    <s v="Rogers, Huerta and Medina"/>
    <s v="Pre-emptive bandwidth-monitored instruction set"/>
    <n v="5100"/>
    <n v="3525"/>
    <n v="0.69117647058823528"/>
    <n v="0.50551920620886137"/>
    <x v="0"/>
    <n v="86"/>
    <n v="40.988372093023258"/>
    <x v="0"/>
    <s v="CAD"/>
    <n v="1284008400"/>
    <n v="1285131600"/>
    <x v="180"/>
    <d v="2010-09-22T05:00:00"/>
    <s v="Thu"/>
    <n v="13"/>
    <b v="0"/>
    <b v="0"/>
    <s v="music/rock"/>
    <x v="1"/>
    <x v="1"/>
  </r>
  <r>
    <n v="184"/>
    <s v="Howard, Carter and Griffith"/>
    <s v="Adaptive asynchronous emulation"/>
    <n v="3600"/>
    <n v="10550"/>
    <n v="2.9305555555555554"/>
    <n v="2.1230434782608696"/>
    <x v="1"/>
    <n v="340"/>
    <n v="31.029411764705884"/>
    <x v="1"/>
    <s v="USD"/>
    <n v="1556859600"/>
    <n v="1556946000"/>
    <x v="181"/>
    <d v="2019-05-04T05:00:00"/>
    <s v="Fri"/>
    <n v="1"/>
    <b v="0"/>
    <b v="0"/>
    <s v="theater/plays"/>
    <x v="3"/>
    <x v="3"/>
  </r>
  <r>
    <n v="185"/>
    <s v="Bailey PLC"/>
    <s v="Innovative actuating conglomeration"/>
    <n v="1000"/>
    <n v="718"/>
    <n v="0.71799999999999997"/>
    <n v="0.50551920620886137"/>
    <x v="0"/>
    <n v="19"/>
    <n v="37.789473684210527"/>
    <x v="1"/>
    <s v="USD"/>
    <n v="1526187600"/>
    <n v="1527138000"/>
    <x v="182"/>
    <d v="2018-05-24T05:00:00"/>
    <s v="Sun"/>
    <n v="11"/>
    <b v="0"/>
    <b v="0"/>
    <s v="film &amp; video/television"/>
    <x v="4"/>
    <x v="19"/>
  </r>
  <r>
    <n v="186"/>
    <s v="Parker Group"/>
    <s v="Grass-roots foreground policy"/>
    <n v="88800"/>
    <n v="28358"/>
    <n v="0.31934684684684683"/>
    <n v="0.50551920620886137"/>
    <x v="0"/>
    <n v="886"/>
    <n v="32.006772009029348"/>
    <x v="1"/>
    <s v="USD"/>
    <n v="1400821200"/>
    <n v="1402117200"/>
    <x v="183"/>
    <d v="2014-06-07T05:00:00"/>
    <s v="Fri"/>
    <n v="15"/>
    <b v="0"/>
    <b v="0"/>
    <s v="theater/plays"/>
    <x v="3"/>
    <x v="3"/>
  </r>
  <r>
    <n v="187"/>
    <s v="Fox Group"/>
    <s v="Horizontal transitional paradigm"/>
    <n v="60200"/>
    <n v="138384"/>
    <n v="2.2987375415282392"/>
    <n v="2.1230434782608696"/>
    <x v="1"/>
    <n v="1442"/>
    <n v="95.966712898751737"/>
    <x v="0"/>
    <s v="CAD"/>
    <n v="1361599200"/>
    <n v="1364014800"/>
    <x v="184"/>
    <d v="2013-03-23T05:00:00"/>
    <s v="Sat"/>
    <n v="28"/>
    <b v="0"/>
    <b v="1"/>
    <s v="film &amp; video/shorts"/>
    <x v="4"/>
    <x v="12"/>
  </r>
  <r>
    <n v="188"/>
    <s v="Walker, Jones and Rodriguez"/>
    <s v="Networked didactic info-mediaries"/>
    <n v="8200"/>
    <n v="2625"/>
    <n v="0.3201219512195122"/>
    <n v="0.50551920620886137"/>
    <x v="0"/>
    <n v="35"/>
    <n v="75"/>
    <x v="6"/>
    <s v="EUR"/>
    <n v="1417500000"/>
    <n v="1417586400"/>
    <x v="185"/>
    <d v="2014-12-03T06:00:00"/>
    <s v="Tue"/>
    <n v="1"/>
    <b v="0"/>
    <b v="0"/>
    <s v="theater/plays"/>
    <x v="3"/>
    <x v="3"/>
  </r>
  <r>
    <n v="189"/>
    <s v="Anthony-Shaw"/>
    <s v="Switchable contextually-based access"/>
    <n v="191300"/>
    <n v="45004"/>
    <n v="0.23525352848928385"/>
    <n v="0.43241247264770238"/>
    <x v="3"/>
    <n v="441"/>
    <n v="102.0498866213152"/>
    <x v="1"/>
    <s v="USD"/>
    <n v="1457071200"/>
    <n v="1457071200"/>
    <x v="186"/>
    <d v="2016-03-04T06:00:00"/>
    <s v="Fri"/>
    <n v="0"/>
    <b v="0"/>
    <b v="0"/>
    <s v="theater/plays"/>
    <x v="3"/>
    <x v="3"/>
  </r>
  <r>
    <n v="190"/>
    <s v="Cook LLC"/>
    <s v="Up-sized dynamic throughput"/>
    <n v="3700"/>
    <n v="2538"/>
    <n v="0.68594594594594593"/>
    <n v="0.50551920620886137"/>
    <x v="0"/>
    <n v="24"/>
    <n v="105.75"/>
    <x v="1"/>
    <s v="USD"/>
    <n v="1370322000"/>
    <n v="1370408400"/>
    <x v="187"/>
    <d v="2013-06-05T05:00:00"/>
    <s v="Tue"/>
    <n v="1"/>
    <b v="0"/>
    <b v="1"/>
    <s v="theater/plays"/>
    <x v="3"/>
    <x v="3"/>
  </r>
  <r>
    <n v="191"/>
    <s v="Sutton PLC"/>
    <s v="Mandatory reciprocal superstructure"/>
    <n v="8400"/>
    <n v="3188"/>
    <n v="0.37952380952380954"/>
    <n v="0.50551920620886137"/>
    <x v="0"/>
    <n v="86"/>
    <n v="37.069767441860463"/>
    <x v="6"/>
    <s v="EUR"/>
    <n v="1552366800"/>
    <n v="1552626000"/>
    <x v="188"/>
    <d v="2019-03-15T05:00:00"/>
    <s v="Tue"/>
    <n v="3"/>
    <b v="0"/>
    <b v="0"/>
    <s v="theater/plays"/>
    <x v="3"/>
    <x v="3"/>
  </r>
  <r>
    <n v="192"/>
    <s v="Long, Morgan and Mitchell"/>
    <s v="Upgradable 4thgeneration productivity"/>
    <n v="42600"/>
    <n v="8517"/>
    <n v="0.19992957746478873"/>
    <n v="0.50551920620886137"/>
    <x v="0"/>
    <n v="243"/>
    <n v="35.049382716049379"/>
    <x v="1"/>
    <s v="USD"/>
    <n v="1403845200"/>
    <n v="1404190800"/>
    <x v="189"/>
    <d v="2014-07-01T05:00:00"/>
    <s v="Fri"/>
    <n v="4"/>
    <b v="0"/>
    <b v="0"/>
    <s v="music/rock"/>
    <x v="1"/>
    <x v="1"/>
  </r>
  <r>
    <n v="193"/>
    <s v="Calhoun, Rogers and Long"/>
    <s v="Progressive discrete hub"/>
    <n v="6600"/>
    <n v="3012"/>
    <n v="0.45636363636363636"/>
    <n v="0.50551920620886137"/>
    <x v="0"/>
    <n v="65"/>
    <n v="46.338461538461537"/>
    <x v="1"/>
    <s v="USD"/>
    <n v="1523163600"/>
    <n v="1523509200"/>
    <x v="190"/>
    <d v="2018-04-12T05:00:00"/>
    <s v="Sun"/>
    <n v="4"/>
    <b v="1"/>
    <b v="0"/>
    <s v="music/indie rock"/>
    <x v="1"/>
    <x v="7"/>
  </r>
  <r>
    <n v="194"/>
    <s v="Sandoval Group"/>
    <s v="Assimilated multi-tasking archive"/>
    <n v="7100"/>
    <n v="8716"/>
    <n v="1.227605633802817"/>
    <n v="2.1230434782608696"/>
    <x v="1"/>
    <n v="126"/>
    <n v="69.174603174603178"/>
    <x v="1"/>
    <s v="USD"/>
    <n v="1442206800"/>
    <n v="1443589200"/>
    <x v="191"/>
    <d v="2015-09-30T05:00:00"/>
    <s v="Mon"/>
    <n v="16"/>
    <b v="0"/>
    <b v="0"/>
    <s v="music/metal"/>
    <x v="1"/>
    <x v="16"/>
  </r>
  <r>
    <n v="195"/>
    <s v="Smith and Sons"/>
    <s v="Upgradable high-level solution"/>
    <n v="15800"/>
    <n v="57157"/>
    <n v="3.61753164556962"/>
    <n v="2.1230434782608696"/>
    <x v="1"/>
    <n v="524"/>
    <n v="109.07824427480917"/>
    <x v="1"/>
    <s v="USD"/>
    <n v="1532840400"/>
    <n v="1533445200"/>
    <x v="192"/>
    <d v="2018-08-05T05:00:00"/>
    <s v="Sun"/>
    <n v="7"/>
    <b v="0"/>
    <b v="0"/>
    <s v="music/electric music"/>
    <x v="1"/>
    <x v="5"/>
  </r>
  <r>
    <n v="196"/>
    <s v="King Inc"/>
    <s v="Organic bandwidth-monitored frame"/>
    <n v="8200"/>
    <n v="5178"/>
    <n v="0.63146341463414635"/>
    <n v="0.50551920620886137"/>
    <x v="0"/>
    <n v="100"/>
    <n v="51.78"/>
    <x v="3"/>
    <s v="DKK"/>
    <n v="1472878800"/>
    <n v="1474520400"/>
    <x v="173"/>
    <d v="2016-09-22T05:00:00"/>
    <s v="Sat"/>
    <n v="19"/>
    <b v="0"/>
    <b v="0"/>
    <s v="technology/wearables"/>
    <x v="2"/>
    <x v="8"/>
  </r>
  <r>
    <n v="197"/>
    <s v="Perry and Sons"/>
    <s v="Business-focused logistical framework"/>
    <n v="54700"/>
    <n v="163118"/>
    <n v="2.9820475319926874"/>
    <n v="2.1230434782608696"/>
    <x v="1"/>
    <n v="1989"/>
    <n v="82.010055304172951"/>
    <x v="1"/>
    <s v="USD"/>
    <n v="1498194000"/>
    <n v="1499403600"/>
    <x v="193"/>
    <d v="2017-07-07T05:00:00"/>
    <s v="Fri"/>
    <n v="14"/>
    <b v="0"/>
    <b v="0"/>
    <s v="film &amp; video/drama"/>
    <x v="4"/>
    <x v="6"/>
  </r>
  <r>
    <n v="198"/>
    <s v="Palmer Inc"/>
    <s v="Universal multi-state capability"/>
    <n v="63200"/>
    <n v="6041"/>
    <n v="9.5585443037974685E-2"/>
    <n v="0.50551920620886137"/>
    <x v="0"/>
    <n v="168"/>
    <n v="35.958333333333336"/>
    <x v="1"/>
    <s v="USD"/>
    <n v="1281070800"/>
    <n v="1283576400"/>
    <x v="194"/>
    <d v="2010-09-04T05:00:00"/>
    <s v="Fri"/>
    <n v="29"/>
    <b v="0"/>
    <b v="0"/>
    <s v="music/electric music"/>
    <x v="1"/>
    <x v="5"/>
  </r>
  <r>
    <n v="199"/>
    <s v="Hull, Baker and Martinez"/>
    <s v="Digitized reciprocal infrastructure"/>
    <n v="1800"/>
    <n v="968"/>
    <n v="0.5377777777777778"/>
    <n v="0.50551920620886137"/>
    <x v="0"/>
    <n v="13"/>
    <n v="74.461538461538467"/>
    <x v="1"/>
    <s v="USD"/>
    <n v="1436245200"/>
    <n v="1436590800"/>
    <x v="195"/>
    <d v="2015-07-11T05:00:00"/>
    <s v="Tue"/>
    <n v="4"/>
    <b v="0"/>
    <b v="0"/>
    <s v="music/rock"/>
    <x v="1"/>
    <x v="1"/>
  </r>
  <r>
    <n v="200"/>
    <s v="Becker, Rice and White"/>
    <s v="Reduced dedicated capability"/>
    <n v="100"/>
    <n v="2"/>
    <n v="0.02"/>
    <n v="0.50551920620886137"/>
    <x v="0"/>
    <n v="1"/>
    <n v="2"/>
    <x v="0"/>
    <s v="CAD"/>
    <n v="1269493200"/>
    <n v="1270443600"/>
    <x v="152"/>
    <d v="2010-04-05T05:00:00"/>
    <s v="Thu"/>
    <n v="11"/>
    <b v="0"/>
    <b v="0"/>
    <s v="theater/plays"/>
    <x v="3"/>
    <x v="3"/>
  </r>
  <r>
    <n v="201"/>
    <s v="Osborne, Perkins and Knox"/>
    <s v="Cross-platform bi-directional workforce"/>
    <n v="2100"/>
    <n v="14305"/>
    <n v="6.8119047619047617"/>
    <n v="2.1230434782608696"/>
    <x v="1"/>
    <n v="157"/>
    <n v="91.114649681528661"/>
    <x v="1"/>
    <s v="USD"/>
    <n v="1406264400"/>
    <n v="1407819600"/>
    <x v="196"/>
    <d v="2014-08-12T05:00:00"/>
    <s v="Fri"/>
    <n v="18"/>
    <b v="0"/>
    <b v="0"/>
    <s v="technology/web"/>
    <x v="2"/>
    <x v="2"/>
  </r>
  <r>
    <n v="202"/>
    <s v="Mcknight-Freeman"/>
    <s v="Upgradable scalable methodology"/>
    <n v="8300"/>
    <n v="6543"/>
    <n v="0.78831325301204824"/>
    <n v="0.43241247264770238"/>
    <x v="3"/>
    <n v="82"/>
    <n v="79.792682926829272"/>
    <x v="1"/>
    <s v="USD"/>
    <n v="1317531600"/>
    <n v="1317877200"/>
    <x v="197"/>
    <d v="2011-10-06T05:00:00"/>
    <s v="Sun"/>
    <n v="4"/>
    <b v="0"/>
    <b v="0"/>
    <s v="food/food trucks"/>
    <x v="0"/>
    <x v="0"/>
  </r>
  <r>
    <n v="203"/>
    <s v="Hayden, Shannon and Stein"/>
    <s v="Customer-focused client-server service-desk"/>
    <n v="143900"/>
    <n v="193413"/>
    <n v="1.3440792216817234"/>
    <n v="2.1230434782608696"/>
    <x v="1"/>
    <n v="4498"/>
    <n v="42.999777678968428"/>
    <x v="2"/>
    <s v="AUD"/>
    <n v="1484632800"/>
    <n v="1484805600"/>
    <x v="198"/>
    <d v="2017-01-19T06:00:00"/>
    <s v="Tue"/>
    <n v="2"/>
    <b v="0"/>
    <b v="0"/>
    <s v="theater/plays"/>
    <x v="3"/>
    <x v="3"/>
  </r>
  <r>
    <n v="204"/>
    <s v="Daniel-Luna"/>
    <s v="Mandatory multimedia leverage"/>
    <n v="75000"/>
    <n v="2529"/>
    <n v="3.372E-2"/>
    <n v="0.50551920620886137"/>
    <x v="0"/>
    <n v="40"/>
    <n v="63.225000000000001"/>
    <x v="1"/>
    <s v="USD"/>
    <n v="1301806800"/>
    <n v="1302670800"/>
    <x v="199"/>
    <d v="2011-04-13T05:00:00"/>
    <s v="Sun"/>
    <n v="10"/>
    <b v="0"/>
    <b v="0"/>
    <s v="music/jazz"/>
    <x v="1"/>
    <x v="17"/>
  </r>
  <r>
    <n v="205"/>
    <s v="Weaver-Marquez"/>
    <s v="Focused analyzing circuit"/>
    <n v="1300"/>
    <n v="5614"/>
    <n v="4.3184615384615386"/>
    <n v="2.1230434782608696"/>
    <x v="1"/>
    <n v="80"/>
    <n v="70.174999999999997"/>
    <x v="1"/>
    <s v="USD"/>
    <n v="1539752400"/>
    <n v="1540789200"/>
    <x v="200"/>
    <d v="2018-10-29T05:00:00"/>
    <s v="Wed"/>
    <n v="12"/>
    <b v="1"/>
    <b v="0"/>
    <s v="theater/plays"/>
    <x v="3"/>
    <x v="3"/>
  </r>
  <r>
    <n v="206"/>
    <s v="Austin, Baker and Kelley"/>
    <s v="Fundamental grid-enabled strategy"/>
    <n v="9000"/>
    <n v="3496"/>
    <n v="0.38844444444444443"/>
    <n v="0.43241247264770238"/>
    <x v="3"/>
    <n v="57"/>
    <n v="61.333333333333336"/>
    <x v="1"/>
    <s v="USD"/>
    <n v="1267250400"/>
    <n v="1268028000"/>
    <x v="201"/>
    <d v="2010-03-08T06:00:00"/>
    <s v="Sat"/>
    <n v="9"/>
    <b v="0"/>
    <b v="0"/>
    <s v="publishing/fiction"/>
    <x v="5"/>
    <x v="13"/>
  </r>
  <r>
    <n v="207"/>
    <s v="Carney-Anderson"/>
    <s v="Digitized 5thgeneration knowledgebase"/>
    <n v="1000"/>
    <n v="4257"/>
    <n v="4.2569999999999997"/>
    <n v="2.1230434782608696"/>
    <x v="1"/>
    <n v="43"/>
    <n v="99"/>
    <x v="1"/>
    <s v="USD"/>
    <n v="1535432400"/>
    <n v="1537160400"/>
    <x v="202"/>
    <d v="2018-09-17T05:00:00"/>
    <s v="Tue"/>
    <n v="20"/>
    <b v="0"/>
    <b v="1"/>
    <s v="music/rock"/>
    <x v="1"/>
    <x v="1"/>
  </r>
  <r>
    <n v="208"/>
    <s v="Jackson Inc"/>
    <s v="Mandatory multi-tasking encryption"/>
    <n v="196900"/>
    <n v="199110"/>
    <n v="1.0112239715591671"/>
    <n v="2.1230434782608696"/>
    <x v="1"/>
    <n v="2053"/>
    <n v="96.984900146127615"/>
    <x v="1"/>
    <s v="USD"/>
    <n v="1510207200"/>
    <n v="1512280800"/>
    <x v="203"/>
    <d v="2017-12-03T06:00:00"/>
    <s v="Thu"/>
    <n v="24"/>
    <b v="0"/>
    <b v="0"/>
    <s v="film &amp; video/documentary"/>
    <x v="4"/>
    <x v="4"/>
  </r>
  <r>
    <n v="209"/>
    <s v="Warren Ltd"/>
    <s v="Distributed system-worthy application"/>
    <n v="194500"/>
    <n v="41212"/>
    <n v="0.21188688946015424"/>
    <n v="0.49522981646937392"/>
    <x v="2"/>
    <n v="808"/>
    <n v="51.004950495049506"/>
    <x v="2"/>
    <s v="AUD"/>
    <n v="1462510800"/>
    <n v="1463115600"/>
    <x v="204"/>
    <d v="2016-05-13T05:00:00"/>
    <s v="Fri"/>
    <n v="7"/>
    <b v="0"/>
    <b v="0"/>
    <s v="film &amp; video/documentary"/>
    <x v="4"/>
    <x v="4"/>
  </r>
  <r>
    <n v="210"/>
    <s v="Schultz Inc"/>
    <s v="Synergistic tertiary time-frame"/>
    <n v="9400"/>
    <n v="6338"/>
    <n v="0.67425531914893622"/>
    <n v="0.50551920620886137"/>
    <x v="0"/>
    <n v="226"/>
    <n v="28.044247787610619"/>
    <x v="3"/>
    <s v="DKK"/>
    <n v="1488520800"/>
    <n v="1490850000"/>
    <x v="205"/>
    <d v="2017-03-30T05:00:00"/>
    <s v="Fri"/>
    <n v="27"/>
    <b v="0"/>
    <b v="0"/>
    <s v="film &amp; video/science fiction"/>
    <x v="4"/>
    <x v="22"/>
  </r>
  <r>
    <n v="211"/>
    <s v="Thompson LLC"/>
    <s v="Customer-focused impactful benchmark"/>
    <n v="104400"/>
    <n v="99100"/>
    <n v="0.9492337164750958"/>
    <n v="0.50551920620886137"/>
    <x v="0"/>
    <n v="1625"/>
    <n v="60.984615384615381"/>
    <x v="1"/>
    <s v="USD"/>
    <n v="1377579600"/>
    <n v="1379653200"/>
    <x v="206"/>
    <d v="2013-09-20T05:00:00"/>
    <s v="Tue"/>
    <n v="24"/>
    <b v="0"/>
    <b v="0"/>
    <s v="theater/plays"/>
    <x v="3"/>
    <x v="3"/>
  </r>
  <r>
    <n v="212"/>
    <s v="Johnson Inc"/>
    <s v="Profound next generation infrastructure"/>
    <n v="8100"/>
    <n v="12300"/>
    <n v="1.5185185185185186"/>
    <n v="2.1230434782608696"/>
    <x v="1"/>
    <n v="168"/>
    <n v="73.214285714285708"/>
    <x v="1"/>
    <s v="USD"/>
    <n v="1576389600"/>
    <n v="1580364000"/>
    <x v="207"/>
    <d v="2020-01-30T06:00:00"/>
    <s v="Sun"/>
    <n v="46"/>
    <b v="0"/>
    <b v="0"/>
    <s v="theater/plays"/>
    <x v="3"/>
    <x v="3"/>
  </r>
  <r>
    <n v="213"/>
    <s v="Morgan-Warren"/>
    <s v="Face-to-face encompassing info-mediaries"/>
    <n v="87900"/>
    <n v="171549"/>
    <n v="1.9516382252559727"/>
    <n v="2.1230434782608696"/>
    <x v="1"/>
    <n v="4289"/>
    <n v="39.997435299603637"/>
    <x v="1"/>
    <s v="USD"/>
    <n v="1289019600"/>
    <n v="1289714400"/>
    <x v="208"/>
    <d v="2010-11-14T06:00:00"/>
    <s v="Sat"/>
    <n v="8"/>
    <b v="0"/>
    <b v="1"/>
    <s v="music/indie rock"/>
    <x v="1"/>
    <x v="7"/>
  </r>
  <r>
    <n v="214"/>
    <s v="Sullivan Group"/>
    <s v="Open-source fresh-thinking policy"/>
    <n v="1400"/>
    <n v="14324"/>
    <n v="10.231428571428571"/>
    <n v="2.1230434782608696"/>
    <x v="1"/>
    <n v="165"/>
    <n v="86.812121212121212"/>
    <x v="1"/>
    <s v="USD"/>
    <n v="1282194000"/>
    <n v="1282712400"/>
    <x v="209"/>
    <d v="2010-08-25T05:00:00"/>
    <s v="Thu"/>
    <n v="6"/>
    <b v="0"/>
    <b v="0"/>
    <s v="music/rock"/>
    <x v="1"/>
    <x v="1"/>
  </r>
  <r>
    <n v="215"/>
    <s v="Vargas, Banks and Palmer"/>
    <s v="Extended 24/7 implementation"/>
    <n v="156800"/>
    <n v="6024"/>
    <n v="3.8418367346938778E-2"/>
    <n v="0.50551920620886137"/>
    <x v="0"/>
    <n v="143"/>
    <n v="42.125874125874127"/>
    <x v="1"/>
    <s v="USD"/>
    <n v="1550037600"/>
    <n v="1550210400"/>
    <x v="210"/>
    <d v="2019-02-15T06:00:00"/>
    <s v="Wed"/>
    <n v="2"/>
    <b v="0"/>
    <b v="0"/>
    <s v="theater/plays"/>
    <x v="3"/>
    <x v="3"/>
  </r>
  <r>
    <n v="216"/>
    <s v="Johnson, Dixon and Zimmerman"/>
    <s v="Organic dynamic algorithm"/>
    <n v="121700"/>
    <n v="188721"/>
    <n v="1.5507066557107643"/>
    <n v="2.1230434782608696"/>
    <x v="1"/>
    <n v="1815"/>
    <n v="103.97851239669421"/>
    <x v="1"/>
    <s v="USD"/>
    <n v="1321941600"/>
    <n v="1322114400"/>
    <x v="211"/>
    <d v="2011-11-24T06:00:00"/>
    <s v="Tue"/>
    <n v="2"/>
    <b v="0"/>
    <b v="0"/>
    <s v="theater/plays"/>
    <x v="3"/>
    <x v="3"/>
  </r>
  <r>
    <n v="217"/>
    <s v="Moore, Dudley and Navarro"/>
    <s v="Organic multi-tasking focus group"/>
    <n v="129400"/>
    <n v="57911"/>
    <n v="0.44753477588871715"/>
    <n v="0.50551920620886137"/>
    <x v="0"/>
    <n v="934"/>
    <n v="62.003211991434689"/>
    <x v="1"/>
    <s v="USD"/>
    <n v="1556427600"/>
    <n v="1557205200"/>
    <x v="212"/>
    <d v="2019-05-07T05:00:00"/>
    <s v="Sun"/>
    <n v="9"/>
    <b v="0"/>
    <b v="0"/>
    <s v="film &amp; video/science fiction"/>
    <x v="4"/>
    <x v="22"/>
  </r>
  <r>
    <n v="218"/>
    <s v="Price-Rodriguez"/>
    <s v="Adaptive logistical initiative"/>
    <n v="5700"/>
    <n v="12309"/>
    <n v="2.1594736842105262"/>
    <n v="2.1230434782608696"/>
    <x v="1"/>
    <n v="397"/>
    <n v="31.005037783375315"/>
    <x v="4"/>
    <s v="GBP"/>
    <n v="1320991200"/>
    <n v="1323928800"/>
    <x v="213"/>
    <d v="2011-12-15T06:00:00"/>
    <s v="Fri"/>
    <n v="34"/>
    <b v="0"/>
    <b v="1"/>
    <s v="film &amp; video/shorts"/>
    <x v="4"/>
    <x v="12"/>
  </r>
  <r>
    <n v="219"/>
    <s v="Huang-Henderson"/>
    <s v="Stand-alone mobile customer loyalty"/>
    <n v="41700"/>
    <n v="138497"/>
    <n v="3.3212709832134291"/>
    <n v="2.1230434782608696"/>
    <x v="1"/>
    <n v="1539"/>
    <n v="89.991552956465242"/>
    <x v="1"/>
    <s v="USD"/>
    <n v="1345093200"/>
    <n v="1346130000"/>
    <x v="214"/>
    <d v="2012-08-28T05:00:00"/>
    <s v="Thu"/>
    <n v="12"/>
    <b v="0"/>
    <b v="0"/>
    <s v="film &amp; video/animation"/>
    <x v="4"/>
    <x v="10"/>
  </r>
  <r>
    <n v="220"/>
    <s v="Owens-Le"/>
    <s v="Focused composite approach"/>
    <n v="7900"/>
    <n v="667"/>
    <n v="8.4430379746835441E-2"/>
    <n v="0.50551920620886137"/>
    <x v="0"/>
    <n v="17"/>
    <n v="39.235294117647058"/>
    <x v="1"/>
    <s v="USD"/>
    <n v="1309496400"/>
    <n v="1311051600"/>
    <x v="215"/>
    <d v="2011-07-19T05:00:00"/>
    <s v="Fri"/>
    <n v="18"/>
    <b v="1"/>
    <b v="0"/>
    <s v="theater/plays"/>
    <x v="3"/>
    <x v="3"/>
  </r>
  <r>
    <n v="221"/>
    <s v="Huff LLC"/>
    <s v="Face-to-face clear-thinking Local Area Network"/>
    <n v="121500"/>
    <n v="119830"/>
    <n v="0.9862551440329218"/>
    <n v="0.50551920620886137"/>
    <x v="0"/>
    <n v="2179"/>
    <n v="54.993116108306566"/>
    <x v="1"/>
    <s v="USD"/>
    <n v="1340254800"/>
    <n v="1340427600"/>
    <x v="216"/>
    <d v="2012-06-23T05:00:00"/>
    <s v="Thu"/>
    <n v="2"/>
    <b v="1"/>
    <b v="0"/>
    <s v="food/food trucks"/>
    <x v="0"/>
    <x v="0"/>
  </r>
  <r>
    <n v="222"/>
    <s v="Johnson LLC"/>
    <s v="Cross-group cohesive circuit"/>
    <n v="4800"/>
    <n v="6623"/>
    <n v="1.3797916666666667"/>
    <n v="2.1230434782608696"/>
    <x v="1"/>
    <n v="138"/>
    <n v="47.992753623188406"/>
    <x v="1"/>
    <s v="USD"/>
    <n v="1412226000"/>
    <n v="1412312400"/>
    <x v="217"/>
    <d v="2014-10-03T05:00:00"/>
    <s v="Thu"/>
    <n v="1"/>
    <b v="0"/>
    <b v="0"/>
    <s v="photography/photography books"/>
    <x v="7"/>
    <x v="14"/>
  </r>
  <r>
    <n v="223"/>
    <s v="Chavez, Garcia and Cantu"/>
    <s v="Synergistic explicit capability"/>
    <n v="87300"/>
    <n v="81897"/>
    <n v="0.93810996563573879"/>
    <n v="0.50551920620886137"/>
    <x v="0"/>
    <n v="931"/>
    <n v="87.966702470461868"/>
    <x v="1"/>
    <s v="USD"/>
    <n v="1458104400"/>
    <n v="1459314000"/>
    <x v="218"/>
    <d v="2016-03-30T05:00:00"/>
    <s v="Wed"/>
    <n v="14"/>
    <b v="0"/>
    <b v="0"/>
    <s v="theater/plays"/>
    <x v="3"/>
    <x v="3"/>
  </r>
  <r>
    <n v="224"/>
    <s v="Lester-Moore"/>
    <s v="Diverse analyzing definition"/>
    <n v="46300"/>
    <n v="186885"/>
    <n v="4.0363930885529156"/>
    <n v="2.1230434782608696"/>
    <x v="1"/>
    <n v="3594"/>
    <n v="51.999165275459099"/>
    <x v="1"/>
    <s v="USD"/>
    <n v="1411534800"/>
    <n v="1415426400"/>
    <x v="219"/>
    <d v="2014-11-08T06:00:00"/>
    <s v="Wed"/>
    <n v="45"/>
    <b v="0"/>
    <b v="0"/>
    <s v="film &amp; video/science fiction"/>
    <x v="4"/>
    <x v="22"/>
  </r>
  <r>
    <n v="225"/>
    <s v="Fox-Quinn"/>
    <s v="Enterprise-wide reciprocal success"/>
    <n v="67800"/>
    <n v="176398"/>
    <n v="2.6017404129793511"/>
    <n v="2.1230434782608696"/>
    <x v="1"/>
    <n v="5880"/>
    <n v="29.999659863945578"/>
    <x v="1"/>
    <s v="USD"/>
    <n v="1399093200"/>
    <n v="1399093200"/>
    <x v="220"/>
    <d v="2014-05-03T05:00:00"/>
    <s v="Sat"/>
    <n v="0"/>
    <b v="1"/>
    <b v="0"/>
    <s v="music/rock"/>
    <x v="1"/>
    <x v="1"/>
  </r>
  <r>
    <n v="226"/>
    <s v="Garcia Inc"/>
    <s v="Progressive neutral middleware"/>
    <n v="3000"/>
    <n v="10999"/>
    <n v="3.6663333333333332"/>
    <n v="2.1230434782608696"/>
    <x v="1"/>
    <n v="112"/>
    <n v="98.205357142857139"/>
    <x v="1"/>
    <s v="USD"/>
    <n v="1270702800"/>
    <n v="1273899600"/>
    <x v="221"/>
    <d v="2010-05-15T05:00:00"/>
    <s v="Thu"/>
    <n v="37"/>
    <b v="0"/>
    <b v="0"/>
    <s v="photography/photography books"/>
    <x v="7"/>
    <x v="14"/>
  </r>
  <r>
    <n v="227"/>
    <s v="Johnson-Lee"/>
    <s v="Intuitive exuding process improvement"/>
    <n v="60900"/>
    <n v="102751"/>
    <n v="1.687208538587849"/>
    <n v="2.1230434782608696"/>
    <x v="1"/>
    <n v="943"/>
    <n v="108.96182396606575"/>
    <x v="1"/>
    <s v="USD"/>
    <n v="1431666000"/>
    <n v="1432184400"/>
    <x v="222"/>
    <d v="2015-05-21T05:00:00"/>
    <s v="Fri"/>
    <n v="6"/>
    <b v="0"/>
    <b v="0"/>
    <s v="games/mobile games"/>
    <x v="6"/>
    <x v="20"/>
  </r>
  <r>
    <n v="228"/>
    <s v="Pineda Group"/>
    <s v="Exclusive real-time protocol"/>
    <n v="137900"/>
    <n v="165352"/>
    <n v="1.1990717911530093"/>
    <n v="2.1230434782608696"/>
    <x v="1"/>
    <n v="2468"/>
    <n v="66.998379254457049"/>
    <x v="1"/>
    <s v="USD"/>
    <n v="1472619600"/>
    <n v="1474779600"/>
    <x v="172"/>
    <d v="2016-09-25T05:00:00"/>
    <s v="Wed"/>
    <n v="25"/>
    <b v="0"/>
    <b v="0"/>
    <s v="film &amp; video/animation"/>
    <x v="4"/>
    <x v="10"/>
  </r>
  <r>
    <n v="229"/>
    <s v="Hoffman-Howard"/>
    <s v="Extended encompassing application"/>
    <n v="85600"/>
    <n v="165798"/>
    <n v="1.936892523364486"/>
    <n v="2.1230434782608696"/>
    <x v="1"/>
    <n v="2551"/>
    <n v="64.99333594668758"/>
    <x v="1"/>
    <s v="USD"/>
    <n v="1496293200"/>
    <n v="1500440400"/>
    <x v="223"/>
    <d v="2017-07-19T05:00:00"/>
    <s v="Thu"/>
    <n v="48"/>
    <b v="0"/>
    <b v="1"/>
    <s v="games/mobile games"/>
    <x v="6"/>
    <x v="20"/>
  </r>
  <r>
    <n v="230"/>
    <s v="Miranda, Hall and Mcgrath"/>
    <s v="Progressive value-added ability"/>
    <n v="2400"/>
    <n v="10084"/>
    <n v="4.2016666666666671"/>
    <n v="2.1230434782608696"/>
    <x v="1"/>
    <n v="101"/>
    <n v="99.841584158415841"/>
    <x v="1"/>
    <s v="USD"/>
    <n v="1575612000"/>
    <n v="1575612000"/>
    <x v="224"/>
    <d v="2019-12-06T06:00:00"/>
    <s v="Fri"/>
    <n v="0"/>
    <b v="0"/>
    <b v="0"/>
    <s v="games/video games"/>
    <x v="6"/>
    <x v="11"/>
  </r>
  <r>
    <n v="231"/>
    <s v="Williams, Carter and Gonzalez"/>
    <s v="Cross-platform uniform hardware"/>
    <n v="7200"/>
    <n v="5523"/>
    <n v="0.76708333333333334"/>
    <n v="0.43241247264770238"/>
    <x v="3"/>
    <n v="67"/>
    <n v="82.432835820895519"/>
    <x v="1"/>
    <s v="USD"/>
    <n v="1369112400"/>
    <n v="1374123600"/>
    <x v="225"/>
    <d v="2013-07-18T05:00:00"/>
    <s v="Tue"/>
    <n v="58"/>
    <b v="0"/>
    <b v="0"/>
    <s v="theater/plays"/>
    <x v="3"/>
    <x v="3"/>
  </r>
  <r>
    <n v="232"/>
    <s v="Davis-Rodriguez"/>
    <s v="Progressive secondary portal"/>
    <n v="3400"/>
    <n v="5823"/>
    <n v="1.7126470588235294"/>
    <n v="2.1230434782608696"/>
    <x v="1"/>
    <n v="92"/>
    <n v="63.293478260869563"/>
    <x v="1"/>
    <s v="USD"/>
    <n v="1469422800"/>
    <n v="1469509200"/>
    <x v="226"/>
    <d v="2016-07-26T05:00:00"/>
    <s v="Mon"/>
    <n v="1"/>
    <b v="0"/>
    <b v="0"/>
    <s v="theater/plays"/>
    <x v="3"/>
    <x v="3"/>
  </r>
  <r>
    <n v="233"/>
    <s v="Reid, Rivera and Perry"/>
    <s v="Multi-lateral national adapter"/>
    <n v="3800"/>
    <n v="6000"/>
    <n v="1.5789473684210527"/>
    <n v="2.1230434782608696"/>
    <x v="1"/>
    <n v="62"/>
    <n v="96.774193548387103"/>
    <x v="1"/>
    <s v="USD"/>
    <n v="1307854800"/>
    <n v="1309237200"/>
    <x v="227"/>
    <d v="2011-06-28T05:00:00"/>
    <s v="Sun"/>
    <n v="16"/>
    <b v="0"/>
    <b v="0"/>
    <s v="film &amp; video/animation"/>
    <x v="4"/>
    <x v="10"/>
  </r>
  <r>
    <n v="234"/>
    <s v="Mendoza-Parker"/>
    <s v="Enterprise-wide motivating matrices"/>
    <n v="7500"/>
    <n v="8181"/>
    <n v="1.0908"/>
    <n v="2.1230434782608696"/>
    <x v="1"/>
    <n v="149"/>
    <n v="54.906040268456373"/>
    <x v="6"/>
    <s v="EUR"/>
    <n v="1503378000"/>
    <n v="1503982800"/>
    <x v="228"/>
    <d v="2017-08-29T05:00:00"/>
    <s v="Tue"/>
    <n v="7"/>
    <b v="0"/>
    <b v="1"/>
    <s v="games/video games"/>
    <x v="6"/>
    <x v="11"/>
  </r>
  <r>
    <n v="235"/>
    <s v="Lee, Ali and Guzman"/>
    <s v="Polarized upward-trending Local Area Network"/>
    <n v="8600"/>
    <n v="3589"/>
    <n v="0.41732558139534881"/>
    <n v="0.50551920620886137"/>
    <x v="0"/>
    <n v="92"/>
    <n v="39.010869565217391"/>
    <x v="1"/>
    <s v="USD"/>
    <n v="1486965600"/>
    <n v="1487397600"/>
    <x v="229"/>
    <d v="2017-02-18T06:00:00"/>
    <s v="Mon"/>
    <n v="5"/>
    <b v="0"/>
    <b v="0"/>
    <s v="film &amp; video/animation"/>
    <x v="4"/>
    <x v="10"/>
  </r>
  <r>
    <n v="236"/>
    <s v="Gallegos-Cobb"/>
    <s v="Object-based directional function"/>
    <n v="39500"/>
    <n v="4323"/>
    <n v="0.10944303797468355"/>
    <n v="0.50551920620886137"/>
    <x v="0"/>
    <n v="57"/>
    <n v="75.84210526315789"/>
    <x v="2"/>
    <s v="AUD"/>
    <n v="1561438800"/>
    <n v="1562043600"/>
    <x v="230"/>
    <d v="2019-07-02T05:00:00"/>
    <s v="Tue"/>
    <n v="7"/>
    <b v="0"/>
    <b v="1"/>
    <s v="music/rock"/>
    <x v="1"/>
    <x v="1"/>
  </r>
  <r>
    <n v="237"/>
    <s v="Ellison PLC"/>
    <s v="Re-contextualized tangible open architecture"/>
    <n v="9300"/>
    <n v="14822"/>
    <n v="1.593763440860215"/>
    <n v="2.1230434782608696"/>
    <x v="1"/>
    <n v="329"/>
    <n v="45.051671732522799"/>
    <x v="1"/>
    <s v="USD"/>
    <n v="1398402000"/>
    <n v="1398574800"/>
    <x v="231"/>
    <d v="2014-04-27T05:00:00"/>
    <s v="Fri"/>
    <n v="2"/>
    <b v="0"/>
    <b v="0"/>
    <s v="film &amp; video/animation"/>
    <x v="4"/>
    <x v="10"/>
  </r>
  <r>
    <n v="238"/>
    <s v="Bolton, Sanchez and Carrillo"/>
    <s v="Distributed systemic adapter"/>
    <n v="2400"/>
    <n v="10138"/>
    <n v="4.2241666666666671"/>
    <n v="2.1230434782608696"/>
    <x v="1"/>
    <n v="97"/>
    <n v="104.51546391752578"/>
    <x v="3"/>
    <s v="DKK"/>
    <n v="1513231200"/>
    <n v="1515391200"/>
    <x v="232"/>
    <d v="2018-01-08T06:00:00"/>
    <s v="Thu"/>
    <n v="25"/>
    <b v="0"/>
    <b v="1"/>
    <s v="theater/plays"/>
    <x v="3"/>
    <x v="3"/>
  </r>
  <r>
    <n v="239"/>
    <s v="Mason-Sanders"/>
    <s v="Networked web-enabled instruction set"/>
    <n v="3200"/>
    <n v="3127"/>
    <n v="0.97718749999999999"/>
    <n v="0.50551920620886137"/>
    <x v="0"/>
    <n v="41"/>
    <n v="76.268292682926827"/>
    <x v="1"/>
    <s v="USD"/>
    <n v="1440824400"/>
    <n v="1441170000"/>
    <x v="233"/>
    <d v="2015-09-02T05:00:00"/>
    <s v="Sat"/>
    <n v="4"/>
    <b v="0"/>
    <b v="0"/>
    <s v="technology/wearables"/>
    <x v="2"/>
    <x v="8"/>
  </r>
  <r>
    <n v="240"/>
    <s v="Pitts-Reed"/>
    <s v="Vision-oriented dynamic service-desk"/>
    <n v="29400"/>
    <n v="123124"/>
    <n v="4.1878911564625847"/>
    <n v="2.1230434782608696"/>
    <x v="1"/>
    <n v="1784"/>
    <n v="69.015695067264573"/>
    <x v="1"/>
    <s v="USD"/>
    <n v="1281070800"/>
    <n v="1281157200"/>
    <x v="194"/>
    <d v="2010-08-07T05:00:00"/>
    <s v="Fri"/>
    <n v="1"/>
    <b v="0"/>
    <b v="0"/>
    <s v="theater/plays"/>
    <x v="3"/>
    <x v="3"/>
  </r>
  <r>
    <n v="241"/>
    <s v="Gonzalez-Martinez"/>
    <s v="Vision-oriented actuating open system"/>
    <n v="168500"/>
    <n v="171729"/>
    <n v="1.0191632047477746"/>
    <n v="2.1230434782608696"/>
    <x v="1"/>
    <n v="1684"/>
    <n v="101.97684085510689"/>
    <x v="2"/>
    <s v="AUD"/>
    <n v="1397365200"/>
    <n v="1398229200"/>
    <x v="234"/>
    <d v="2014-04-23T05:00:00"/>
    <s v="Sun"/>
    <n v="10"/>
    <b v="0"/>
    <b v="1"/>
    <s v="publishing/nonfiction"/>
    <x v="5"/>
    <x v="9"/>
  </r>
  <r>
    <n v="242"/>
    <s v="Hill, Martin and Garcia"/>
    <s v="Sharable scalable core"/>
    <n v="8400"/>
    <n v="10729"/>
    <n v="1.2772619047619047"/>
    <n v="2.1230434782608696"/>
    <x v="1"/>
    <n v="250"/>
    <n v="42.915999999999997"/>
    <x v="1"/>
    <s v="USD"/>
    <n v="1494392400"/>
    <n v="1495256400"/>
    <x v="235"/>
    <d v="2017-05-20T05:00:00"/>
    <s v="Wed"/>
    <n v="10"/>
    <b v="0"/>
    <b v="1"/>
    <s v="music/rock"/>
    <x v="1"/>
    <x v="1"/>
  </r>
  <r>
    <n v="243"/>
    <s v="Garcia PLC"/>
    <s v="Customer-focused attitude-oriented function"/>
    <n v="2300"/>
    <n v="10240"/>
    <n v="4.4521739130434783"/>
    <n v="2.1230434782608696"/>
    <x v="1"/>
    <n v="238"/>
    <n v="43.025210084033617"/>
    <x v="1"/>
    <s v="USD"/>
    <n v="1520143200"/>
    <n v="1520402400"/>
    <x v="236"/>
    <d v="2018-03-07T06:00:00"/>
    <s v="Sun"/>
    <n v="3"/>
    <b v="0"/>
    <b v="0"/>
    <s v="theater/plays"/>
    <x v="3"/>
    <x v="3"/>
  </r>
  <r>
    <n v="244"/>
    <s v="Herring-Bailey"/>
    <s v="Reverse-engineered system-worthy extranet"/>
    <n v="700"/>
    <n v="3988"/>
    <n v="5.6971428571428575"/>
    <n v="2.1230434782608696"/>
    <x v="1"/>
    <n v="53"/>
    <n v="75.245283018867923"/>
    <x v="1"/>
    <s v="USD"/>
    <n v="1405314000"/>
    <n v="1409806800"/>
    <x v="237"/>
    <d v="2014-09-04T05:00:00"/>
    <s v="Mon"/>
    <n v="52"/>
    <b v="0"/>
    <b v="0"/>
    <s v="theater/plays"/>
    <x v="3"/>
    <x v="3"/>
  </r>
  <r>
    <n v="245"/>
    <s v="Russell-Gardner"/>
    <s v="Re-engineered systematic monitoring"/>
    <n v="2900"/>
    <n v="14771"/>
    <n v="5.0934482758620687"/>
    <n v="2.1230434782608696"/>
    <x v="1"/>
    <n v="214"/>
    <n v="69.023364485981304"/>
    <x v="1"/>
    <s v="USD"/>
    <n v="1396846800"/>
    <n v="1396933200"/>
    <x v="238"/>
    <d v="2014-04-08T05:00:00"/>
    <s v="Mon"/>
    <n v="1"/>
    <b v="0"/>
    <b v="0"/>
    <s v="theater/plays"/>
    <x v="3"/>
    <x v="3"/>
  </r>
  <r>
    <n v="246"/>
    <s v="Walters-Carter"/>
    <s v="Seamless value-added standardization"/>
    <n v="4500"/>
    <n v="14649"/>
    <n v="3.2553333333333332"/>
    <n v="2.1230434782608696"/>
    <x v="1"/>
    <n v="222"/>
    <n v="65.986486486486484"/>
    <x v="1"/>
    <s v="USD"/>
    <n v="1375678800"/>
    <n v="1376024400"/>
    <x v="239"/>
    <d v="2013-08-09T05:00:00"/>
    <s v="Mon"/>
    <n v="4"/>
    <b v="0"/>
    <b v="0"/>
    <s v="technology/web"/>
    <x v="2"/>
    <x v="2"/>
  </r>
  <r>
    <n v="247"/>
    <s v="Johnson, Patterson and Montoya"/>
    <s v="Triple-buffered fresh-thinking frame"/>
    <n v="19800"/>
    <n v="184658"/>
    <n v="9.3261616161616168"/>
    <n v="2.1230434782608696"/>
    <x v="1"/>
    <n v="1884"/>
    <n v="98.013800424628457"/>
    <x v="1"/>
    <s v="USD"/>
    <n v="1482386400"/>
    <n v="1483682400"/>
    <x v="240"/>
    <d v="2017-01-06T06:00:00"/>
    <s v="Thu"/>
    <n v="15"/>
    <b v="0"/>
    <b v="1"/>
    <s v="publishing/fiction"/>
    <x v="5"/>
    <x v="13"/>
  </r>
  <r>
    <n v="248"/>
    <s v="Roberts and Sons"/>
    <s v="Streamlined holistic knowledgebase"/>
    <n v="6200"/>
    <n v="13103"/>
    <n v="2.1133870967741935"/>
    <n v="2.1230434782608696"/>
    <x v="1"/>
    <n v="218"/>
    <n v="60.105504587155963"/>
    <x v="2"/>
    <s v="AUD"/>
    <n v="1420005600"/>
    <n v="1420437600"/>
    <x v="241"/>
    <d v="2015-01-05T06:00:00"/>
    <s v="Wed"/>
    <n v="5"/>
    <b v="0"/>
    <b v="0"/>
    <s v="games/mobile games"/>
    <x v="6"/>
    <x v="20"/>
  </r>
  <r>
    <n v="249"/>
    <s v="Avila-Nelson"/>
    <s v="Up-sized intermediate website"/>
    <n v="61500"/>
    <n v="168095"/>
    <n v="2.7332520325203253"/>
    <n v="2.1230434782608696"/>
    <x v="1"/>
    <n v="6465"/>
    <n v="26.000773395204948"/>
    <x v="1"/>
    <s v="USD"/>
    <n v="1420178400"/>
    <n v="1420783200"/>
    <x v="242"/>
    <d v="2015-01-09T06:00:00"/>
    <s v="Fri"/>
    <n v="7"/>
    <b v="0"/>
    <b v="0"/>
    <s v="publishing/translations"/>
    <x v="5"/>
    <x v="18"/>
  </r>
  <r>
    <n v="250"/>
    <s v="Robbins and Sons"/>
    <s v="Future-proofed directional synergy"/>
    <n v="100"/>
    <n v="3"/>
    <n v="0.03"/>
    <n v="0.50551920620886137"/>
    <x v="0"/>
    <n v="1"/>
    <n v="3"/>
    <x v="1"/>
    <s v="USD"/>
    <n v="1264399200"/>
    <n v="1267423200"/>
    <x v="67"/>
    <d v="2010-03-01T06:00:00"/>
    <s v="Mon"/>
    <n v="35"/>
    <b v="0"/>
    <b v="0"/>
    <s v="music/rock"/>
    <x v="1"/>
    <x v="1"/>
  </r>
  <r>
    <n v="251"/>
    <s v="Singleton Ltd"/>
    <s v="Enhanced user-facing function"/>
    <n v="7100"/>
    <n v="3840"/>
    <n v="0.54084507042253516"/>
    <n v="0.50551920620886137"/>
    <x v="0"/>
    <n v="101"/>
    <n v="38.019801980198018"/>
    <x v="1"/>
    <s v="USD"/>
    <n v="1355032800"/>
    <n v="1355205600"/>
    <x v="243"/>
    <d v="2012-12-11T06:00:00"/>
    <s v="Sun"/>
    <n v="2"/>
    <b v="0"/>
    <b v="0"/>
    <s v="theater/plays"/>
    <x v="3"/>
    <x v="3"/>
  </r>
  <r>
    <n v="252"/>
    <s v="Perez PLC"/>
    <s v="Operative bandwidth-monitored interface"/>
    <n v="1000"/>
    <n v="6263"/>
    <n v="6.2629999999999999"/>
    <n v="2.1230434782608696"/>
    <x v="1"/>
    <n v="59"/>
    <n v="106.15254237288136"/>
    <x v="1"/>
    <s v="USD"/>
    <n v="1382677200"/>
    <n v="1383109200"/>
    <x v="244"/>
    <d v="2013-10-30T05:00:00"/>
    <s v="Fri"/>
    <n v="5"/>
    <b v="0"/>
    <b v="0"/>
    <s v="theater/plays"/>
    <x v="3"/>
    <x v="3"/>
  </r>
  <r>
    <n v="253"/>
    <s v="Rogers, Jacobs and Jackson"/>
    <s v="Upgradable multi-state instruction set"/>
    <n v="121500"/>
    <n v="108161"/>
    <n v="0.8902139917695473"/>
    <n v="0.50551920620886137"/>
    <x v="0"/>
    <n v="1335"/>
    <n v="81.019475655430711"/>
    <x v="0"/>
    <s v="CAD"/>
    <n v="1302238800"/>
    <n v="1303275600"/>
    <x v="245"/>
    <d v="2011-04-20T05:00:00"/>
    <s v="Fri"/>
    <n v="12"/>
    <b v="0"/>
    <b v="0"/>
    <s v="film &amp; video/drama"/>
    <x v="4"/>
    <x v="6"/>
  </r>
  <r>
    <n v="254"/>
    <s v="Barry Group"/>
    <s v="De-engineered static Local Area Network"/>
    <n v="4600"/>
    <n v="8505"/>
    <n v="1.8489130434782608"/>
    <n v="2.1230434782608696"/>
    <x v="1"/>
    <n v="88"/>
    <n v="96.647727272727266"/>
    <x v="1"/>
    <s v="USD"/>
    <n v="1487656800"/>
    <n v="1487829600"/>
    <x v="246"/>
    <d v="2017-02-23T06:00:00"/>
    <s v="Tue"/>
    <n v="2"/>
    <b v="0"/>
    <b v="0"/>
    <s v="publishing/nonfiction"/>
    <x v="5"/>
    <x v="9"/>
  </r>
  <r>
    <n v="255"/>
    <s v="Rosales, Branch and Harmon"/>
    <s v="Upgradable grid-enabled superstructure"/>
    <n v="80500"/>
    <n v="96735"/>
    <n v="1.2016770186335404"/>
    <n v="2.1230434782608696"/>
    <x v="1"/>
    <n v="1697"/>
    <n v="57.003535651149086"/>
    <x v="1"/>
    <s v="USD"/>
    <n v="1297836000"/>
    <n v="1298268000"/>
    <x v="247"/>
    <d v="2011-02-21T06:00:00"/>
    <s v="Wed"/>
    <n v="5"/>
    <b v="0"/>
    <b v="1"/>
    <s v="music/rock"/>
    <x v="1"/>
    <x v="1"/>
  </r>
  <r>
    <n v="256"/>
    <s v="Smith-Reid"/>
    <s v="Optimized actuating toolset"/>
    <n v="4100"/>
    <n v="959"/>
    <n v="0.23390243902439026"/>
    <n v="0.50551920620886137"/>
    <x v="0"/>
    <n v="15"/>
    <n v="63.93333333333333"/>
    <x v="4"/>
    <s v="GBP"/>
    <n v="1453615200"/>
    <n v="1456812000"/>
    <x v="248"/>
    <d v="2016-03-01T06:00:00"/>
    <s v="Sun"/>
    <n v="37"/>
    <b v="0"/>
    <b v="0"/>
    <s v="music/rock"/>
    <x v="1"/>
    <x v="1"/>
  </r>
  <r>
    <n v="257"/>
    <s v="Williams Inc"/>
    <s v="Decentralized exuding strategy"/>
    <n v="5700"/>
    <n v="8322"/>
    <n v="1.46"/>
    <n v="2.1230434782608696"/>
    <x v="1"/>
    <n v="92"/>
    <n v="90.456521739130437"/>
    <x v="1"/>
    <s v="USD"/>
    <n v="1362463200"/>
    <n v="1363669200"/>
    <x v="249"/>
    <d v="2013-03-19T05:00:00"/>
    <s v="Tue"/>
    <n v="14"/>
    <b v="0"/>
    <b v="0"/>
    <s v="theater/plays"/>
    <x v="3"/>
    <x v="3"/>
  </r>
  <r>
    <n v="258"/>
    <s v="Duncan, Mcdonald and Miller"/>
    <s v="Assimilated coherent hardware"/>
    <n v="5000"/>
    <n v="13424"/>
    <n v="2.6848000000000001"/>
    <n v="2.1230434782608696"/>
    <x v="1"/>
    <n v="186"/>
    <n v="72.172043010752688"/>
    <x v="1"/>
    <s v="USD"/>
    <n v="1481176800"/>
    <n v="1482904800"/>
    <x v="250"/>
    <d v="2016-12-28T06:00:00"/>
    <s v="Thu"/>
    <n v="20"/>
    <b v="0"/>
    <b v="1"/>
    <s v="theater/plays"/>
    <x v="3"/>
    <x v="3"/>
  </r>
  <r>
    <n v="259"/>
    <s v="Watkins Ltd"/>
    <s v="Multi-channeled responsive implementation"/>
    <n v="1800"/>
    <n v="10755"/>
    <n v="5.9749999999999996"/>
    <n v="2.1230434782608696"/>
    <x v="1"/>
    <n v="138"/>
    <n v="77.934782608695656"/>
    <x v="1"/>
    <s v="USD"/>
    <n v="1354946400"/>
    <n v="1356588000"/>
    <x v="251"/>
    <d v="2012-12-27T06:00:00"/>
    <s v="Sat"/>
    <n v="19"/>
    <b v="1"/>
    <b v="0"/>
    <s v="photography/photography books"/>
    <x v="7"/>
    <x v="14"/>
  </r>
  <r>
    <n v="260"/>
    <s v="Allen-Jones"/>
    <s v="Centralized modular initiative"/>
    <n v="6300"/>
    <n v="9935"/>
    <n v="1.5769841269841269"/>
    <n v="2.1230434782608696"/>
    <x v="1"/>
    <n v="261"/>
    <n v="38.065134099616856"/>
    <x v="1"/>
    <s v="USD"/>
    <n v="1348808400"/>
    <n v="1349845200"/>
    <x v="136"/>
    <d v="2012-10-10T05:00:00"/>
    <s v="Fri"/>
    <n v="12"/>
    <b v="0"/>
    <b v="0"/>
    <s v="music/rock"/>
    <x v="1"/>
    <x v="1"/>
  </r>
  <r>
    <n v="261"/>
    <s v="Mason-Smith"/>
    <s v="Reverse-engineered cohesive migration"/>
    <n v="84300"/>
    <n v="26303"/>
    <n v="0.31201660735468567"/>
    <n v="0.50551920620886137"/>
    <x v="0"/>
    <n v="454"/>
    <n v="57.936123348017624"/>
    <x v="1"/>
    <s v="USD"/>
    <n v="1282712400"/>
    <n v="1283058000"/>
    <x v="252"/>
    <d v="2010-08-29T05:00:00"/>
    <s v="Wed"/>
    <n v="4"/>
    <b v="0"/>
    <b v="1"/>
    <s v="music/rock"/>
    <x v="1"/>
    <x v="1"/>
  </r>
  <r>
    <n v="262"/>
    <s v="Lloyd, Kennedy and Davis"/>
    <s v="Compatible multimedia hub"/>
    <n v="1700"/>
    <n v="5328"/>
    <n v="3.1341176470588237"/>
    <n v="2.1230434782608696"/>
    <x v="1"/>
    <n v="107"/>
    <n v="49.794392523364486"/>
    <x v="1"/>
    <s v="USD"/>
    <n v="1301979600"/>
    <n v="1304226000"/>
    <x v="253"/>
    <d v="2011-05-01T05:00:00"/>
    <s v="Tue"/>
    <n v="26"/>
    <b v="0"/>
    <b v="1"/>
    <s v="music/indie rock"/>
    <x v="1"/>
    <x v="7"/>
  </r>
  <r>
    <n v="263"/>
    <s v="Walker Ltd"/>
    <s v="Organic eco-centric success"/>
    <n v="2900"/>
    <n v="10756"/>
    <n v="3.7089655172413791"/>
    <n v="2.1230434782608696"/>
    <x v="1"/>
    <n v="199"/>
    <n v="54.050251256281406"/>
    <x v="1"/>
    <s v="USD"/>
    <n v="1263016800"/>
    <n v="1263016800"/>
    <x v="254"/>
    <d v="2010-01-09T06:00:00"/>
    <s v="Sat"/>
    <n v="0"/>
    <b v="0"/>
    <b v="0"/>
    <s v="photography/photography books"/>
    <x v="7"/>
    <x v="14"/>
  </r>
  <r>
    <n v="264"/>
    <s v="Gordon PLC"/>
    <s v="Virtual reciprocal policy"/>
    <n v="45600"/>
    <n v="165375"/>
    <n v="3.6266447368421053"/>
    <n v="2.1230434782608696"/>
    <x v="1"/>
    <n v="5512"/>
    <n v="30.002721335268504"/>
    <x v="1"/>
    <s v="USD"/>
    <n v="1360648800"/>
    <n v="1362031200"/>
    <x v="255"/>
    <d v="2013-02-28T06:00:00"/>
    <s v="Tue"/>
    <n v="16"/>
    <b v="0"/>
    <b v="0"/>
    <s v="theater/plays"/>
    <x v="3"/>
    <x v="3"/>
  </r>
  <r>
    <n v="265"/>
    <s v="Lee and Sons"/>
    <s v="Persevering interactive emulation"/>
    <n v="4900"/>
    <n v="6031"/>
    <n v="1.2308163265306122"/>
    <n v="2.1230434782608696"/>
    <x v="1"/>
    <n v="86"/>
    <n v="70.127906976744185"/>
    <x v="1"/>
    <s v="USD"/>
    <n v="1451800800"/>
    <n v="1455602400"/>
    <x v="256"/>
    <d v="2016-02-16T06:00:00"/>
    <s v="Sun"/>
    <n v="44"/>
    <b v="0"/>
    <b v="0"/>
    <s v="theater/plays"/>
    <x v="3"/>
    <x v="3"/>
  </r>
  <r>
    <n v="266"/>
    <s v="Cole LLC"/>
    <s v="Proactive responsive emulation"/>
    <n v="111900"/>
    <n v="85902"/>
    <n v="0.76766756032171579"/>
    <n v="0.50551920620886137"/>
    <x v="0"/>
    <n v="3182"/>
    <n v="26.996228786926462"/>
    <x v="6"/>
    <s v="EUR"/>
    <n v="1415340000"/>
    <n v="1418191200"/>
    <x v="257"/>
    <d v="2014-12-10T06:00:00"/>
    <s v="Fri"/>
    <n v="33"/>
    <b v="0"/>
    <b v="1"/>
    <s v="music/jazz"/>
    <x v="1"/>
    <x v="17"/>
  </r>
  <r>
    <n v="267"/>
    <s v="Acosta PLC"/>
    <s v="Extended eco-centric function"/>
    <n v="61600"/>
    <n v="143910"/>
    <n v="2.3362012987012988"/>
    <n v="2.1230434782608696"/>
    <x v="1"/>
    <n v="2768"/>
    <n v="51.990606936416185"/>
    <x v="2"/>
    <s v="AUD"/>
    <n v="1351054800"/>
    <n v="1352440800"/>
    <x v="258"/>
    <d v="2012-11-09T06:00:00"/>
    <s v="Wed"/>
    <n v="16"/>
    <b v="0"/>
    <b v="0"/>
    <s v="theater/plays"/>
    <x v="3"/>
    <x v="3"/>
  </r>
  <r>
    <n v="268"/>
    <s v="Brown-Mckee"/>
    <s v="Networked optimal productivity"/>
    <n v="1500"/>
    <n v="2708"/>
    <n v="1.8053333333333332"/>
    <n v="2.1230434782608696"/>
    <x v="1"/>
    <n v="48"/>
    <n v="56.416666666666664"/>
    <x v="1"/>
    <s v="USD"/>
    <n v="1349326800"/>
    <n v="1353304800"/>
    <x v="259"/>
    <d v="2012-11-19T06:00:00"/>
    <s v="Thu"/>
    <n v="46"/>
    <b v="0"/>
    <b v="0"/>
    <s v="film &amp; video/documentary"/>
    <x v="4"/>
    <x v="4"/>
  </r>
  <r>
    <n v="269"/>
    <s v="Miles and Sons"/>
    <s v="Persistent attitude-oriented approach"/>
    <n v="3500"/>
    <n v="8842"/>
    <n v="2.5262857142857142"/>
    <n v="2.1230434782608696"/>
    <x v="1"/>
    <n v="87"/>
    <n v="101.63218390804597"/>
    <x v="1"/>
    <s v="USD"/>
    <n v="1548914400"/>
    <n v="1550728800"/>
    <x v="260"/>
    <d v="2019-02-21T06:00:00"/>
    <s v="Thu"/>
    <n v="21"/>
    <b v="0"/>
    <b v="0"/>
    <s v="film &amp; video/television"/>
    <x v="4"/>
    <x v="19"/>
  </r>
  <r>
    <n v="270"/>
    <s v="Sawyer, Horton and Williams"/>
    <s v="Triple-buffered 4thgeneration toolset"/>
    <n v="173900"/>
    <n v="47260"/>
    <n v="0.27176538240368026"/>
    <n v="0.43241247264770238"/>
    <x v="3"/>
    <n v="1890"/>
    <n v="25.005291005291006"/>
    <x v="1"/>
    <s v="USD"/>
    <n v="1291269600"/>
    <n v="1291442400"/>
    <x v="261"/>
    <d v="2010-12-04T06:00:00"/>
    <s v="Thu"/>
    <n v="2"/>
    <b v="0"/>
    <b v="0"/>
    <s v="games/video games"/>
    <x v="6"/>
    <x v="11"/>
  </r>
  <r>
    <n v="271"/>
    <s v="Foley-Cox"/>
    <s v="Progressive zero administration leverage"/>
    <n v="153700"/>
    <n v="1953"/>
    <n v="1.2706571242680547E-2"/>
    <n v="0.49522981646937392"/>
    <x v="2"/>
    <n v="61"/>
    <n v="32.016393442622949"/>
    <x v="1"/>
    <s v="USD"/>
    <n v="1449468000"/>
    <n v="1452146400"/>
    <x v="262"/>
    <d v="2016-01-07T06:00:00"/>
    <s v="Mon"/>
    <n v="31"/>
    <b v="0"/>
    <b v="0"/>
    <s v="photography/photography books"/>
    <x v="7"/>
    <x v="14"/>
  </r>
  <r>
    <n v="272"/>
    <s v="Horton, Morrison and Clark"/>
    <s v="Networked radical neural-net"/>
    <n v="51100"/>
    <n v="155349"/>
    <n v="3.0400978473581213"/>
    <n v="2.1230434782608696"/>
    <x v="1"/>
    <n v="1894"/>
    <n v="82.021647307286173"/>
    <x v="1"/>
    <s v="USD"/>
    <n v="1562734800"/>
    <n v="1564894800"/>
    <x v="263"/>
    <d v="2019-08-04T05:00:00"/>
    <s v="Wed"/>
    <n v="25"/>
    <b v="0"/>
    <b v="1"/>
    <s v="theater/plays"/>
    <x v="3"/>
    <x v="3"/>
  </r>
  <r>
    <n v="273"/>
    <s v="Thomas and Sons"/>
    <s v="Re-engineered heuristic forecast"/>
    <n v="7800"/>
    <n v="10704"/>
    <n v="1.3723076923076922"/>
    <n v="2.1230434782608696"/>
    <x v="1"/>
    <n v="282"/>
    <n v="37.957446808510639"/>
    <x v="0"/>
    <s v="CAD"/>
    <n v="1505624400"/>
    <n v="1505883600"/>
    <x v="264"/>
    <d v="2017-09-20T05:00:00"/>
    <s v="Sun"/>
    <n v="3"/>
    <b v="0"/>
    <b v="0"/>
    <s v="theater/plays"/>
    <x v="3"/>
    <x v="3"/>
  </r>
  <r>
    <n v="274"/>
    <s v="Morgan-Jenkins"/>
    <s v="Fully-configurable background algorithm"/>
    <n v="2400"/>
    <n v="773"/>
    <n v="0.32208333333333333"/>
    <n v="0.50551920620886137"/>
    <x v="0"/>
    <n v="15"/>
    <n v="51.533333333333331"/>
    <x v="1"/>
    <s v="USD"/>
    <n v="1509948000"/>
    <n v="1510380000"/>
    <x v="265"/>
    <d v="2017-11-11T06:00:00"/>
    <s v="Mon"/>
    <n v="5"/>
    <b v="0"/>
    <b v="0"/>
    <s v="theater/plays"/>
    <x v="3"/>
    <x v="3"/>
  </r>
  <r>
    <n v="275"/>
    <s v="Ward, Sanchez and Kemp"/>
    <s v="Stand-alone discrete Graphical User Interface"/>
    <n v="3900"/>
    <n v="9419"/>
    <n v="2.4151282051282053"/>
    <n v="2.1230434782608696"/>
    <x v="1"/>
    <n v="116"/>
    <n v="81.198275862068968"/>
    <x v="1"/>
    <s v="USD"/>
    <n v="1554526800"/>
    <n v="1555218000"/>
    <x v="266"/>
    <d v="2019-04-14T05:00:00"/>
    <s v="Sat"/>
    <n v="8"/>
    <b v="0"/>
    <b v="0"/>
    <s v="publishing/translations"/>
    <x v="5"/>
    <x v="18"/>
  </r>
  <r>
    <n v="276"/>
    <s v="Fields Ltd"/>
    <s v="Front-line foreground project"/>
    <n v="5500"/>
    <n v="5324"/>
    <n v="0.96799999999999997"/>
    <n v="0.50551920620886137"/>
    <x v="0"/>
    <n v="133"/>
    <n v="40.030075187969928"/>
    <x v="1"/>
    <s v="USD"/>
    <n v="1334811600"/>
    <n v="1335243600"/>
    <x v="267"/>
    <d v="2012-04-24T05:00:00"/>
    <s v="Thu"/>
    <n v="5"/>
    <b v="0"/>
    <b v="1"/>
    <s v="games/video games"/>
    <x v="6"/>
    <x v="11"/>
  </r>
  <r>
    <n v="277"/>
    <s v="Ramos-Mitchell"/>
    <s v="Persevering system-worthy info-mediaries"/>
    <n v="700"/>
    <n v="7465"/>
    <n v="10.664285714285715"/>
    <n v="2.1230434782608696"/>
    <x v="1"/>
    <n v="83"/>
    <n v="89.939759036144579"/>
    <x v="1"/>
    <s v="USD"/>
    <n v="1279515600"/>
    <n v="1279688400"/>
    <x v="268"/>
    <d v="2010-07-21T05:00:00"/>
    <s v="Mon"/>
    <n v="2"/>
    <b v="0"/>
    <b v="0"/>
    <s v="theater/plays"/>
    <x v="3"/>
    <x v="3"/>
  </r>
  <r>
    <n v="278"/>
    <s v="Higgins, Davis and Salazar"/>
    <s v="Distributed multi-tasking strategy"/>
    <n v="2700"/>
    <n v="8799"/>
    <n v="3.2588888888888889"/>
    <n v="2.1230434782608696"/>
    <x v="1"/>
    <n v="91"/>
    <n v="96.692307692307693"/>
    <x v="1"/>
    <s v="USD"/>
    <n v="1353909600"/>
    <n v="1356069600"/>
    <x v="269"/>
    <d v="2012-12-21T06:00:00"/>
    <s v="Mon"/>
    <n v="25"/>
    <b v="0"/>
    <b v="0"/>
    <s v="technology/web"/>
    <x v="2"/>
    <x v="2"/>
  </r>
  <r>
    <n v="279"/>
    <s v="Smith-Jenkins"/>
    <s v="Vision-oriented methodical application"/>
    <n v="8000"/>
    <n v="13656"/>
    <n v="1.7070000000000001"/>
    <n v="2.1230434782608696"/>
    <x v="1"/>
    <n v="546"/>
    <n v="25.010989010989011"/>
    <x v="1"/>
    <s v="USD"/>
    <n v="1535950800"/>
    <n v="1536210000"/>
    <x v="270"/>
    <d v="2018-09-06T05:00:00"/>
    <s v="Mon"/>
    <n v="3"/>
    <b v="0"/>
    <b v="0"/>
    <s v="theater/plays"/>
    <x v="3"/>
    <x v="3"/>
  </r>
  <r>
    <n v="280"/>
    <s v="Braun PLC"/>
    <s v="Function-based high-level infrastructure"/>
    <n v="2500"/>
    <n v="14536"/>
    <n v="5.8144"/>
    <n v="2.1230434782608696"/>
    <x v="1"/>
    <n v="393"/>
    <n v="36.987277353689571"/>
    <x v="1"/>
    <s v="USD"/>
    <n v="1511244000"/>
    <n v="1511762400"/>
    <x v="271"/>
    <d v="2017-11-27T06:00:00"/>
    <s v="Tue"/>
    <n v="6"/>
    <b v="0"/>
    <b v="0"/>
    <s v="film &amp; video/animation"/>
    <x v="4"/>
    <x v="10"/>
  </r>
  <r>
    <n v="281"/>
    <s v="Drake PLC"/>
    <s v="Profound object-oriented paradigm"/>
    <n v="164500"/>
    <n v="150552"/>
    <n v="0.91520972644376897"/>
    <n v="0.50551920620886137"/>
    <x v="0"/>
    <n v="2062"/>
    <n v="73.012609117361791"/>
    <x v="1"/>
    <s v="USD"/>
    <n v="1331445600"/>
    <n v="1333256400"/>
    <x v="272"/>
    <d v="2012-04-01T05:00:00"/>
    <s v="Sun"/>
    <n v="21"/>
    <b v="0"/>
    <b v="1"/>
    <s v="theater/plays"/>
    <x v="3"/>
    <x v="3"/>
  </r>
  <r>
    <n v="282"/>
    <s v="Ross, Kelly and Brown"/>
    <s v="Virtual contextually-based circuit"/>
    <n v="8400"/>
    <n v="9076"/>
    <n v="1.0804761904761904"/>
    <n v="2.1230434782608696"/>
    <x v="1"/>
    <n v="133"/>
    <n v="68.240601503759393"/>
    <x v="1"/>
    <s v="USD"/>
    <n v="1480226400"/>
    <n v="1480744800"/>
    <x v="73"/>
    <d v="2016-12-03T06:00:00"/>
    <s v="Sun"/>
    <n v="6"/>
    <b v="0"/>
    <b v="1"/>
    <s v="film &amp; video/television"/>
    <x v="4"/>
    <x v="19"/>
  </r>
  <r>
    <n v="283"/>
    <s v="Lucas-Mullins"/>
    <s v="Business-focused dynamic instruction set"/>
    <n v="8100"/>
    <n v="1517"/>
    <n v="0.18728395061728395"/>
    <n v="0.50551920620886137"/>
    <x v="0"/>
    <n v="29"/>
    <n v="52.310344827586206"/>
    <x v="3"/>
    <s v="DKK"/>
    <n v="1464584400"/>
    <n v="1465016400"/>
    <x v="273"/>
    <d v="2016-06-04T05:00:00"/>
    <s v="Mon"/>
    <n v="5"/>
    <b v="0"/>
    <b v="0"/>
    <s v="music/rock"/>
    <x v="1"/>
    <x v="1"/>
  </r>
  <r>
    <n v="284"/>
    <s v="Tran LLC"/>
    <s v="Ameliorated fresh-thinking protocol"/>
    <n v="9800"/>
    <n v="8153"/>
    <n v="0.83193877551020412"/>
    <n v="0.50551920620886137"/>
    <x v="0"/>
    <n v="132"/>
    <n v="61.765151515151516"/>
    <x v="1"/>
    <s v="USD"/>
    <n v="1335848400"/>
    <n v="1336280400"/>
    <x v="274"/>
    <d v="2012-05-06T05:00:00"/>
    <s v="Tue"/>
    <n v="5"/>
    <b v="0"/>
    <b v="0"/>
    <s v="technology/web"/>
    <x v="2"/>
    <x v="2"/>
  </r>
  <r>
    <n v="285"/>
    <s v="Dawson, Brady and Gilbert"/>
    <s v="Front-line optimizing emulation"/>
    <n v="900"/>
    <n v="6357"/>
    <n v="7.0633333333333335"/>
    <n v="2.1230434782608696"/>
    <x v="1"/>
    <n v="254"/>
    <n v="25.027559055118111"/>
    <x v="1"/>
    <s v="USD"/>
    <n v="1473483600"/>
    <n v="1476766800"/>
    <x v="275"/>
    <d v="2016-10-18T05:00:00"/>
    <s v="Sat"/>
    <n v="38"/>
    <b v="0"/>
    <b v="0"/>
    <s v="theater/plays"/>
    <x v="3"/>
    <x v="3"/>
  </r>
  <r>
    <n v="286"/>
    <s v="Obrien-Aguirre"/>
    <s v="Devolved uniform complexity"/>
    <n v="112100"/>
    <n v="19557"/>
    <n v="0.17446030330062445"/>
    <n v="0.43241247264770238"/>
    <x v="3"/>
    <n v="184"/>
    <n v="106.28804347826087"/>
    <x v="1"/>
    <s v="USD"/>
    <n v="1479880800"/>
    <n v="1480485600"/>
    <x v="276"/>
    <d v="2016-11-30T06:00:00"/>
    <s v="Wed"/>
    <n v="7"/>
    <b v="0"/>
    <b v="0"/>
    <s v="theater/plays"/>
    <x v="3"/>
    <x v="3"/>
  </r>
  <r>
    <n v="287"/>
    <s v="Ferguson PLC"/>
    <s v="Public-key intangible superstructure"/>
    <n v="6300"/>
    <n v="13213"/>
    <n v="2.0973015873015872"/>
    <n v="2.1230434782608696"/>
    <x v="1"/>
    <n v="176"/>
    <n v="75.07386363636364"/>
    <x v="1"/>
    <s v="USD"/>
    <n v="1430197200"/>
    <n v="1430197200"/>
    <x v="277"/>
    <d v="2015-04-28T05:00:00"/>
    <s v="Tue"/>
    <n v="0"/>
    <b v="0"/>
    <b v="0"/>
    <s v="music/electric music"/>
    <x v="1"/>
    <x v="5"/>
  </r>
  <r>
    <n v="288"/>
    <s v="Garcia Ltd"/>
    <s v="Secured global success"/>
    <n v="5600"/>
    <n v="5476"/>
    <n v="0.97785714285714287"/>
    <n v="0.50551920620886137"/>
    <x v="0"/>
    <n v="137"/>
    <n v="39.970802919708028"/>
    <x v="3"/>
    <s v="DKK"/>
    <n v="1331701200"/>
    <n v="1331787600"/>
    <x v="278"/>
    <d v="2012-03-15T05:00:00"/>
    <s v="Wed"/>
    <n v="1"/>
    <b v="0"/>
    <b v="1"/>
    <s v="music/metal"/>
    <x v="1"/>
    <x v="16"/>
  </r>
  <r>
    <n v="289"/>
    <s v="Smith, Love and Smith"/>
    <s v="Grass-roots mission-critical capability"/>
    <n v="800"/>
    <n v="13474"/>
    <n v="16.842500000000001"/>
    <n v="2.1230434782608696"/>
    <x v="1"/>
    <n v="337"/>
    <n v="39.982195845697326"/>
    <x v="0"/>
    <s v="CAD"/>
    <n v="1438578000"/>
    <n v="1438837200"/>
    <x v="279"/>
    <d v="2015-08-06T05:00:00"/>
    <s v="Mon"/>
    <n v="3"/>
    <b v="0"/>
    <b v="0"/>
    <s v="theater/plays"/>
    <x v="3"/>
    <x v="3"/>
  </r>
  <r>
    <n v="290"/>
    <s v="Wilson, Hall and Osborne"/>
    <s v="Advanced global data-warehouse"/>
    <n v="168600"/>
    <n v="91722"/>
    <n v="0.54402135231316728"/>
    <n v="0.50551920620886137"/>
    <x v="0"/>
    <n v="908"/>
    <n v="101.01541850220265"/>
    <x v="1"/>
    <s v="USD"/>
    <n v="1368162000"/>
    <n v="1370926800"/>
    <x v="280"/>
    <d v="2013-06-11T05:00:00"/>
    <s v="Fri"/>
    <n v="32"/>
    <b v="0"/>
    <b v="1"/>
    <s v="film &amp; video/documentary"/>
    <x v="4"/>
    <x v="4"/>
  </r>
  <r>
    <n v="291"/>
    <s v="Bell, Grimes and Kerr"/>
    <s v="Self-enabling uniform complexity"/>
    <n v="1800"/>
    <n v="8219"/>
    <n v="4.5661111111111108"/>
    <n v="2.1230434782608696"/>
    <x v="1"/>
    <n v="107"/>
    <n v="76.813084112149539"/>
    <x v="1"/>
    <s v="USD"/>
    <n v="1318654800"/>
    <n v="1319000400"/>
    <x v="281"/>
    <d v="2011-10-19T05:00:00"/>
    <s v="Sat"/>
    <n v="4"/>
    <b v="1"/>
    <b v="0"/>
    <s v="technology/web"/>
    <x v="2"/>
    <x v="2"/>
  </r>
  <r>
    <n v="292"/>
    <s v="Ho-Harris"/>
    <s v="Versatile cohesive encoding"/>
    <n v="7300"/>
    <n v="717"/>
    <n v="9.8219178082191785E-2"/>
    <n v="0.50551920620886137"/>
    <x v="0"/>
    <n v="10"/>
    <n v="71.7"/>
    <x v="1"/>
    <s v="USD"/>
    <n v="1331874000"/>
    <n v="1333429200"/>
    <x v="282"/>
    <d v="2012-04-03T05:00:00"/>
    <s v="Fri"/>
    <n v="18"/>
    <b v="0"/>
    <b v="0"/>
    <s v="food/food trucks"/>
    <x v="0"/>
    <x v="0"/>
  </r>
  <r>
    <n v="293"/>
    <s v="Ross Group"/>
    <s v="Organized executive solution"/>
    <n v="6500"/>
    <n v="1065"/>
    <n v="0.16384615384615384"/>
    <n v="0.43241247264770238"/>
    <x v="3"/>
    <n v="32"/>
    <n v="33.28125"/>
    <x v="6"/>
    <s v="EUR"/>
    <n v="1286254800"/>
    <n v="1287032400"/>
    <x v="283"/>
    <d v="2010-10-14T05:00:00"/>
    <s v="Tue"/>
    <n v="9"/>
    <b v="0"/>
    <b v="0"/>
    <s v="theater/plays"/>
    <x v="3"/>
    <x v="3"/>
  </r>
  <r>
    <n v="294"/>
    <s v="Turner-Davis"/>
    <s v="Automated local emulation"/>
    <n v="600"/>
    <n v="8038"/>
    <n v="13.396666666666667"/>
    <n v="2.1230434782608696"/>
    <x v="1"/>
    <n v="183"/>
    <n v="43.923497267759565"/>
    <x v="1"/>
    <s v="USD"/>
    <n v="1540530000"/>
    <n v="1541570400"/>
    <x v="284"/>
    <d v="2018-11-07T06:00:00"/>
    <s v="Fri"/>
    <n v="12"/>
    <b v="0"/>
    <b v="0"/>
    <s v="theater/plays"/>
    <x v="3"/>
    <x v="3"/>
  </r>
  <r>
    <n v="295"/>
    <s v="Smith, Jackson and Herrera"/>
    <s v="Enterprise-wide intermediate middleware"/>
    <n v="192900"/>
    <n v="68769"/>
    <n v="0.35650077760497667"/>
    <n v="0.50551920620886137"/>
    <x v="0"/>
    <n v="1910"/>
    <n v="36.004712041884815"/>
    <x v="5"/>
    <s v="CHF"/>
    <n v="1381813200"/>
    <n v="1383976800"/>
    <x v="285"/>
    <d v="2013-11-09T06:00:00"/>
    <s v="Tue"/>
    <n v="25"/>
    <b v="0"/>
    <b v="0"/>
    <s v="theater/plays"/>
    <x v="3"/>
    <x v="3"/>
  </r>
  <r>
    <n v="296"/>
    <s v="Smith-Hess"/>
    <s v="Grass-roots real-time Local Area Network"/>
    <n v="6100"/>
    <n v="3352"/>
    <n v="0.54950819672131146"/>
    <n v="0.50551920620886137"/>
    <x v="0"/>
    <n v="38"/>
    <n v="88.21052631578948"/>
    <x v="2"/>
    <s v="AUD"/>
    <n v="1548655200"/>
    <n v="1550556000"/>
    <x v="286"/>
    <d v="2019-02-19T06:00:00"/>
    <s v="Mon"/>
    <n v="22"/>
    <b v="0"/>
    <b v="0"/>
    <s v="theater/plays"/>
    <x v="3"/>
    <x v="3"/>
  </r>
  <r>
    <n v="297"/>
    <s v="Brown, Herring and Bass"/>
    <s v="Organized client-driven capacity"/>
    <n v="7200"/>
    <n v="6785"/>
    <n v="0.94236111111111109"/>
    <n v="0.50551920620886137"/>
    <x v="0"/>
    <n v="104"/>
    <n v="65.240384615384613"/>
    <x v="2"/>
    <s v="AUD"/>
    <n v="1389679200"/>
    <n v="1390456800"/>
    <x v="287"/>
    <d v="2014-01-23T06:00:00"/>
    <s v="Tue"/>
    <n v="9"/>
    <b v="0"/>
    <b v="1"/>
    <s v="theater/plays"/>
    <x v="3"/>
    <x v="3"/>
  </r>
  <r>
    <n v="298"/>
    <s v="Chase, Garcia and Johnson"/>
    <s v="Adaptive intangible database"/>
    <n v="3500"/>
    <n v="5037"/>
    <n v="1.4391428571428571"/>
    <n v="2.1230434782608696"/>
    <x v="1"/>
    <n v="72"/>
    <n v="69.958333333333329"/>
    <x v="1"/>
    <s v="USD"/>
    <n v="1456466400"/>
    <n v="1458018000"/>
    <x v="288"/>
    <d v="2016-03-15T05:00:00"/>
    <s v="Fri"/>
    <n v="18"/>
    <b v="0"/>
    <b v="1"/>
    <s v="music/rock"/>
    <x v="1"/>
    <x v="1"/>
  </r>
  <r>
    <n v="299"/>
    <s v="Ramsey and Sons"/>
    <s v="Grass-roots contextually-based algorithm"/>
    <n v="3800"/>
    <n v="1954"/>
    <n v="0.51421052631578945"/>
    <n v="0.50551920620886137"/>
    <x v="0"/>
    <n v="49"/>
    <n v="39.877551020408163"/>
    <x v="1"/>
    <s v="USD"/>
    <n v="1456984800"/>
    <n v="1461819600"/>
    <x v="289"/>
    <d v="2016-04-28T05:00:00"/>
    <s v="Thu"/>
    <n v="56"/>
    <b v="0"/>
    <b v="0"/>
    <s v="food/food trucks"/>
    <x v="0"/>
    <x v="0"/>
  </r>
  <r>
    <n v="300"/>
    <s v="Cooke PLC"/>
    <s v="Focused executive core"/>
    <n v="100"/>
    <n v="5"/>
    <n v="0.05"/>
    <n v="0.50551920620886137"/>
    <x v="0"/>
    <n v="1"/>
    <n v="5"/>
    <x v="3"/>
    <s v="DKK"/>
    <n v="1504069200"/>
    <n v="1504155600"/>
    <x v="290"/>
    <d v="2017-08-31T05:00:00"/>
    <s v="Wed"/>
    <n v="1"/>
    <b v="0"/>
    <b v="1"/>
    <s v="publishing/nonfiction"/>
    <x v="5"/>
    <x v="9"/>
  </r>
  <r>
    <n v="301"/>
    <s v="Wong-Walker"/>
    <s v="Multi-channeled disintermediate policy"/>
    <n v="900"/>
    <n v="12102"/>
    <n v="13.446666666666667"/>
    <n v="2.1230434782608696"/>
    <x v="1"/>
    <n v="295"/>
    <n v="41.023728813559323"/>
    <x v="1"/>
    <s v="USD"/>
    <n v="1424930400"/>
    <n v="1426395600"/>
    <x v="291"/>
    <d v="2015-03-15T05:00:00"/>
    <s v="Thu"/>
    <n v="17"/>
    <b v="0"/>
    <b v="0"/>
    <s v="film &amp; video/documentary"/>
    <x v="4"/>
    <x v="4"/>
  </r>
  <r>
    <n v="302"/>
    <s v="Ferguson, Collins and Mata"/>
    <s v="Customizable bi-directional hardware"/>
    <n v="76100"/>
    <n v="24234"/>
    <n v="0.31844940867279897"/>
    <n v="0.50551920620886137"/>
    <x v="0"/>
    <n v="245"/>
    <n v="98.914285714285711"/>
    <x v="1"/>
    <s v="USD"/>
    <n v="1535864400"/>
    <n v="1537074000"/>
    <x v="292"/>
    <d v="2018-09-16T05:00:00"/>
    <s v="Sun"/>
    <n v="14"/>
    <b v="0"/>
    <b v="0"/>
    <s v="theater/plays"/>
    <x v="3"/>
    <x v="3"/>
  </r>
  <r>
    <n v="303"/>
    <s v="Guerrero, Flores and Jenkins"/>
    <s v="Networked optimal architecture"/>
    <n v="3400"/>
    <n v="2809"/>
    <n v="0.82617647058823529"/>
    <n v="0.50551920620886137"/>
    <x v="0"/>
    <n v="32"/>
    <n v="87.78125"/>
    <x v="1"/>
    <s v="USD"/>
    <n v="1452146400"/>
    <n v="1452578400"/>
    <x v="293"/>
    <d v="2016-01-12T06:00:00"/>
    <s v="Thu"/>
    <n v="5"/>
    <b v="0"/>
    <b v="0"/>
    <s v="music/indie rock"/>
    <x v="1"/>
    <x v="7"/>
  </r>
  <r>
    <n v="304"/>
    <s v="Peterson PLC"/>
    <s v="User-friendly discrete benchmark"/>
    <n v="2100"/>
    <n v="11469"/>
    <n v="5.4614285714285717"/>
    <n v="2.1230434782608696"/>
    <x v="1"/>
    <n v="142"/>
    <n v="80.767605633802816"/>
    <x v="1"/>
    <s v="USD"/>
    <n v="1470546000"/>
    <n v="1474088400"/>
    <x v="294"/>
    <d v="2016-09-17T05:00:00"/>
    <s v="Sun"/>
    <n v="41"/>
    <b v="0"/>
    <b v="0"/>
    <s v="film &amp; video/documentary"/>
    <x v="4"/>
    <x v="4"/>
  </r>
  <r>
    <n v="305"/>
    <s v="Townsend Ltd"/>
    <s v="Grass-roots actuating policy"/>
    <n v="2800"/>
    <n v="8014"/>
    <n v="2.8621428571428571"/>
    <n v="2.1230434782608696"/>
    <x v="1"/>
    <n v="85"/>
    <n v="94.28235294117647"/>
    <x v="1"/>
    <s v="USD"/>
    <n v="1458363600"/>
    <n v="1461906000"/>
    <x v="295"/>
    <d v="2016-04-29T05:00:00"/>
    <s v="Sat"/>
    <n v="41"/>
    <b v="0"/>
    <b v="0"/>
    <s v="theater/plays"/>
    <x v="3"/>
    <x v="3"/>
  </r>
  <r>
    <n v="306"/>
    <s v="Rush, Reed and Hall"/>
    <s v="Enterprise-wide 3rdgeneration knowledge user"/>
    <n v="6500"/>
    <n v="514"/>
    <n v="7.9076923076923072E-2"/>
    <n v="0.50551920620886137"/>
    <x v="0"/>
    <n v="7"/>
    <n v="73.428571428571431"/>
    <x v="1"/>
    <s v="USD"/>
    <n v="1500008400"/>
    <n v="1500267600"/>
    <x v="296"/>
    <d v="2017-07-17T05:00:00"/>
    <s v="Fri"/>
    <n v="3"/>
    <b v="0"/>
    <b v="1"/>
    <s v="theater/plays"/>
    <x v="3"/>
    <x v="3"/>
  </r>
  <r>
    <n v="307"/>
    <s v="Salazar-Dodson"/>
    <s v="Face-to-face zero tolerance moderator"/>
    <n v="32900"/>
    <n v="43473"/>
    <n v="1.3213677811550153"/>
    <n v="2.1230434782608696"/>
    <x v="1"/>
    <n v="659"/>
    <n v="65.968133535660087"/>
    <x v="3"/>
    <s v="DKK"/>
    <n v="1338958800"/>
    <n v="1340686800"/>
    <x v="297"/>
    <d v="2012-06-26T05:00:00"/>
    <s v="Wed"/>
    <n v="20"/>
    <b v="0"/>
    <b v="1"/>
    <s v="publishing/fiction"/>
    <x v="5"/>
    <x v="13"/>
  </r>
  <r>
    <n v="308"/>
    <s v="Davis Ltd"/>
    <s v="Grass-roots optimizing projection"/>
    <n v="118200"/>
    <n v="87560"/>
    <n v="0.74077834179357027"/>
    <n v="0.50551920620886137"/>
    <x v="0"/>
    <n v="803"/>
    <n v="109.04109589041096"/>
    <x v="1"/>
    <s v="USD"/>
    <n v="1303102800"/>
    <n v="1303189200"/>
    <x v="298"/>
    <d v="2011-04-19T05:00:00"/>
    <s v="Mon"/>
    <n v="1"/>
    <b v="0"/>
    <b v="0"/>
    <s v="theater/plays"/>
    <x v="3"/>
    <x v="3"/>
  </r>
  <r>
    <n v="309"/>
    <s v="Harris-Perry"/>
    <s v="User-centric 6thgeneration attitude"/>
    <n v="4100"/>
    <n v="3087"/>
    <n v="0.75292682926829269"/>
    <n v="0.43241247264770238"/>
    <x v="3"/>
    <n v="75"/>
    <n v="41.16"/>
    <x v="1"/>
    <s v="USD"/>
    <n v="1316581200"/>
    <n v="1318309200"/>
    <x v="299"/>
    <d v="2011-10-11T05:00:00"/>
    <s v="Wed"/>
    <n v="20"/>
    <b v="0"/>
    <b v="1"/>
    <s v="music/indie rock"/>
    <x v="1"/>
    <x v="7"/>
  </r>
  <r>
    <n v="310"/>
    <s v="Velazquez, Hunt and Ortiz"/>
    <s v="Switchable zero tolerance website"/>
    <n v="7800"/>
    <n v="1586"/>
    <n v="0.20333333333333334"/>
    <n v="0.50551920620886137"/>
    <x v="0"/>
    <n v="16"/>
    <n v="99.125"/>
    <x v="1"/>
    <s v="USD"/>
    <n v="1270789200"/>
    <n v="1272171600"/>
    <x v="300"/>
    <d v="2010-04-25T05:00:00"/>
    <s v="Fri"/>
    <n v="16"/>
    <b v="0"/>
    <b v="0"/>
    <s v="games/video games"/>
    <x v="6"/>
    <x v="11"/>
  </r>
  <r>
    <n v="311"/>
    <s v="Flores PLC"/>
    <s v="Focused real-time help-desk"/>
    <n v="6300"/>
    <n v="12812"/>
    <n v="2.0336507936507937"/>
    <n v="2.1230434782608696"/>
    <x v="1"/>
    <n v="121"/>
    <n v="105.88429752066116"/>
    <x v="1"/>
    <s v="USD"/>
    <n v="1297836000"/>
    <n v="1298872800"/>
    <x v="247"/>
    <d v="2011-02-28T06:00:00"/>
    <s v="Wed"/>
    <n v="12"/>
    <b v="0"/>
    <b v="0"/>
    <s v="theater/plays"/>
    <x v="3"/>
    <x v="3"/>
  </r>
  <r>
    <n v="312"/>
    <s v="Martinez LLC"/>
    <s v="Robust impactful approach"/>
    <n v="59100"/>
    <n v="183345"/>
    <n v="3.1022842639593908"/>
    <n v="2.1230434782608696"/>
    <x v="1"/>
    <n v="3742"/>
    <n v="48.996525921966864"/>
    <x v="1"/>
    <s v="USD"/>
    <n v="1382677200"/>
    <n v="1383282000"/>
    <x v="244"/>
    <d v="2013-11-01T05:00:00"/>
    <s v="Fri"/>
    <n v="7"/>
    <b v="0"/>
    <b v="0"/>
    <s v="theater/plays"/>
    <x v="3"/>
    <x v="3"/>
  </r>
  <r>
    <n v="313"/>
    <s v="Miller-Irwin"/>
    <s v="Secured maximized policy"/>
    <n v="2200"/>
    <n v="8697"/>
    <n v="3.9531818181818181"/>
    <n v="2.1230434782608696"/>
    <x v="1"/>
    <n v="223"/>
    <n v="39"/>
    <x v="1"/>
    <s v="USD"/>
    <n v="1330322400"/>
    <n v="1330495200"/>
    <x v="301"/>
    <d v="2012-02-29T06:00:00"/>
    <s v="Mon"/>
    <n v="2"/>
    <b v="0"/>
    <b v="0"/>
    <s v="music/rock"/>
    <x v="1"/>
    <x v="1"/>
  </r>
  <r>
    <n v="314"/>
    <s v="Sanchez-Morgan"/>
    <s v="Realigned upward-trending strategy"/>
    <n v="1400"/>
    <n v="4126"/>
    <n v="2.9471428571428571"/>
    <n v="2.1230434782608696"/>
    <x v="1"/>
    <n v="133"/>
    <n v="31.022556390977442"/>
    <x v="1"/>
    <s v="USD"/>
    <n v="1552366800"/>
    <n v="1552798800"/>
    <x v="188"/>
    <d v="2019-03-17T05:00:00"/>
    <s v="Tue"/>
    <n v="5"/>
    <b v="0"/>
    <b v="1"/>
    <s v="film &amp; video/documentary"/>
    <x v="4"/>
    <x v="4"/>
  </r>
  <r>
    <n v="315"/>
    <s v="Lopez, Adams and Johnson"/>
    <s v="Open-source interactive knowledge user"/>
    <n v="9500"/>
    <n v="3220"/>
    <n v="0.33894736842105261"/>
    <n v="0.50551920620886137"/>
    <x v="0"/>
    <n v="31"/>
    <n v="103.87096774193549"/>
    <x v="1"/>
    <s v="USD"/>
    <n v="1400907600"/>
    <n v="1403413200"/>
    <x v="302"/>
    <d v="2014-06-22T05:00:00"/>
    <s v="Sat"/>
    <n v="29"/>
    <b v="0"/>
    <b v="0"/>
    <s v="theater/plays"/>
    <x v="3"/>
    <x v="3"/>
  </r>
  <r>
    <n v="316"/>
    <s v="Martin-Marshall"/>
    <s v="Configurable demand-driven matrix"/>
    <n v="9600"/>
    <n v="6401"/>
    <n v="0.66677083333333331"/>
    <n v="0.50551920620886137"/>
    <x v="0"/>
    <n v="108"/>
    <n v="59.268518518518519"/>
    <x v="6"/>
    <s v="EUR"/>
    <n v="1574143200"/>
    <n v="1574229600"/>
    <x v="303"/>
    <d v="2019-11-20T06:00:00"/>
    <s v="Tue"/>
    <n v="1"/>
    <b v="0"/>
    <b v="1"/>
    <s v="food/food trucks"/>
    <x v="0"/>
    <x v="0"/>
  </r>
  <r>
    <n v="317"/>
    <s v="Summers PLC"/>
    <s v="Cross-group coherent hierarchy"/>
    <n v="6600"/>
    <n v="1269"/>
    <n v="0.19227272727272726"/>
    <n v="0.50551920620886137"/>
    <x v="0"/>
    <n v="30"/>
    <n v="42.3"/>
    <x v="1"/>
    <s v="USD"/>
    <n v="1494738000"/>
    <n v="1495861200"/>
    <x v="304"/>
    <d v="2017-05-27T05:00:00"/>
    <s v="Sun"/>
    <n v="13"/>
    <b v="0"/>
    <b v="0"/>
    <s v="theater/plays"/>
    <x v="3"/>
    <x v="3"/>
  </r>
  <r>
    <n v="318"/>
    <s v="Young, Hart and Ryan"/>
    <s v="Decentralized demand-driven open system"/>
    <n v="5700"/>
    <n v="903"/>
    <n v="0.15842105263157893"/>
    <n v="0.50551920620886137"/>
    <x v="0"/>
    <n v="17"/>
    <n v="53.117647058823529"/>
    <x v="1"/>
    <s v="USD"/>
    <n v="1392357600"/>
    <n v="1392530400"/>
    <x v="305"/>
    <d v="2014-02-16T06:00:00"/>
    <s v="Fri"/>
    <n v="2"/>
    <b v="0"/>
    <b v="0"/>
    <s v="music/rock"/>
    <x v="1"/>
    <x v="1"/>
  </r>
  <r>
    <n v="319"/>
    <s v="Mills Group"/>
    <s v="Advanced empowering matrix"/>
    <n v="8400"/>
    <n v="3251"/>
    <n v="0.38702380952380955"/>
    <n v="0.43241247264770238"/>
    <x v="3"/>
    <n v="64"/>
    <n v="50.796875"/>
    <x v="1"/>
    <s v="USD"/>
    <n v="1281589200"/>
    <n v="1283662800"/>
    <x v="306"/>
    <d v="2010-09-05T05:00:00"/>
    <s v="Thu"/>
    <n v="24"/>
    <b v="0"/>
    <b v="0"/>
    <s v="technology/web"/>
    <x v="2"/>
    <x v="2"/>
  </r>
  <r>
    <n v="320"/>
    <s v="Sandoval-Powell"/>
    <s v="Phased holistic implementation"/>
    <n v="84400"/>
    <n v="8092"/>
    <n v="9.5876777251184833E-2"/>
    <n v="0.50551920620886137"/>
    <x v="0"/>
    <n v="80"/>
    <n v="101.15"/>
    <x v="1"/>
    <s v="USD"/>
    <n v="1305003600"/>
    <n v="1305781200"/>
    <x v="307"/>
    <d v="2011-05-19T05:00:00"/>
    <s v="Tue"/>
    <n v="9"/>
    <b v="0"/>
    <b v="0"/>
    <s v="publishing/fiction"/>
    <x v="5"/>
    <x v="13"/>
  </r>
  <r>
    <n v="321"/>
    <s v="Mills, Frazier and Perez"/>
    <s v="Proactive attitude-oriented knowledge user"/>
    <n v="170400"/>
    <n v="160422"/>
    <n v="0.94144366197183094"/>
    <n v="0.50551920620886137"/>
    <x v="0"/>
    <n v="2468"/>
    <n v="65.000810372771468"/>
    <x v="1"/>
    <s v="USD"/>
    <n v="1301634000"/>
    <n v="1302325200"/>
    <x v="308"/>
    <d v="2011-04-09T05:00:00"/>
    <s v="Fri"/>
    <n v="8"/>
    <b v="0"/>
    <b v="0"/>
    <s v="film &amp; video/shorts"/>
    <x v="4"/>
    <x v="12"/>
  </r>
  <r>
    <n v="322"/>
    <s v="Hebert Group"/>
    <s v="Visionary asymmetric Graphical User Interface"/>
    <n v="117900"/>
    <n v="196377"/>
    <n v="1.6656234096692113"/>
    <n v="2.1230434782608696"/>
    <x v="1"/>
    <n v="5168"/>
    <n v="37.998645510835914"/>
    <x v="1"/>
    <s v="USD"/>
    <n v="1290664800"/>
    <n v="1291788000"/>
    <x v="309"/>
    <d v="2010-12-08T06:00:00"/>
    <s v="Thu"/>
    <n v="13"/>
    <b v="0"/>
    <b v="0"/>
    <s v="theater/plays"/>
    <x v="3"/>
    <x v="3"/>
  </r>
  <r>
    <n v="323"/>
    <s v="Cole, Smith and Wood"/>
    <s v="Integrated zero-defect help-desk"/>
    <n v="8900"/>
    <n v="2148"/>
    <n v="0.24134831460674158"/>
    <n v="0.50551920620886137"/>
    <x v="0"/>
    <n v="26"/>
    <n v="82.615384615384613"/>
    <x v="4"/>
    <s v="GBP"/>
    <n v="1395896400"/>
    <n v="1396069200"/>
    <x v="310"/>
    <d v="2014-03-29T05:00:00"/>
    <s v="Thu"/>
    <n v="2"/>
    <b v="0"/>
    <b v="0"/>
    <s v="film &amp; video/documentary"/>
    <x v="4"/>
    <x v="4"/>
  </r>
  <r>
    <n v="324"/>
    <s v="Harris, Hall and Harris"/>
    <s v="Inverse analyzing matrices"/>
    <n v="7100"/>
    <n v="11648"/>
    <n v="1.6405633802816901"/>
    <n v="2.1230434782608696"/>
    <x v="1"/>
    <n v="307"/>
    <n v="37.941368078175898"/>
    <x v="1"/>
    <s v="USD"/>
    <n v="1434862800"/>
    <n v="1435899600"/>
    <x v="311"/>
    <d v="2015-07-03T05:00:00"/>
    <s v="Sun"/>
    <n v="12"/>
    <b v="0"/>
    <b v="1"/>
    <s v="theater/plays"/>
    <x v="3"/>
    <x v="3"/>
  </r>
  <r>
    <n v="325"/>
    <s v="Saunders Group"/>
    <s v="Programmable systemic implementation"/>
    <n v="6500"/>
    <n v="5897"/>
    <n v="0.90723076923076929"/>
    <n v="0.50551920620886137"/>
    <x v="0"/>
    <n v="73"/>
    <n v="80.780821917808225"/>
    <x v="1"/>
    <s v="USD"/>
    <n v="1529125200"/>
    <n v="1531112400"/>
    <x v="79"/>
    <d v="2018-07-09T05:00:00"/>
    <s v="Sat"/>
    <n v="23"/>
    <b v="0"/>
    <b v="1"/>
    <s v="theater/plays"/>
    <x v="3"/>
    <x v="3"/>
  </r>
  <r>
    <n v="326"/>
    <s v="Pham, Avila and Nash"/>
    <s v="Multi-channeled next generation architecture"/>
    <n v="7200"/>
    <n v="3326"/>
    <n v="0.46194444444444444"/>
    <n v="0.50551920620886137"/>
    <x v="0"/>
    <n v="128"/>
    <n v="25.984375"/>
    <x v="1"/>
    <s v="USD"/>
    <n v="1451109600"/>
    <n v="1451628000"/>
    <x v="312"/>
    <d v="2016-01-01T06:00:00"/>
    <s v="Sat"/>
    <n v="6"/>
    <b v="0"/>
    <b v="0"/>
    <s v="film &amp; video/animation"/>
    <x v="4"/>
    <x v="10"/>
  </r>
  <r>
    <n v="327"/>
    <s v="Patterson, Salinas and Lucas"/>
    <s v="Digitized 3rdgeneration encoding"/>
    <n v="2600"/>
    <n v="1002"/>
    <n v="0.38538461538461538"/>
    <n v="0.50551920620886137"/>
    <x v="0"/>
    <n v="33"/>
    <n v="30.363636363636363"/>
    <x v="1"/>
    <s v="USD"/>
    <n v="1566968400"/>
    <n v="1567314000"/>
    <x v="313"/>
    <d v="2019-09-01T05:00:00"/>
    <s v="Wed"/>
    <n v="4"/>
    <b v="0"/>
    <b v="1"/>
    <s v="theater/plays"/>
    <x v="3"/>
    <x v="3"/>
  </r>
  <r>
    <n v="328"/>
    <s v="Young PLC"/>
    <s v="Innovative well-modulated functionalities"/>
    <n v="98700"/>
    <n v="131826"/>
    <n v="1.3356231003039514"/>
    <n v="2.1230434782608696"/>
    <x v="1"/>
    <n v="2441"/>
    <n v="54.004916018025398"/>
    <x v="1"/>
    <s v="USD"/>
    <n v="1543557600"/>
    <n v="1544508000"/>
    <x v="314"/>
    <d v="2018-12-11T06:00:00"/>
    <s v="Fri"/>
    <n v="11"/>
    <b v="0"/>
    <b v="0"/>
    <s v="music/rock"/>
    <x v="1"/>
    <x v="1"/>
  </r>
  <r>
    <n v="329"/>
    <s v="Willis and Sons"/>
    <s v="Fundamental incremental database"/>
    <n v="93800"/>
    <n v="21477"/>
    <n v="0.22896588486140726"/>
    <n v="0.49522981646937392"/>
    <x v="2"/>
    <n v="211"/>
    <n v="101.78672985781991"/>
    <x v="1"/>
    <s v="USD"/>
    <n v="1481522400"/>
    <n v="1482472800"/>
    <x v="315"/>
    <d v="2016-12-23T06:00:00"/>
    <s v="Mon"/>
    <n v="11"/>
    <b v="0"/>
    <b v="0"/>
    <s v="games/video games"/>
    <x v="6"/>
    <x v="11"/>
  </r>
  <r>
    <n v="330"/>
    <s v="Thompson-Bates"/>
    <s v="Expanded encompassing open architecture"/>
    <n v="33700"/>
    <n v="62330"/>
    <n v="1.8495548961424333"/>
    <n v="2.1230434782608696"/>
    <x v="1"/>
    <n v="1385"/>
    <n v="45.003610108303249"/>
    <x v="4"/>
    <s v="GBP"/>
    <n v="1512712800"/>
    <n v="1512799200"/>
    <x v="316"/>
    <d v="2017-12-09T06:00:00"/>
    <s v="Fri"/>
    <n v="1"/>
    <b v="0"/>
    <b v="0"/>
    <s v="film &amp; video/documentary"/>
    <x v="4"/>
    <x v="4"/>
  </r>
  <r>
    <n v="331"/>
    <s v="Rose-Silva"/>
    <s v="Intuitive static portal"/>
    <n v="3300"/>
    <n v="14643"/>
    <n v="4.4372727272727275"/>
    <n v="2.1230434782608696"/>
    <x v="1"/>
    <n v="190"/>
    <n v="77.068421052631578"/>
    <x v="1"/>
    <s v="USD"/>
    <n v="1324274400"/>
    <n v="1324360800"/>
    <x v="317"/>
    <d v="2011-12-20T06:00:00"/>
    <s v="Mon"/>
    <n v="1"/>
    <b v="0"/>
    <b v="0"/>
    <s v="food/food trucks"/>
    <x v="0"/>
    <x v="0"/>
  </r>
  <r>
    <n v="332"/>
    <s v="Pacheco, Johnson and Torres"/>
    <s v="Optional bandwidth-monitored definition"/>
    <n v="20700"/>
    <n v="41396"/>
    <n v="1.999806763285024"/>
    <n v="2.1230434782608696"/>
    <x v="1"/>
    <n v="470"/>
    <n v="88.076595744680844"/>
    <x v="1"/>
    <s v="USD"/>
    <n v="1364446800"/>
    <n v="1364533200"/>
    <x v="318"/>
    <d v="2013-03-29T05:00:00"/>
    <s v="Thu"/>
    <n v="1"/>
    <b v="0"/>
    <b v="0"/>
    <s v="technology/wearables"/>
    <x v="2"/>
    <x v="8"/>
  </r>
  <r>
    <n v="333"/>
    <s v="Carlson, Dixon and Jones"/>
    <s v="Persistent well-modulated synergy"/>
    <n v="9600"/>
    <n v="11900"/>
    <n v="1.2395833333333333"/>
    <n v="2.1230434782608696"/>
    <x v="1"/>
    <n v="253"/>
    <n v="47.035573122529641"/>
    <x v="1"/>
    <s v="USD"/>
    <n v="1542693600"/>
    <n v="1545112800"/>
    <x v="319"/>
    <d v="2018-12-18T06:00:00"/>
    <s v="Tue"/>
    <n v="28"/>
    <b v="0"/>
    <b v="0"/>
    <s v="theater/plays"/>
    <x v="3"/>
    <x v="3"/>
  </r>
  <r>
    <n v="334"/>
    <s v="Mcgee Group"/>
    <s v="Assimilated discrete algorithm"/>
    <n v="66200"/>
    <n v="123538"/>
    <n v="1.8661329305135952"/>
    <n v="2.1230434782608696"/>
    <x v="1"/>
    <n v="1113"/>
    <n v="110.99550763701707"/>
    <x v="1"/>
    <s v="USD"/>
    <n v="1515564000"/>
    <n v="1516168800"/>
    <x v="32"/>
    <d v="2018-01-17T06:00:00"/>
    <s v="Wed"/>
    <n v="7"/>
    <b v="0"/>
    <b v="0"/>
    <s v="music/rock"/>
    <x v="1"/>
    <x v="1"/>
  </r>
  <r>
    <n v="335"/>
    <s v="Jordan-Acosta"/>
    <s v="Operative uniform hub"/>
    <n v="173800"/>
    <n v="198628"/>
    <n v="1.1428538550057536"/>
    <n v="2.1230434782608696"/>
    <x v="1"/>
    <n v="2283"/>
    <n v="87.003066141042481"/>
    <x v="1"/>
    <s v="USD"/>
    <n v="1573797600"/>
    <n v="1574920800"/>
    <x v="320"/>
    <d v="2019-11-28T06:00:00"/>
    <s v="Fri"/>
    <n v="13"/>
    <b v="0"/>
    <b v="0"/>
    <s v="music/rock"/>
    <x v="1"/>
    <x v="1"/>
  </r>
  <r>
    <n v="336"/>
    <s v="Nunez Inc"/>
    <s v="Customizable intangible capability"/>
    <n v="70700"/>
    <n v="68602"/>
    <n v="0.97032531824611035"/>
    <n v="0.50551920620886137"/>
    <x v="0"/>
    <n v="1072"/>
    <n v="63.994402985074629"/>
    <x v="1"/>
    <s v="USD"/>
    <n v="1292392800"/>
    <n v="1292479200"/>
    <x v="321"/>
    <d v="2010-12-16T06:00:00"/>
    <s v="Wed"/>
    <n v="1"/>
    <b v="0"/>
    <b v="1"/>
    <s v="music/rock"/>
    <x v="1"/>
    <x v="1"/>
  </r>
  <r>
    <n v="337"/>
    <s v="Hayden Ltd"/>
    <s v="Innovative didactic analyzer"/>
    <n v="94500"/>
    <n v="116064"/>
    <n v="1.2281904761904763"/>
    <n v="2.1230434782608696"/>
    <x v="1"/>
    <n v="1095"/>
    <n v="105.9945205479452"/>
    <x v="1"/>
    <s v="USD"/>
    <n v="1573452000"/>
    <n v="1573538400"/>
    <x v="322"/>
    <d v="2019-11-12T06:00:00"/>
    <s v="Mon"/>
    <n v="1"/>
    <b v="0"/>
    <b v="0"/>
    <s v="theater/plays"/>
    <x v="3"/>
    <x v="3"/>
  </r>
  <r>
    <n v="338"/>
    <s v="Gonzalez-Burton"/>
    <s v="Decentralized intangible encoding"/>
    <n v="69800"/>
    <n v="125042"/>
    <n v="1.7914326647564469"/>
    <n v="2.1230434782608696"/>
    <x v="1"/>
    <n v="1690"/>
    <n v="73.989349112426041"/>
    <x v="1"/>
    <s v="USD"/>
    <n v="1317790800"/>
    <n v="1320382800"/>
    <x v="323"/>
    <d v="2011-11-04T05:00:00"/>
    <s v="Wed"/>
    <n v="30"/>
    <b v="0"/>
    <b v="0"/>
    <s v="theater/plays"/>
    <x v="3"/>
    <x v="3"/>
  </r>
  <r>
    <n v="339"/>
    <s v="Lewis, Taylor and Rivers"/>
    <s v="Front-line transitional algorithm"/>
    <n v="136300"/>
    <n v="108974"/>
    <n v="0.79951577402787966"/>
    <n v="0.43241247264770238"/>
    <x v="3"/>
    <n v="1297"/>
    <n v="84.02004626060139"/>
    <x v="0"/>
    <s v="CAD"/>
    <n v="1501650000"/>
    <n v="1502859600"/>
    <x v="324"/>
    <d v="2017-08-16T05:00:00"/>
    <s v="Wed"/>
    <n v="14"/>
    <b v="0"/>
    <b v="0"/>
    <s v="theater/plays"/>
    <x v="3"/>
    <x v="3"/>
  </r>
  <r>
    <n v="340"/>
    <s v="Butler, Henry and Espinoza"/>
    <s v="Switchable didactic matrices"/>
    <n v="37100"/>
    <n v="34964"/>
    <n v="0.94242587601078165"/>
    <n v="0.50551920620886137"/>
    <x v="0"/>
    <n v="393"/>
    <n v="88.966921119592882"/>
    <x v="1"/>
    <s v="USD"/>
    <n v="1323669600"/>
    <n v="1323756000"/>
    <x v="325"/>
    <d v="2011-12-13T06:00:00"/>
    <s v="Mon"/>
    <n v="1"/>
    <b v="0"/>
    <b v="0"/>
    <s v="photography/photography books"/>
    <x v="7"/>
    <x v="14"/>
  </r>
  <r>
    <n v="341"/>
    <s v="Guzman Group"/>
    <s v="Ameliorated disintermediate utilization"/>
    <n v="114300"/>
    <n v="96777"/>
    <n v="0.84669291338582675"/>
    <n v="0.50551920620886137"/>
    <x v="0"/>
    <n v="1257"/>
    <n v="76.990453460620529"/>
    <x v="1"/>
    <s v="USD"/>
    <n v="1440738000"/>
    <n v="1441342800"/>
    <x v="326"/>
    <d v="2015-09-04T05:00:00"/>
    <s v="Fri"/>
    <n v="7"/>
    <b v="0"/>
    <b v="0"/>
    <s v="music/indie rock"/>
    <x v="1"/>
    <x v="7"/>
  </r>
  <r>
    <n v="342"/>
    <s v="Gibson-Hernandez"/>
    <s v="Visionary foreground middleware"/>
    <n v="47900"/>
    <n v="31864"/>
    <n v="0.66521920668058454"/>
    <n v="0.50551920620886137"/>
    <x v="0"/>
    <n v="328"/>
    <n v="97.146341463414629"/>
    <x v="1"/>
    <s v="USD"/>
    <n v="1374296400"/>
    <n v="1375333200"/>
    <x v="327"/>
    <d v="2013-08-01T05:00:00"/>
    <s v="Sat"/>
    <n v="12"/>
    <b v="0"/>
    <b v="0"/>
    <s v="theater/plays"/>
    <x v="3"/>
    <x v="3"/>
  </r>
  <r>
    <n v="343"/>
    <s v="Spencer-Weber"/>
    <s v="Optional zero-defect task-force"/>
    <n v="9000"/>
    <n v="4853"/>
    <n v="0.53922222222222227"/>
    <n v="0.50551920620886137"/>
    <x v="0"/>
    <n v="147"/>
    <n v="33.013605442176868"/>
    <x v="1"/>
    <s v="USD"/>
    <n v="1384840800"/>
    <n v="1389420000"/>
    <x v="328"/>
    <d v="2014-01-11T06:00:00"/>
    <s v="Tue"/>
    <n v="53"/>
    <b v="0"/>
    <b v="0"/>
    <s v="theater/plays"/>
    <x v="3"/>
    <x v="3"/>
  </r>
  <r>
    <n v="344"/>
    <s v="Berger, Johnson and Marshall"/>
    <s v="Devolved exuding emulation"/>
    <n v="197600"/>
    <n v="82959"/>
    <n v="0.41983299595141699"/>
    <n v="0.50551920620886137"/>
    <x v="0"/>
    <n v="830"/>
    <n v="99.950602409638549"/>
    <x v="1"/>
    <s v="USD"/>
    <n v="1516600800"/>
    <n v="1520056800"/>
    <x v="329"/>
    <d v="2018-03-03T06:00:00"/>
    <s v="Mon"/>
    <n v="40"/>
    <b v="0"/>
    <b v="0"/>
    <s v="games/video games"/>
    <x v="6"/>
    <x v="11"/>
  </r>
  <r>
    <n v="345"/>
    <s v="Taylor, Cisneros and Romero"/>
    <s v="Open-source neutral task-force"/>
    <n v="157600"/>
    <n v="23159"/>
    <n v="0.14694796954314721"/>
    <n v="0.50551920620886137"/>
    <x v="0"/>
    <n v="331"/>
    <n v="69.966767371601208"/>
    <x v="4"/>
    <s v="GBP"/>
    <n v="1436418000"/>
    <n v="1436504400"/>
    <x v="330"/>
    <d v="2015-07-10T05:00:00"/>
    <s v="Thu"/>
    <n v="1"/>
    <b v="0"/>
    <b v="0"/>
    <s v="film &amp; video/drama"/>
    <x v="4"/>
    <x v="6"/>
  </r>
  <r>
    <n v="346"/>
    <s v="Little-Marsh"/>
    <s v="Virtual attitude-oriented migration"/>
    <n v="8000"/>
    <n v="2758"/>
    <n v="0.34475"/>
    <n v="0.50551920620886137"/>
    <x v="0"/>
    <n v="25"/>
    <n v="110.32"/>
    <x v="1"/>
    <s v="USD"/>
    <n v="1503550800"/>
    <n v="1508302800"/>
    <x v="331"/>
    <d v="2017-10-18T05:00:00"/>
    <s v="Thu"/>
    <n v="55"/>
    <b v="0"/>
    <b v="1"/>
    <s v="music/indie rock"/>
    <x v="1"/>
    <x v="7"/>
  </r>
  <r>
    <n v="347"/>
    <s v="Petersen and Sons"/>
    <s v="Open-source full-range portal"/>
    <n v="900"/>
    <n v="12607"/>
    <n v="14.007777777777777"/>
    <n v="2.1230434782608696"/>
    <x v="1"/>
    <n v="191"/>
    <n v="66.005235602094245"/>
    <x v="1"/>
    <s v="USD"/>
    <n v="1423634400"/>
    <n v="1425708000"/>
    <x v="332"/>
    <d v="2015-03-07T06:00:00"/>
    <s v="Wed"/>
    <n v="24"/>
    <b v="0"/>
    <b v="0"/>
    <s v="technology/web"/>
    <x v="2"/>
    <x v="2"/>
  </r>
  <r>
    <n v="348"/>
    <s v="Hensley Ltd"/>
    <s v="Versatile cohesive open system"/>
    <n v="199000"/>
    <n v="142823"/>
    <n v="0.71770351758793971"/>
    <n v="0.50551920620886137"/>
    <x v="0"/>
    <n v="3483"/>
    <n v="41.005742176284812"/>
    <x v="1"/>
    <s v="USD"/>
    <n v="1487224800"/>
    <n v="1488348000"/>
    <x v="333"/>
    <d v="2017-03-01T06:00:00"/>
    <s v="Thu"/>
    <n v="13"/>
    <b v="0"/>
    <b v="0"/>
    <s v="food/food trucks"/>
    <x v="0"/>
    <x v="0"/>
  </r>
  <r>
    <n v="349"/>
    <s v="Navarro and Sons"/>
    <s v="Multi-layered bottom-line frame"/>
    <n v="180800"/>
    <n v="95958"/>
    <n v="0.53074115044247783"/>
    <n v="0.50551920620886137"/>
    <x v="0"/>
    <n v="923"/>
    <n v="103.96316359696641"/>
    <x v="1"/>
    <s v="USD"/>
    <n v="1500008400"/>
    <n v="1502600400"/>
    <x v="296"/>
    <d v="2017-08-13T05:00:00"/>
    <s v="Fri"/>
    <n v="30"/>
    <b v="0"/>
    <b v="0"/>
    <s v="theater/plays"/>
    <x v="3"/>
    <x v="3"/>
  </r>
  <r>
    <n v="350"/>
    <s v="Shannon Ltd"/>
    <s v="Pre-emptive neutral capacity"/>
    <n v="100"/>
    <n v="5"/>
    <n v="0.05"/>
    <n v="0.50551920620886137"/>
    <x v="0"/>
    <n v="1"/>
    <n v="5"/>
    <x v="1"/>
    <s v="USD"/>
    <n v="1432098000"/>
    <n v="1433653200"/>
    <x v="334"/>
    <d v="2015-06-07T05:00:00"/>
    <s v="Wed"/>
    <n v="18"/>
    <b v="0"/>
    <b v="1"/>
    <s v="music/jazz"/>
    <x v="1"/>
    <x v="17"/>
  </r>
  <r>
    <n v="351"/>
    <s v="Young LLC"/>
    <s v="Universal maximized methodology"/>
    <n v="74100"/>
    <n v="94631"/>
    <n v="1.2770715249662619"/>
    <n v="2.1230434782608696"/>
    <x v="1"/>
    <n v="2013"/>
    <n v="47.009935419771487"/>
    <x v="1"/>
    <s v="USD"/>
    <n v="1440392400"/>
    <n v="1441602000"/>
    <x v="335"/>
    <d v="2015-09-07T05:00:00"/>
    <s v="Mon"/>
    <n v="14"/>
    <b v="0"/>
    <b v="0"/>
    <s v="music/rock"/>
    <x v="1"/>
    <x v="1"/>
  </r>
  <r>
    <n v="352"/>
    <s v="Adams, Willis and Sanchez"/>
    <s v="Expanded hybrid hardware"/>
    <n v="2800"/>
    <n v="977"/>
    <n v="0.34892857142857142"/>
    <n v="0.50551920620886137"/>
    <x v="0"/>
    <n v="33"/>
    <n v="29.606060606060606"/>
    <x v="0"/>
    <s v="CAD"/>
    <n v="1446876000"/>
    <n v="1447567200"/>
    <x v="336"/>
    <d v="2015-11-15T06:00:00"/>
    <s v="Sat"/>
    <n v="8"/>
    <b v="0"/>
    <b v="0"/>
    <s v="theater/plays"/>
    <x v="3"/>
    <x v="3"/>
  </r>
  <r>
    <n v="353"/>
    <s v="Mills-Roy"/>
    <s v="Profit-focused multi-tasking access"/>
    <n v="33600"/>
    <n v="137961"/>
    <n v="4.105982142857143"/>
    <n v="2.1230434782608696"/>
    <x v="1"/>
    <n v="1703"/>
    <n v="81.010569583088667"/>
    <x v="1"/>
    <s v="USD"/>
    <n v="1562302800"/>
    <n v="1562389200"/>
    <x v="337"/>
    <d v="2019-07-06T05:00:00"/>
    <s v="Fri"/>
    <n v="1"/>
    <b v="0"/>
    <b v="0"/>
    <s v="theater/plays"/>
    <x v="3"/>
    <x v="3"/>
  </r>
  <r>
    <n v="354"/>
    <s v="Brown Group"/>
    <s v="Profit-focused transitional capability"/>
    <n v="6100"/>
    <n v="7548"/>
    <n v="1.2373770491803278"/>
    <n v="2.1230434782608696"/>
    <x v="1"/>
    <n v="80"/>
    <n v="94.35"/>
    <x v="3"/>
    <s v="DKK"/>
    <n v="1378184400"/>
    <n v="1378789200"/>
    <x v="338"/>
    <d v="2013-09-10T05:00:00"/>
    <s v="Tue"/>
    <n v="7"/>
    <b v="0"/>
    <b v="0"/>
    <s v="film &amp; video/documentary"/>
    <x v="4"/>
    <x v="4"/>
  </r>
  <r>
    <n v="355"/>
    <s v="Burns-Burnett"/>
    <s v="Front-line scalable definition"/>
    <n v="3800"/>
    <n v="2241"/>
    <n v="0.58973684210526311"/>
    <n v="0.49522981646937392"/>
    <x v="2"/>
    <n v="86"/>
    <n v="26.058139534883722"/>
    <x v="1"/>
    <s v="USD"/>
    <n v="1485064800"/>
    <n v="1488520800"/>
    <x v="339"/>
    <d v="2017-03-03T06:00:00"/>
    <s v="Sun"/>
    <n v="40"/>
    <b v="0"/>
    <b v="0"/>
    <s v="technology/wearables"/>
    <x v="2"/>
    <x v="8"/>
  </r>
  <r>
    <n v="356"/>
    <s v="Glass, Nunez and Mcdonald"/>
    <s v="Open-source systematic protocol"/>
    <n v="9300"/>
    <n v="3431"/>
    <n v="0.36892473118279567"/>
    <n v="0.50551920620886137"/>
    <x v="0"/>
    <n v="40"/>
    <n v="85.775000000000006"/>
    <x v="6"/>
    <s v="EUR"/>
    <n v="1326520800"/>
    <n v="1327298400"/>
    <x v="340"/>
    <d v="2012-01-23T06:00:00"/>
    <s v="Sat"/>
    <n v="9"/>
    <b v="0"/>
    <b v="0"/>
    <s v="theater/plays"/>
    <x v="3"/>
    <x v="3"/>
  </r>
  <r>
    <n v="357"/>
    <s v="Perez, Davis and Wilson"/>
    <s v="Implemented tangible algorithm"/>
    <n v="2300"/>
    <n v="4253"/>
    <n v="1.8491304347826087"/>
    <n v="2.1230434782608696"/>
    <x v="1"/>
    <n v="41"/>
    <n v="103.73170731707317"/>
    <x v="1"/>
    <s v="USD"/>
    <n v="1441256400"/>
    <n v="1443416400"/>
    <x v="341"/>
    <d v="2015-09-28T05:00:00"/>
    <s v="Thu"/>
    <n v="25"/>
    <b v="0"/>
    <b v="0"/>
    <s v="games/video games"/>
    <x v="6"/>
    <x v="11"/>
  </r>
  <r>
    <n v="358"/>
    <s v="Diaz-Garcia"/>
    <s v="Profit-focused 3rdgeneration circuit"/>
    <n v="9700"/>
    <n v="1146"/>
    <n v="0.11814432989690722"/>
    <n v="0.50551920620886137"/>
    <x v="0"/>
    <n v="23"/>
    <n v="49.826086956521742"/>
    <x v="0"/>
    <s v="CAD"/>
    <n v="1533877200"/>
    <n v="1534136400"/>
    <x v="342"/>
    <d v="2018-08-13T05:00:00"/>
    <s v="Fri"/>
    <n v="3"/>
    <b v="1"/>
    <b v="0"/>
    <s v="photography/photography books"/>
    <x v="7"/>
    <x v="14"/>
  </r>
  <r>
    <n v="359"/>
    <s v="Salazar-Moon"/>
    <s v="Compatible needs-based architecture"/>
    <n v="4000"/>
    <n v="11948"/>
    <n v="2.9870000000000001"/>
    <n v="2.1230434782608696"/>
    <x v="1"/>
    <n v="187"/>
    <n v="63.893048128342244"/>
    <x v="1"/>
    <s v="USD"/>
    <n v="1314421200"/>
    <n v="1315026000"/>
    <x v="343"/>
    <d v="2011-09-03T05:00:00"/>
    <s v="Sat"/>
    <n v="7"/>
    <b v="0"/>
    <b v="0"/>
    <s v="film &amp; video/animation"/>
    <x v="4"/>
    <x v="10"/>
  </r>
  <r>
    <n v="360"/>
    <s v="Larsen-Chung"/>
    <s v="Right-sized zero tolerance migration"/>
    <n v="59700"/>
    <n v="135132"/>
    <n v="2.2635175879396985"/>
    <n v="2.1230434782608696"/>
    <x v="1"/>
    <n v="2875"/>
    <n v="47.002434782608695"/>
    <x v="4"/>
    <s v="GBP"/>
    <n v="1293861600"/>
    <n v="1295071200"/>
    <x v="344"/>
    <d v="2011-01-15T06:00:00"/>
    <s v="Sat"/>
    <n v="14"/>
    <b v="0"/>
    <b v="1"/>
    <s v="theater/plays"/>
    <x v="3"/>
    <x v="3"/>
  </r>
  <r>
    <n v="361"/>
    <s v="Anderson and Sons"/>
    <s v="Quality-focused reciprocal structure"/>
    <n v="5500"/>
    <n v="9546"/>
    <n v="1.7356363636363636"/>
    <n v="2.1230434782608696"/>
    <x v="1"/>
    <n v="88"/>
    <n v="108.47727272727273"/>
    <x v="1"/>
    <s v="USD"/>
    <n v="1507352400"/>
    <n v="1509426000"/>
    <x v="345"/>
    <d v="2017-10-31T05:00:00"/>
    <s v="Sat"/>
    <n v="24"/>
    <b v="0"/>
    <b v="0"/>
    <s v="theater/plays"/>
    <x v="3"/>
    <x v="3"/>
  </r>
  <r>
    <n v="362"/>
    <s v="Lawrence Group"/>
    <s v="Automated actuating conglomeration"/>
    <n v="3700"/>
    <n v="13755"/>
    <n v="3.7175675675675675"/>
    <n v="2.1230434782608696"/>
    <x v="1"/>
    <n v="191"/>
    <n v="72.015706806282722"/>
    <x v="1"/>
    <s v="USD"/>
    <n v="1296108000"/>
    <n v="1299391200"/>
    <x v="65"/>
    <d v="2011-03-06T06:00:00"/>
    <s v="Thu"/>
    <n v="38"/>
    <b v="0"/>
    <b v="0"/>
    <s v="music/rock"/>
    <x v="1"/>
    <x v="1"/>
  </r>
  <r>
    <n v="363"/>
    <s v="Gray-Davis"/>
    <s v="Re-contextualized local initiative"/>
    <n v="5200"/>
    <n v="8330"/>
    <n v="1.601923076923077"/>
    <n v="2.1230434782608696"/>
    <x v="1"/>
    <n v="139"/>
    <n v="59.928057553956833"/>
    <x v="1"/>
    <s v="USD"/>
    <n v="1324965600"/>
    <n v="1325052000"/>
    <x v="346"/>
    <d v="2011-12-28T06:00:00"/>
    <s v="Tue"/>
    <n v="1"/>
    <b v="0"/>
    <b v="0"/>
    <s v="music/rock"/>
    <x v="1"/>
    <x v="1"/>
  </r>
  <r>
    <n v="364"/>
    <s v="Ramirez-Myers"/>
    <s v="Switchable intangible definition"/>
    <n v="900"/>
    <n v="14547"/>
    <n v="16.163333333333334"/>
    <n v="2.1230434782608696"/>
    <x v="1"/>
    <n v="186"/>
    <n v="78.209677419354833"/>
    <x v="1"/>
    <s v="USD"/>
    <n v="1520229600"/>
    <n v="1522818000"/>
    <x v="347"/>
    <d v="2018-04-04T05:00:00"/>
    <s v="Mon"/>
    <n v="30"/>
    <b v="0"/>
    <b v="0"/>
    <s v="music/indie rock"/>
    <x v="1"/>
    <x v="7"/>
  </r>
  <r>
    <n v="365"/>
    <s v="Lucas, Hall and Bonilla"/>
    <s v="Networked bottom-line initiative"/>
    <n v="1600"/>
    <n v="11735"/>
    <n v="7.3343749999999996"/>
    <n v="2.1230434782608696"/>
    <x v="1"/>
    <n v="112"/>
    <n v="104.77678571428571"/>
    <x v="2"/>
    <s v="AUD"/>
    <n v="1482991200"/>
    <n v="1485324000"/>
    <x v="348"/>
    <d v="2017-01-25T06:00:00"/>
    <s v="Thu"/>
    <n v="27"/>
    <b v="0"/>
    <b v="0"/>
    <s v="theater/plays"/>
    <x v="3"/>
    <x v="3"/>
  </r>
  <r>
    <n v="366"/>
    <s v="Williams, Perez and Villegas"/>
    <s v="Robust directional system engine"/>
    <n v="1800"/>
    <n v="10658"/>
    <n v="5.9211111111111112"/>
    <n v="2.1230434782608696"/>
    <x v="1"/>
    <n v="101"/>
    <n v="105.52475247524752"/>
    <x v="1"/>
    <s v="USD"/>
    <n v="1294034400"/>
    <n v="1294120800"/>
    <x v="349"/>
    <d v="2011-01-04T06:00:00"/>
    <s v="Mon"/>
    <n v="1"/>
    <b v="0"/>
    <b v="1"/>
    <s v="theater/plays"/>
    <x v="3"/>
    <x v="3"/>
  </r>
  <r>
    <n v="367"/>
    <s v="Brooks, Jones and Ingram"/>
    <s v="Triple-buffered explicit methodology"/>
    <n v="9900"/>
    <n v="1870"/>
    <n v="0.18888888888888888"/>
    <n v="0.50551920620886137"/>
    <x v="0"/>
    <n v="75"/>
    <n v="24.933333333333334"/>
    <x v="1"/>
    <s v="USD"/>
    <n v="1413608400"/>
    <n v="1415685600"/>
    <x v="350"/>
    <d v="2014-11-11T06:00:00"/>
    <s v="Sat"/>
    <n v="24"/>
    <b v="0"/>
    <b v="1"/>
    <s v="theater/plays"/>
    <x v="3"/>
    <x v="3"/>
  </r>
  <r>
    <n v="368"/>
    <s v="Whitaker, Wallace and Daniels"/>
    <s v="Reactive directional capacity"/>
    <n v="5200"/>
    <n v="14394"/>
    <n v="2.7680769230769231"/>
    <n v="2.1230434782608696"/>
    <x v="1"/>
    <n v="206"/>
    <n v="69.873786407766985"/>
    <x v="4"/>
    <s v="GBP"/>
    <n v="1286946000"/>
    <n v="1288933200"/>
    <x v="351"/>
    <d v="2010-11-05T05:00:00"/>
    <s v="Wed"/>
    <n v="23"/>
    <b v="0"/>
    <b v="1"/>
    <s v="film &amp; video/documentary"/>
    <x v="4"/>
    <x v="4"/>
  </r>
  <r>
    <n v="369"/>
    <s v="Smith-Gonzalez"/>
    <s v="Polarized needs-based approach"/>
    <n v="5400"/>
    <n v="14743"/>
    <n v="2.730185185185185"/>
    <n v="2.1230434782608696"/>
    <x v="1"/>
    <n v="154"/>
    <n v="95.733766233766232"/>
    <x v="1"/>
    <s v="USD"/>
    <n v="1359871200"/>
    <n v="1363237200"/>
    <x v="352"/>
    <d v="2013-03-14T05:00:00"/>
    <s v="Sun"/>
    <n v="39"/>
    <b v="0"/>
    <b v="1"/>
    <s v="film &amp; video/television"/>
    <x v="4"/>
    <x v="19"/>
  </r>
  <r>
    <n v="370"/>
    <s v="Skinner PLC"/>
    <s v="Intuitive well-modulated middleware"/>
    <n v="112300"/>
    <n v="178965"/>
    <n v="1.593633125556545"/>
    <n v="2.1230434782608696"/>
    <x v="1"/>
    <n v="5966"/>
    <n v="29.997485752598056"/>
    <x v="1"/>
    <s v="USD"/>
    <n v="1555304400"/>
    <n v="1555822800"/>
    <x v="353"/>
    <d v="2019-04-21T05:00:00"/>
    <s v="Mon"/>
    <n v="6"/>
    <b v="0"/>
    <b v="0"/>
    <s v="theater/plays"/>
    <x v="3"/>
    <x v="3"/>
  </r>
  <r>
    <n v="371"/>
    <s v="Nolan, Smith and Sanchez"/>
    <s v="Multi-channeled logistical matrices"/>
    <n v="189200"/>
    <n v="128410"/>
    <n v="0.67869978858350954"/>
    <n v="0.50551920620886137"/>
    <x v="0"/>
    <n v="2176"/>
    <n v="59.011948529411768"/>
    <x v="1"/>
    <s v="USD"/>
    <n v="1423375200"/>
    <n v="1427778000"/>
    <x v="354"/>
    <d v="2015-03-31T05:00:00"/>
    <s v="Sun"/>
    <n v="51"/>
    <b v="0"/>
    <b v="0"/>
    <s v="theater/plays"/>
    <x v="3"/>
    <x v="3"/>
  </r>
  <r>
    <n v="372"/>
    <s v="Green-Carr"/>
    <s v="Pre-emptive bifurcated artificial intelligence"/>
    <n v="900"/>
    <n v="14324"/>
    <n v="15.915555555555555"/>
    <n v="2.1230434782608696"/>
    <x v="1"/>
    <n v="169"/>
    <n v="84.757396449704146"/>
    <x v="1"/>
    <s v="USD"/>
    <n v="1420696800"/>
    <n v="1422424800"/>
    <x v="355"/>
    <d v="2015-01-28T06:00:00"/>
    <s v="Thu"/>
    <n v="20"/>
    <b v="0"/>
    <b v="1"/>
    <s v="film &amp; video/documentary"/>
    <x v="4"/>
    <x v="4"/>
  </r>
  <r>
    <n v="373"/>
    <s v="Brown-Parker"/>
    <s v="Down-sized coherent toolset"/>
    <n v="22500"/>
    <n v="164291"/>
    <n v="7.3018222222222224"/>
    <n v="2.1230434782608696"/>
    <x v="1"/>
    <n v="2106"/>
    <n v="78.010921177587846"/>
    <x v="1"/>
    <s v="USD"/>
    <n v="1502946000"/>
    <n v="1503637200"/>
    <x v="356"/>
    <d v="2017-08-25T05:00:00"/>
    <s v="Thu"/>
    <n v="8"/>
    <b v="0"/>
    <b v="0"/>
    <s v="theater/plays"/>
    <x v="3"/>
    <x v="3"/>
  </r>
  <r>
    <n v="374"/>
    <s v="Marshall Inc"/>
    <s v="Open-source multi-tasking data-warehouse"/>
    <n v="167400"/>
    <n v="22073"/>
    <n v="0.13185782556750297"/>
    <n v="0.50551920620886137"/>
    <x v="0"/>
    <n v="441"/>
    <n v="50.05215419501134"/>
    <x v="1"/>
    <s v="USD"/>
    <n v="1547186400"/>
    <n v="1547618400"/>
    <x v="357"/>
    <d v="2019-01-16T06:00:00"/>
    <s v="Fri"/>
    <n v="5"/>
    <b v="0"/>
    <b v="1"/>
    <s v="film &amp; video/documentary"/>
    <x v="4"/>
    <x v="4"/>
  </r>
  <r>
    <n v="375"/>
    <s v="Leblanc-Pineda"/>
    <s v="Future-proofed upward-trending contingency"/>
    <n v="2700"/>
    <n v="1479"/>
    <n v="0.54777777777777781"/>
    <n v="0.50551920620886137"/>
    <x v="0"/>
    <n v="25"/>
    <n v="59.16"/>
    <x v="1"/>
    <s v="USD"/>
    <n v="1444971600"/>
    <n v="1449900000"/>
    <x v="358"/>
    <d v="2015-12-12T06:00:00"/>
    <s v="Fri"/>
    <n v="57"/>
    <b v="0"/>
    <b v="0"/>
    <s v="music/indie rock"/>
    <x v="1"/>
    <x v="7"/>
  </r>
  <r>
    <n v="376"/>
    <s v="Perry PLC"/>
    <s v="Mandatory uniform matrix"/>
    <n v="3400"/>
    <n v="12275"/>
    <n v="3.6102941176470589"/>
    <n v="2.1230434782608696"/>
    <x v="1"/>
    <n v="131"/>
    <n v="93.702290076335885"/>
    <x v="1"/>
    <s v="USD"/>
    <n v="1404622800"/>
    <n v="1405141200"/>
    <x v="359"/>
    <d v="2014-07-12T05:00:00"/>
    <s v="Sun"/>
    <n v="6"/>
    <b v="0"/>
    <b v="0"/>
    <s v="music/rock"/>
    <x v="1"/>
    <x v="1"/>
  </r>
  <r>
    <n v="377"/>
    <s v="Klein, Stark and Livingston"/>
    <s v="Phased methodical initiative"/>
    <n v="49700"/>
    <n v="5098"/>
    <n v="0.10257545271629778"/>
    <n v="0.50551920620886137"/>
    <x v="0"/>
    <n v="127"/>
    <n v="40.14173228346457"/>
    <x v="1"/>
    <s v="USD"/>
    <n v="1571720400"/>
    <n v="1572933600"/>
    <x v="12"/>
    <d v="2019-11-05T06:00:00"/>
    <s v="Tue"/>
    <n v="14"/>
    <b v="0"/>
    <b v="0"/>
    <s v="theater/plays"/>
    <x v="3"/>
    <x v="3"/>
  </r>
  <r>
    <n v="378"/>
    <s v="Fleming-Oliver"/>
    <s v="Managed stable function"/>
    <n v="178200"/>
    <n v="24882"/>
    <n v="0.13962962962962963"/>
    <n v="0.50551920620886137"/>
    <x v="0"/>
    <n v="355"/>
    <n v="70.090140845070422"/>
    <x v="1"/>
    <s v="USD"/>
    <n v="1526878800"/>
    <n v="1530162000"/>
    <x v="360"/>
    <d v="2018-06-28T05:00:00"/>
    <s v="Mon"/>
    <n v="38"/>
    <b v="0"/>
    <b v="0"/>
    <s v="film &amp; video/documentary"/>
    <x v="4"/>
    <x v="4"/>
  </r>
  <r>
    <n v="379"/>
    <s v="Reilly, Aguirre and Johnson"/>
    <s v="Realigned clear-thinking migration"/>
    <n v="7200"/>
    <n v="2912"/>
    <n v="0.40444444444444444"/>
    <n v="0.50551920620886137"/>
    <x v="0"/>
    <n v="44"/>
    <n v="66.181818181818187"/>
    <x v="4"/>
    <s v="GBP"/>
    <n v="1319691600"/>
    <n v="1320904800"/>
    <x v="361"/>
    <d v="2011-11-10T06:00:00"/>
    <s v="Thu"/>
    <n v="14"/>
    <b v="0"/>
    <b v="0"/>
    <s v="theater/plays"/>
    <x v="3"/>
    <x v="3"/>
  </r>
  <r>
    <n v="380"/>
    <s v="Davidson, Wilcox and Lewis"/>
    <s v="Optional clear-thinking process improvement"/>
    <n v="2500"/>
    <n v="4008"/>
    <n v="1.6032"/>
    <n v="2.1230434782608696"/>
    <x v="1"/>
    <n v="84"/>
    <n v="47.714285714285715"/>
    <x v="1"/>
    <s v="USD"/>
    <n v="1371963600"/>
    <n v="1372395600"/>
    <x v="362"/>
    <d v="2013-06-28T05:00:00"/>
    <s v="Sun"/>
    <n v="5"/>
    <b v="0"/>
    <b v="0"/>
    <s v="theater/plays"/>
    <x v="3"/>
    <x v="3"/>
  </r>
  <r>
    <n v="381"/>
    <s v="Michael, Anderson and Vincent"/>
    <s v="Cross-group global moratorium"/>
    <n v="5300"/>
    <n v="9749"/>
    <n v="1.8394339622641509"/>
    <n v="2.1230434782608696"/>
    <x v="1"/>
    <n v="155"/>
    <n v="62.896774193548389"/>
    <x v="1"/>
    <s v="USD"/>
    <n v="1433739600"/>
    <n v="1437714000"/>
    <x v="363"/>
    <d v="2015-07-24T05:00:00"/>
    <s v="Mon"/>
    <n v="46"/>
    <b v="0"/>
    <b v="0"/>
    <s v="theater/plays"/>
    <x v="3"/>
    <x v="3"/>
  </r>
  <r>
    <n v="382"/>
    <s v="King Ltd"/>
    <s v="Visionary systemic process improvement"/>
    <n v="9100"/>
    <n v="5803"/>
    <n v="0.63769230769230767"/>
    <n v="0.50551920620886137"/>
    <x v="0"/>
    <n v="67"/>
    <n v="86.611940298507463"/>
    <x v="1"/>
    <s v="USD"/>
    <n v="1508130000"/>
    <n v="1509771600"/>
    <x v="364"/>
    <d v="2017-11-04T05:00:00"/>
    <s v="Mon"/>
    <n v="19"/>
    <b v="0"/>
    <b v="0"/>
    <s v="photography/photography books"/>
    <x v="7"/>
    <x v="14"/>
  </r>
  <r>
    <n v="383"/>
    <s v="Baker Ltd"/>
    <s v="Progressive intangible flexibility"/>
    <n v="6300"/>
    <n v="14199"/>
    <n v="2.2538095238095237"/>
    <n v="2.1230434782608696"/>
    <x v="1"/>
    <n v="189"/>
    <n v="75.126984126984127"/>
    <x v="1"/>
    <s v="USD"/>
    <n v="1550037600"/>
    <n v="1550556000"/>
    <x v="210"/>
    <d v="2019-02-19T06:00:00"/>
    <s v="Wed"/>
    <n v="6"/>
    <b v="0"/>
    <b v="1"/>
    <s v="food/food trucks"/>
    <x v="0"/>
    <x v="0"/>
  </r>
  <r>
    <n v="384"/>
    <s v="Baker, Collins and Smith"/>
    <s v="Reactive real-time software"/>
    <n v="114400"/>
    <n v="196779"/>
    <n v="1.7200961538461539"/>
    <n v="2.1230434782608696"/>
    <x v="1"/>
    <n v="4799"/>
    <n v="41.004167534903104"/>
    <x v="1"/>
    <s v="USD"/>
    <n v="1486706400"/>
    <n v="1489039200"/>
    <x v="365"/>
    <d v="2017-03-09T06:00:00"/>
    <s v="Fri"/>
    <n v="27"/>
    <b v="1"/>
    <b v="1"/>
    <s v="film &amp; video/documentary"/>
    <x v="4"/>
    <x v="4"/>
  </r>
  <r>
    <n v="385"/>
    <s v="Warren-Harrison"/>
    <s v="Programmable incremental knowledge user"/>
    <n v="38900"/>
    <n v="56859"/>
    <n v="1.4616709511568124"/>
    <n v="2.1230434782608696"/>
    <x v="1"/>
    <n v="1137"/>
    <n v="50.007915567282325"/>
    <x v="1"/>
    <s v="USD"/>
    <n v="1553835600"/>
    <n v="1556600400"/>
    <x v="366"/>
    <d v="2019-04-30T05:00:00"/>
    <s v="Fri"/>
    <n v="32"/>
    <b v="0"/>
    <b v="0"/>
    <s v="publishing/nonfiction"/>
    <x v="5"/>
    <x v="9"/>
  </r>
  <r>
    <n v="386"/>
    <s v="Gardner Group"/>
    <s v="Progressive 5thgeneration customer loyalty"/>
    <n v="135500"/>
    <n v="103554"/>
    <n v="0.76423616236162362"/>
    <n v="0.50551920620886137"/>
    <x v="0"/>
    <n v="1068"/>
    <n v="96.960674157303373"/>
    <x v="1"/>
    <s v="USD"/>
    <n v="1277528400"/>
    <n v="1278565200"/>
    <x v="367"/>
    <d v="2010-07-08T05:00:00"/>
    <s v="Sat"/>
    <n v="12"/>
    <b v="0"/>
    <b v="0"/>
    <s v="theater/plays"/>
    <x v="3"/>
    <x v="3"/>
  </r>
  <r>
    <n v="387"/>
    <s v="Flores-Lambert"/>
    <s v="Triple-buffered logistical frame"/>
    <n v="109000"/>
    <n v="42795"/>
    <n v="0.39261467889908258"/>
    <n v="0.50551920620886137"/>
    <x v="0"/>
    <n v="424"/>
    <n v="100.93160377358491"/>
    <x v="1"/>
    <s v="USD"/>
    <n v="1339477200"/>
    <n v="1339909200"/>
    <x v="368"/>
    <d v="2012-06-17T05:00:00"/>
    <s v="Tue"/>
    <n v="5"/>
    <b v="0"/>
    <b v="0"/>
    <s v="technology/wearables"/>
    <x v="2"/>
    <x v="8"/>
  </r>
  <r>
    <n v="388"/>
    <s v="Cruz Ltd"/>
    <s v="Exclusive dynamic adapter"/>
    <n v="114800"/>
    <n v="12938"/>
    <n v="0.11270034843205574"/>
    <n v="0.43241247264770238"/>
    <x v="3"/>
    <n v="145"/>
    <n v="89.227586206896547"/>
    <x v="5"/>
    <s v="CHF"/>
    <n v="1325656800"/>
    <n v="1325829600"/>
    <x v="369"/>
    <d v="2012-01-06T06:00:00"/>
    <s v="Wed"/>
    <n v="2"/>
    <b v="0"/>
    <b v="0"/>
    <s v="music/indie rock"/>
    <x v="1"/>
    <x v="7"/>
  </r>
  <r>
    <n v="389"/>
    <s v="Knox-Garner"/>
    <s v="Automated systemic hierarchy"/>
    <n v="83000"/>
    <n v="101352"/>
    <n v="1.2211084337349398"/>
    <n v="2.1230434782608696"/>
    <x v="1"/>
    <n v="1152"/>
    <n v="87.979166666666671"/>
    <x v="1"/>
    <s v="USD"/>
    <n v="1288242000"/>
    <n v="1290578400"/>
    <x v="370"/>
    <d v="2010-11-24T06:00:00"/>
    <s v="Thu"/>
    <n v="27"/>
    <b v="0"/>
    <b v="0"/>
    <s v="theater/plays"/>
    <x v="3"/>
    <x v="3"/>
  </r>
  <r>
    <n v="390"/>
    <s v="Davis-Allen"/>
    <s v="Digitized eco-centric core"/>
    <n v="2400"/>
    <n v="4477"/>
    <n v="1.8654166666666667"/>
    <n v="2.1230434782608696"/>
    <x v="1"/>
    <n v="50"/>
    <n v="89.54"/>
    <x v="1"/>
    <s v="USD"/>
    <n v="1379048400"/>
    <n v="1380344400"/>
    <x v="371"/>
    <d v="2013-09-28T05:00:00"/>
    <s v="Fri"/>
    <n v="15"/>
    <b v="0"/>
    <b v="0"/>
    <s v="photography/photography books"/>
    <x v="7"/>
    <x v="14"/>
  </r>
  <r>
    <n v="391"/>
    <s v="Miller-Patel"/>
    <s v="Mandatory uniform strategy"/>
    <n v="60400"/>
    <n v="4393"/>
    <n v="7.27317880794702E-2"/>
    <n v="0.50551920620886137"/>
    <x v="0"/>
    <n v="151"/>
    <n v="29.09271523178808"/>
    <x v="1"/>
    <s v="USD"/>
    <n v="1389679200"/>
    <n v="1389852000"/>
    <x v="287"/>
    <d v="2014-01-16T06:00:00"/>
    <s v="Tue"/>
    <n v="2"/>
    <b v="0"/>
    <b v="0"/>
    <s v="publishing/nonfiction"/>
    <x v="5"/>
    <x v="9"/>
  </r>
  <r>
    <n v="392"/>
    <s v="Hernandez-Grimes"/>
    <s v="Profit-focused zero administration forecast"/>
    <n v="102900"/>
    <n v="67546"/>
    <n v="0.65642371234207963"/>
    <n v="0.50551920620886137"/>
    <x v="0"/>
    <n v="1608"/>
    <n v="42.006218905472636"/>
    <x v="1"/>
    <s v="USD"/>
    <n v="1294293600"/>
    <n v="1294466400"/>
    <x v="372"/>
    <d v="2011-01-08T06:00:00"/>
    <s v="Thu"/>
    <n v="2"/>
    <b v="0"/>
    <b v="0"/>
    <s v="technology/wearables"/>
    <x v="2"/>
    <x v="8"/>
  </r>
  <r>
    <n v="393"/>
    <s v="Owens, Hall and Gonzalez"/>
    <s v="De-engineered static orchestration"/>
    <n v="62800"/>
    <n v="143788"/>
    <n v="2.2896178343949045"/>
    <n v="2.1230434782608696"/>
    <x v="1"/>
    <n v="3059"/>
    <n v="47.004903563255965"/>
    <x v="0"/>
    <s v="CAD"/>
    <n v="1500267600"/>
    <n v="1500354000"/>
    <x v="373"/>
    <d v="2017-07-18T05:00:00"/>
    <s v="Mon"/>
    <n v="1"/>
    <b v="0"/>
    <b v="0"/>
    <s v="music/jazz"/>
    <x v="1"/>
    <x v="17"/>
  </r>
  <r>
    <n v="394"/>
    <s v="Noble-Bailey"/>
    <s v="Customizable dynamic info-mediaries"/>
    <n v="800"/>
    <n v="3755"/>
    <n v="4.6937499999999996"/>
    <n v="2.1230434782608696"/>
    <x v="1"/>
    <n v="34"/>
    <n v="110.44117647058823"/>
    <x v="1"/>
    <s v="USD"/>
    <n v="1375074000"/>
    <n v="1375938000"/>
    <x v="374"/>
    <d v="2013-08-08T05:00:00"/>
    <s v="Mon"/>
    <n v="10"/>
    <b v="0"/>
    <b v="1"/>
    <s v="film &amp; video/documentary"/>
    <x v="4"/>
    <x v="4"/>
  </r>
  <r>
    <n v="395"/>
    <s v="Taylor PLC"/>
    <s v="Enhanced incremental budgetary management"/>
    <n v="7100"/>
    <n v="9238"/>
    <n v="1.3011267605633803"/>
    <n v="2.1230434782608696"/>
    <x v="1"/>
    <n v="220"/>
    <n v="41.990909090909092"/>
    <x v="1"/>
    <s v="USD"/>
    <n v="1323324000"/>
    <n v="1323410400"/>
    <x v="375"/>
    <d v="2011-12-09T06:00:00"/>
    <s v="Thu"/>
    <n v="1"/>
    <b v="1"/>
    <b v="0"/>
    <s v="theater/plays"/>
    <x v="3"/>
    <x v="3"/>
  </r>
  <r>
    <n v="396"/>
    <s v="Holmes PLC"/>
    <s v="Digitized local info-mediaries"/>
    <n v="46100"/>
    <n v="77012"/>
    <n v="1.6705422993492407"/>
    <n v="2.1230434782608696"/>
    <x v="1"/>
    <n v="1604"/>
    <n v="48.012468827930178"/>
    <x v="2"/>
    <s v="AUD"/>
    <n v="1538715600"/>
    <n v="1539406800"/>
    <x v="376"/>
    <d v="2018-10-13T05:00:00"/>
    <s v="Fri"/>
    <n v="8"/>
    <b v="0"/>
    <b v="0"/>
    <s v="film &amp; video/drama"/>
    <x v="4"/>
    <x v="6"/>
  </r>
  <r>
    <n v="397"/>
    <s v="Jones-Martin"/>
    <s v="Virtual systematic monitoring"/>
    <n v="8100"/>
    <n v="14083"/>
    <n v="1.738641975308642"/>
    <n v="2.1230434782608696"/>
    <x v="1"/>
    <n v="454"/>
    <n v="31.019823788546255"/>
    <x v="1"/>
    <s v="USD"/>
    <n v="1369285200"/>
    <n v="1369803600"/>
    <x v="377"/>
    <d v="2013-05-29T05:00:00"/>
    <s v="Thu"/>
    <n v="6"/>
    <b v="0"/>
    <b v="0"/>
    <s v="music/rock"/>
    <x v="1"/>
    <x v="1"/>
  </r>
  <r>
    <n v="398"/>
    <s v="Myers LLC"/>
    <s v="Reactive bottom-line open architecture"/>
    <n v="1700"/>
    <n v="12202"/>
    <n v="7.1776470588235295"/>
    <n v="2.1230434782608696"/>
    <x v="1"/>
    <n v="123"/>
    <n v="99.203252032520325"/>
    <x v="6"/>
    <s v="EUR"/>
    <n v="1525755600"/>
    <n v="1525928400"/>
    <x v="378"/>
    <d v="2018-05-10T05:00:00"/>
    <s v="Tue"/>
    <n v="2"/>
    <b v="0"/>
    <b v="1"/>
    <s v="film &amp; video/animation"/>
    <x v="4"/>
    <x v="10"/>
  </r>
  <r>
    <n v="399"/>
    <s v="Acosta, Mullins and Morris"/>
    <s v="Pre-emptive interactive model"/>
    <n v="97300"/>
    <n v="62127"/>
    <n v="0.63850976361767731"/>
    <n v="0.50551920620886137"/>
    <x v="0"/>
    <n v="941"/>
    <n v="66.022316684378325"/>
    <x v="1"/>
    <s v="USD"/>
    <n v="1296626400"/>
    <n v="1297231200"/>
    <x v="379"/>
    <d v="2011-02-09T06:00:00"/>
    <s v="Wed"/>
    <n v="7"/>
    <b v="0"/>
    <b v="0"/>
    <s v="music/indie rock"/>
    <x v="1"/>
    <x v="7"/>
  </r>
  <r>
    <n v="400"/>
    <s v="Bell PLC"/>
    <s v="Ergonomic eco-centric open architecture"/>
    <n v="100"/>
    <n v="2"/>
    <n v="0.02"/>
    <n v="0.50551920620886137"/>
    <x v="0"/>
    <n v="1"/>
    <n v="2"/>
    <x v="1"/>
    <s v="USD"/>
    <n v="1376629200"/>
    <n v="1378530000"/>
    <x v="380"/>
    <d v="2013-09-07T05:00:00"/>
    <s v="Fri"/>
    <n v="22"/>
    <b v="0"/>
    <b v="1"/>
    <s v="photography/photography books"/>
    <x v="7"/>
    <x v="14"/>
  </r>
  <r>
    <n v="401"/>
    <s v="Smith-Schmidt"/>
    <s v="Inverse radical hierarchy"/>
    <n v="900"/>
    <n v="13772"/>
    <n v="15.302222222222222"/>
    <n v="2.1230434782608696"/>
    <x v="1"/>
    <n v="299"/>
    <n v="46.060200668896321"/>
    <x v="1"/>
    <s v="USD"/>
    <n v="1572152400"/>
    <n v="1572152400"/>
    <x v="381"/>
    <d v="2019-10-27T05:00:00"/>
    <s v="Sun"/>
    <n v="0"/>
    <b v="0"/>
    <b v="0"/>
    <s v="theater/plays"/>
    <x v="3"/>
    <x v="3"/>
  </r>
  <r>
    <n v="402"/>
    <s v="Ruiz, Richardson and Cole"/>
    <s v="Team-oriented static interface"/>
    <n v="7300"/>
    <n v="2946"/>
    <n v="0.40356164383561643"/>
    <n v="0.50551920620886137"/>
    <x v="0"/>
    <n v="40"/>
    <n v="73.650000000000006"/>
    <x v="1"/>
    <s v="USD"/>
    <n v="1325829600"/>
    <n v="1329890400"/>
    <x v="382"/>
    <d v="2012-02-22T06:00:00"/>
    <s v="Fri"/>
    <n v="47"/>
    <b v="0"/>
    <b v="1"/>
    <s v="film &amp; video/shorts"/>
    <x v="4"/>
    <x v="12"/>
  </r>
  <r>
    <n v="403"/>
    <s v="Leonard-Mcclain"/>
    <s v="Virtual foreground throughput"/>
    <n v="195800"/>
    <n v="168820"/>
    <n v="0.86220633299284988"/>
    <n v="0.50551920620886137"/>
    <x v="0"/>
    <n v="3015"/>
    <n v="55.99336650082919"/>
    <x v="0"/>
    <s v="CAD"/>
    <n v="1273640400"/>
    <n v="1276750800"/>
    <x v="125"/>
    <d v="2010-06-17T05:00:00"/>
    <s v="Wed"/>
    <n v="36"/>
    <b v="0"/>
    <b v="1"/>
    <s v="theater/plays"/>
    <x v="3"/>
    <x v="3"/>
  </r>
  <r>
    <n v="404"/>
    <s v="Bailey-Boyer"/>
    <s v="Visionary exuding Internet solution"/>
    <n v="48900"/>
    <n v="154321"/>
    <n v="3.1558486707566464"/>
    <n v="2.1230434782608696"/>
    <x v="1"/>
    <n v="2237"/>
    <n v="68.985695127402778"/>
    <x v="1"/>
    <s v="USD"/>
    <n v="1510639200"/>
    <n v="1510898400"/>
    <x v="383"/>
    <d v="2017-11-17T06:00:00"/>
    <s v="Tue"/>
    <n v="3"/>
    <b v="0"/>
    <b v="0"/>
    <s v="theater/plays"/>
    <x v="3"/>
    <x v="3"/>
  </r>
  <r>
    <n v="405"/>
    <s v="Lee LLC"/>
    <s v="Synchronized secondary analyzer"/>
    <n v="29600"/>
    <n v="26527"/>
    <n v="0.89618243243243245"/>
    <n v="0.50551920620886137"/>
    <x v="0"/>
    <n v="435"/>
    <n v="60.981609195402299"/>
    <x v="1"/>
    <s v="USD"/>
    <n v="1528088400"/>
    <n v="1532408400"/>
    <x v="384"/>
    <d v="2018-07-24T05:00:00"/>
    <s v="Mon"/>
    <n v="50"/>
    <b v="0"/>
    <b v="0"/>
    <s v="theater/plays"/>
    <x v="3"/>
    <x v="3"/>
  </r>
  <r>
    <n v="406"/>
    <s v="Lyons Inc"/>
    <s v="Balanced attitude-oriented parallelism"/>
    <n v="39300"/>
    <n v="71583"/>
    <n v="1.8214503816793892"/>
    <n v="2.1230434782608696"/>
    <x v="1"/>
    <n v="645"/>
    <n v="110.98139534883721"/>
    <x v="1"/>
    <s v="USD"/>
    <n v="1359525600"/>
    <n v="1360562400"/>
    <x v="385"/>
    <d v="2013-02-11T06:00:00"/>
    <s v="Wed"/>
    <n v="12"/>
    <b v="1"/>
    <b v="0"/>
    <s v="film &amp; video/documentary"/>
    <x v="4"/>
    <x v="4"/>
  </r>
  <r>
    <n v="407"/>
    <s v="Herrera-Wilson"/>
    <s v="Organized bandwidth-monitored core"/>
    <n v="3400"/>
    <n v="12100"/>
    <n v="3.5588235294117645"/>
    <n v="2.1230434782608696"/>
    <x v="1"/>
    <n v="484"/>
    <n v="25"/>
    <x v="3"/>
    <s v="DKK"/>
    <n v="1570942800"/>
    <n v="1571547600"/>
    <x v="386"/>
    <d v="2019-10-20T05:00:00"/>
    <s v="Sun"/>
    <n v="7"/>
    <b v="0"/>
    <b v="0"/>
    <s v="theater/plays"/>
    <x v="3"/>
    <x v="3"/>
  </r>
  <r>
    <n v="408"/>
    <s v="Mahoney, Adams and Lucas"/>
    <s v="Cloned leadingedge utilization"/>
    <n v="9200"/>
    <n v="12129"/>
    <n v="1.3183695652173912"/>
    <n v="2.1230434782608696"/>
    <x v="1"/>
    <n v="154"/>
    <n v="78.759740259740255"/>
    <x v="0"/>
    <s v="CAD"/>
    <n v="1466398800"/>
    <n v="1468126800"/>
    <x v="387"/>
    <d v="2016-07-10T05:00:00"/>
    <s v="Mon"/>
    <n v="20"/>
    <b v="0"/>
    <b v="0"/>
    <s v="film &amp; video/documentary"/>
    <x v="4"/>
    <x v="4"/>
  </r>
  <r>
    <n v="409"/>
    <s v="Stewart LLC"/>
    <s v="Secured asymmetric projection"/>
    <n v="135600"/>
    <n v="62804"/>
    <n v="0.46315634218289087"/>
    <n v="0.50551920620886137"/>
    <x v="0"/>
    <n v="714"/>
    <n v="87.960784313725483"/>
    <x v="1"/>
    <s v="USD"/>
    <n v="1492491600"/>
    <n v="1492837200"/>
    <x v="388"/>
    <d v="2017-04-22T05:00:00"/>
    <s v="Tue"/>
    <n v="4"/>
    <b v="0"/>
    <b v="0"/>
    <s v="music/rock"/>
    <x v="1"/>
    <x v="1"/>
  </r>
  <r>
    <n v="410"/>
    <s v="Mcmillan Group"/>
    <s v="Advanced cohesive Graphic Interface"/>
    <n v="153700"/>
    <n v="55536"/>
    <n v="0.36132726089785294"/>
    <n v="0.49522981646937392"/>
    <x v="2"/>
    <n v="1111"/>
    <n v="49.987398739873989"/>
    <x v="1"/>
    <s v="USD"/>
    <n v="1430197200"/>
    <n v="1430197200"/>
    <x v="277"/>
    <d v="2015-04-28T05:00:00"/>
    <s v="Tue"/>
    <n v="0"/>
    <b v="0"/>
    <b v="0"/>
    <s v="games/mobile games"/>
    <x v="6"/>
    <x v="20"/>
  </r>
  <r>
    <n v="411"/>
    <s v="Beck, Thompson and Martinez"/>
    <s v="Down-sized maximized function"/>
    <n v="7800"/>
    <n v="8161"/>
    <n v="1.0462820512820512"/>
    <n v="2.1230434782608696"/>
    <x v="1"/>
    <n v="82"/>
    <n v="99.524390243902445"/>
    <x v="1"/>
    <s v="USD"/>
    <n v="1496034000"/>
    <n v="1496206800"/>
    <x v="389"/>
    <d v="2017-05-31T05:00:00"/>
    <s v="Mon"/>
    <n v="2"/>
    <b v="0"/>
    <b v="0"/>
    <s v="theater/plays"/>
    <x v="3"/>
    <x v="3"/>
  </r>
  <r>
    <n v="412"/>
    <s v="Rodriguez-Scott"/>
    <s v="Realigned zero tolerance software"/>
    <n v="2100"/>
    <n v="14046"/>
    <n v="6.6885714285714286"/>
    <n v="2.1230434782608696"/>
    <x v="1"/>
    <n v="134"/>
    <n v="104.82089552238806"/>
    <x v="1"/>
    <s v="USD"/>
    <n v="1388728800"/>
    <n v="1389592800"/>
    <x v="390"/>
    <d v="2014-01-13T06:00:00"/>
    <s v="Fri"/>
    <n v="10"/>
    <b v="0"/>
    <b v="0"/>
    <s v="publishing/fiction"/>
    <x v="5"/>
    <x v="13"/>
  </r>
  <r>
    <n v="413"/>
    <s v="Rush-Bowers"/>
    <s v="Persevering analyzing extranet"/>
    <n v="189500"/>
    <n v="117628"/>
    <n v="0.62072823218997364"/>
    <n v="0.49522981646937392"/>
    <x v="2"/>
    <n v="1089"/>
    <n v="108.01469237832875"/>
    <x v="1"/>
    <s v="USD"/>
    <n v="1543298400"/>
    <n v="1545631200"/>
    <x v="391"/>
    <d v="2018-12-24T06:00:00"/>
    <s v="Tue"/>
    <n v="27"/>
    <b v="0"/>
    <b v="0"/>
    <s v="film &amp; video/animation"/>
    <x v="4"/>
    <x v="10"/>
  </r>
  <r>
    <n v="414"/>
    <s v="Davis and Sons"/>
    <s v="Innovative human-resource migration"/>
    <n v="188200"/>
    <n v="159405"/>
    <n v="0.84699787460148779"/>
    <n v="0.50551920620886137"/>
    <x v="0"/>
    <n v="5497"/>
    <n v="28.998544660724033"/>
    <x v="1"/>
    <s v="USD"/>
    <n v="1271739600"/>
    <n v="1272430800"/>
    <x v="392"/>
    <d v="2010-04-28T05:00:00"/>
    <s v="Tue"/>
    <n v="8"/>
    <b v="0"/>
    <b v="1"/>
    <s v="food/food trucks"/>
    <x v="0"/>
    <x v="0"/>
  </r>
  <r>
    <n v="415"/>
    <s v="Anderson-Pham"/>
    <s v="Intuitive needs-based monitoring"/>
    <n v="113500"/>
    <n v="12552"/>
    <n v="0.11059030837004405"/>
    <n v="0.50551920620886137"/>
    <x v="0"/>
    <n v="418"/>
    <n v="30.028708133971293"/>
    <x v="1"/>
    <s v="USD"/>
    <n v="1326434400"/>
    <n v="1327903200"/>
    <x v="393"/>
    <d v="2012-01-30T06:00:00"/>
    <s v="Fri"/>
    <n v="17"/>
    <b v="0"/>
    <b v="0"/>
    <s v="theater/plays"/>
    <x v="3"/>
    <x v="3"/>
  </r>
  <r>
    <n v="416"/>
    <s v="Stewart-Coleman"/>
    <s v="Customer-focused disintermediate toolset"/>
    <n v="134600"/>
    <n v="59007"/>
    <n v="0.43838781575037145"/>
    <n v="0.50551920620886137"/>
    <x v="0"/>
    <n v="1439"/>
    <n v="41.005559416261292"/>
    <x v="1"/>
    <s v="USD"/>
    <n v="1295244000"/>
    <n v="1296021600"/>
    <x v="394"/>
    <d v="2011-01-26T06:00:00"/>
    <s v="Mon"/>
    <n v="9"/>
    <b v="0"/>
    <b v="1"/>
    <s v="film &amp; video/documentary"/>
    <x v="4"/>
    <x v="4"/>
  </r>
  <r>
    <n v="417"/>
    <s v="Bradshaw, Smith and Ryan"/>
    <s v="Upgradable 24/7 emulation"/>
    <n v="1700"/>
    <n v="943"/>
    <n v="0.55470588235294116"/>
    <n v="0.50551920620886137"/>
    <x v="0"/>
    <n v="15"/>
    <n v="62.866666666666667"/>
    <x v="1"/>
    <s v="USD"/>
    <n v="1541221200"/>
    <n v="1543298400"/>
    <x v="395"/>
    <d v="2018-11-27T06:00:00"/>
    <s v="Sat"/>
    <n v="24"/>
    <b v="0"/>
    <b v="0"/>
    <s v="theater/plays"/>
    <x v="3"/>
    <x v="3"/>
  </r>
  <r>
    <n v="418"/>
    <s v="Jackson PLC"/>
    <s v="Quality-focused client-server core"/>
    <n v="163700"/>
    <n v="93963"/>
    <n v="0.57399511301160655"/>
    <n v="0.50551920620886137"/>
    <x v="0"/>
    <n v="1999"/>
    <n v="47.005002501250623"/>
    <x v="0"/>
    <s v="CAD"/>
    <n v="1336280400"/>
    <n v="1336366800"/>
    <x v="396"/>
    <d v="2012-05-07T05:00:00"/>
    <s v="Sun"/>
    <n v="1"/>
    <b v="0"/>
    <b v="0"/>
    <s v="film &amp; video/documentary"/>
    <x v="4"/>
    <x v="4"/>
  </r>
  <r>
    <n v="419"/>
    <s v="Ware-Arias"/>
    <s v="Upgradable maximized protocol"/>
    <n v="113800"/>
    <n v="140469"/>
    <n v="1.2343497363796134"/>
    <n v="2.1230434782608696"/>
    <x v="1"/>
    <n v="5203"/>
    <n v="26.997693638285604"/>
    <x v="1"/>
    <s v="USD"/>
    <n v="1324533600"/>
    <n v="1325052000"/>
    <x v="397"/>
    <d v="2011-12-28T06:00:00"/>
    <s v="Thu"/>
    <n v="6"/>
    <b v="0"/>
    <b v="0"/>
    <s v="technology/web"/>
    <x v="2"/>
    <x v="2"/>
  </r>
  <r>
    <n v="420"/>
    <s v="Blair, Reyes and Woods"/>
    <s v="Cross-platform interactive synergy"/>
    <n v="5000"/>
    <n v="6423"/>
    <n v="1.2846"/>
    <n v="2.1230434782608696"/>
    <x v="1"/>
    <n v="94"/>
    <n v="68.329787234042556"/>
    <x v="1"/>
    <s v="USD"/>
    <n v="1498366800"/>
    <n v="1499576400"/>
    <x v="398"/>
    <d v="2017-07-09T05:00:00"/>
    <s v="Sun"/>
    <n v="14"/>
    <b v="0"/>
    <b v="0"/>
    <s v="theater/plays"/>
    <x v="3"/>
    <x v="3"/>
  </r>
  <r>
    <n v="421"/>
    <s v="Thomas-Lopez"/>
    <s v="User-centric fault-tolerant archive"/>
    <n v="9400"/>
    <n v="6015"/>
    <n v="0.63989361702127656"/>
    <n v="0.50551920620886137"/>
    <x v="0"/>
    <n v="118"/>
    <n v="50.974576271186443"/>
    <x v="1"/>
    <s v="USD"/>
    <n v="1498712400"/>
    <n v="1501304400"/>
    <x v="399"/>
    <d v="2017-07-29T05:00:00"/>
    <s v="Thu"/>
    <n v="30"/>
    <b v="0"/>
    <b v="1"/>
    <s v="technology/wearables"/>
    <x v="2"/>
    <x v="8"/>
  </r>
  <r>
    <n v="422"/>
    <s v="Brown, Davies and Pacheco"/>
    <s v="Reverse-engineered regional knowledge user"/>
    <n v="8700"/>
    <n v="11075"/>
    <n v="1.2729885057471264"/>
    <n v="2.1230434782608696"/>
    <x v="1"/>
    <n v="205"/>
    <n v="54.024390243902438"/>
    <x v="1"/>
    <s v="USD"/>
    <n v="1271480400"/>
    <n v="1273208400"/>
    <x v="400"/>
    <d v="2010-05-07T05:00:00"/>
    <s v="Sat"/>
    <n v="20"/>
    <b v="0"/>
    <b v="1"/>
    <s v="theater/plays"/>
    <x v="3"/>
    <x v="3"/>
  </r>
  <r>
    <n v="423"/>
    <s v="Jones-Riddle"/>
    <s v="Self-enabling real-time definition"/>
    <n v="147800"/>
    <n v="15723"/>
    <n v="0.10638024357239513"/>
    <n v="0.50551920620886137"/>
    <x v="0"/>
    <n v="162"/>
    <n v="97.055555555555557"/>
    <x v="1"/>
    <s v="USD"/>
    <n v="1316667600"/>
    <n v="1316840400"/>
    <x v="116"/>
    <d v="2011-09-24T05:00:00"/>
    <s v="Thu"/>
    <n v="2"/>
    <b v="0"/>
    <b v="1"/>
    <s v="food/food trucks"/>
    <x v="0"/>
    <x v="0"/>
  </r>
  <r>
    <n v="424"/>
    <s v="Schmidt-Gomez"/>
    <s v="User-centric impactful projection"/>
    <n v="5100"/>
    <n v="2064"/>
    <n v="0.40470588235294119"/>
    <n v="0.50551920620886137"/>
    <x v="0"/>
    <n v="83"/>
    <n v="24.867469879518072"/>
    <x v="1"/>
    <s v="USD"/>
    <n v="1524027600"/>
    <n v="1524546000"/>
    <x v="401"/>
    <d v="2018-04-24T05:00:00"/>
    <s v="Wed"/>
    <n v="6"/>
    <b v="0"/>
    <b v="0"/>
    <s v="music/indie rock"/>
    <x v="1"/>
    <x v="7"/>
  </r>
  <r>
    <n v="425"/>
    <s v="Sullivan, Davis and Booth"/>
    <s v="Vision-oriented actuating hardware"/>
    <n v="2700"/>
    <n v="7767"/>
    <n v="2.8766666666666665"/>
    <n v="2.1230434782608696"/>
    <x v="1"/>
    <n v="92"/>
    <n v="84.423913043478265"/>
    <x v="1"/>
    <s v="USD"/>
    <n v="1438059600"/>
    <n v="1438578000"/>
    <x v="402"/>
    <d v="2015-08-03T05:00:00"/>
    <s v="Tue"/>
    <n v="6"/>
    <b v="0"/>
    <b v="0"/>
    <s v="photography/photography books"/>
    <x v="7"/>
    <x v="14"/>
  </r>
  <r>
    <n v="426"/>
    <s v="Edwards-Kane"/>
    <s v="Virtual leadingedge framework"/>
    <n v="1800"/>
    <n v="10313"/>
    <n v="5.7294444444444448"/>
    <n v="2.1230434782608696"/>
    <x v="1"/>
    <n v="219"/>
    <n v="47.091324200913242"/>
    <x v="1"/>
    <s v="USD"/>
    <n v="1361944800"/>
    <n v="1362549600"/>
    <x v="403"/>
    <d v="2013-03-06T06:00:00"/>
    <s v="Wed"/>
    <n v="7"/>
    <b v="0"/>
    <b v="0"/>
    <s v="theater/plays"/>
    <x v="3"/>
    <x v="3"/>
  </r>
  <r>
    <n v="427"/>
    <s v="Hicks, Wall and Webb"/>
    <s v="Managed discrete framework"/>
    <n v="174500"/>
    <n v="197018"/>
    <n v="1.1290429799426933"/>
    <n v="2.1230434782608696"/>
    <x v="1"/>
    <n v="2526"/>
    <n v="77.996041171813147"/>
    <x v="1"/>
    <s v="USD"/>
    <n v="1410584400"/>
    <n v="1413349200"/>
    <x v="404"/>
    <d v="2014-10-15T05:00:00"/>
    <s v="Sat"/>
    <n v="32"/>
    <b v="0"/>
    <b v="1"/>
    <s v="theater/plays"/>
    <x v="3"/>
    <x v="3"/>
  </r>
  <r>
    <n v="428"/>
    <s v="Mayer-Richmond"/>
    <s v="Progressive zero-defect capability"/>
    <n v="101400"/>
    <n v="47037"/>
    <n v="0.46387573964497042"/>
    <n v="0.50551920620886137"/>
    <x v="0"/>
    <n v="747"/>
    <n v="62.967871485943775"/>
    <x v="1"/>
    <s v="USD"/>
    <n v="1297404000"/>
    <n v="1298008800"/>
    <x v="405"/>
    <d v="2011-02-18T06:00:00"/>
    <s v="Fri"/>
    <n v="7"/>
    <b v="0"/>
    <b v="0"/>
    <s v="film &amp; video/animation"/>
    <x v="4"/>
    <x v="10"/>
  </r>
  <r>
    <n v="429"/>
    <s v="Robles Ltd"/>
    <s v="Right-sized demand-driven adapter"/>
    <n v="191000"/>
    <n v="173191"/>
    <n v="0.90675916230366493"/>
    <n v="0.43241247264770238"/>
    <x v="3"/>
    <n v="2138"/>
    <n v="81.006080449017773"/>
    <x v="1"/>
    <s v="USD"/>
    <n v="1392012000"/>
    <n v="1394427600"/>
    <x v="406"/>
    <d v="2014-03-10T05:00:00"/>
    <s v="Mon"/>
    <n v="28"/>
    <b v="0"/>
    <b v="1"/>
    <s v="photography/photography books"/>
    <x v="7"/>
    <x v="14"/>
  </r>
  <r>
    <n v="430"/>
    <s v="Cochran Ltd"/>
    <s v="Re-engineered attitude-oriented frame"/>
    <n v="8100"/>
    <n v="5487"/>
    <n v="0.67740740740740746"/>
    <n v="0.50551920620886137"/>
    <x v="0"/>
    <n v="84"/>
    <n v="65.321428571428569"/>
    <x v="1"/>
    <s v="USD"/>
    <n v="1569733200"/>
    <n v="1572670800"/>
    <x v="407"/>
    <d v="2019-11-02T05:00:00"/>
    <s v="Sun"/>
    <n v="34"/>
    <b v="0"/>
    <b v="0"/>
    <s v="theater/plays"/>
    <x v="3"/>
    <x v="3"/>
  </r>
  <r>
    <n v="431"/>
    <s v="Rosales LLC"/>
    <s v="Compatible multimedia utilization"/>
    <n v="5100"/>
    <n v="9817"/>
    <n v="1.9249019607843136"/>
    <n v="2.1230434782608696"/>
    <x v="1"/>
    <n v="94"/>
    <n v="104.43617021276596"/>
    <x v="1"/>
    <s v="USD"/>
    <n v="1529643600"/>
    <n v="1531112400"/>
    <x v="408"/>
    <d v="2018-07-09T05:00:00"/>
    <s v="Fri"/>
    <n v="17"/>
    <b v="1"/>
    <b v="0"/>
    <s v="theater/plays"/>
    <x v="3"/>
    <x v="3"/>
  </r>
  <r>
    <n v="432"/>
    <s v="Harper-Bryan"/>
    <s v="Re-contextualized dedicated hardware"/>
    <n v="7700"/>
    <n v="6369"/>
    <n v="0.82714285714285718"/>
    <n v="0.50551920620886137"/>
    <x v="0"/>
    <n v="91"/>
    <n v="69.989010989010993"/>
    <x v="1"/>
    <s v="USD"/>
    <n v="1399006800"/>
    <n v="1400734800"/>
    <x v="409"/>
    <d v="2014-05-22T05:00:00"/>
    <s v="Fri"/>
    <n v="20"/>
    <b v="0"/>
    <b v="0"/>
    <s v="theater/plays"/>
    <x v="3"/>
    <x v="3"/>
  </r>
  <r>
    <n v="433"/>
    <s v="Potter, Harper and Everett"/>
    <s v="Decentralized composite paradigm"/>
    <n v="121400"/>
    <n v="65755"/>
    <n v="0.54163920922570019"/>
    <n v="0.50551920620886137"/>
    <x v="0"/>
    <n v="792"/>
    <n v="83.023989898989896"/>
    <x v="1"/>
    <s v="USD"/>
    <n v="1385359200"/>
    <n v="1386741600"/>
    <x v="410"/>
    <d v="2013-12-11T06:00:00"/>
    <s v="Mon"/>
    <n v="16"/>
    <b v="0"/>
    <b v="1"/>
    <s v="film &amp; video/documentary"/>
    <x v="4"/>
    <x v="4"/>
  </r>
  <r>
    <n v="434"/>
    <s v="Floyd-Sims"/>
    <s v="Cloned transitional hierarchy"/>
    <n v="5400"/>
    <n v="903"/>
    <n v="0.16722222222222222"/>
    <n v="0.43241247264770238"/>
    <x v="3"/>
    <n v="10"/>
    <n v="90.3"/>
    <x v="0"/>
    <s v="CAD"/>
    <n v="1480572000"/>
    <n v="1481781600"/>
    <x v="411"/>
    <d v="2016-12-15T06:00:00"/>
    <s v="Thu"/>
    <n v="14"/>
    <b v="1"/>
    <b v="0"/>
    <s v="theater/plays"/>
    <x v="3"/>
    <x v="3"/>
  </r>
  <r>
    <n v="435"/>
    <s v="Spence, Jackson and Kelly"/>
    <s v="Advanced discrete leverage"/>
    <n v="152400"/>
    <n v="178120"/>
    <n v="1.168766404199475"/>
    <n v="2.1230434782608696"/>
    <x v="1"/>
    <n v="1713"/>
    <n v="103.98131932282546"/>
    <x v="6"/>
    <s v="EUR"/>
    <n v="1418623200"/>
    <n v="1419660000"/>
    <x v="412"/>
    <d v="2014-12-27T06:00:00"/>
    <s v="Mon"/>
    <n v="12"/>
    <b v="0"/>
    <b v="1"/>
    <s v="theater/plays"/>
    <x v="3"/>
    <x v="3"/>
  </r>
  <r>
    <n v="436"/>
    <s v="King-Nguyen"/>
    <s v="Open-source incremental throughput"/>
    <n v="1300"/>
    <n v="13678"/>
    <n v="10.521538461538462"/>
    <n v="2.1230434782608696"/>
    <x v="1"/>
    <n v="249"/>
    <n v="54.931726907630519"/>
    <x v="1"/>
    <s v="USD"/>
    <n v="1555736400"/>
    <n v="1555822800"/>
    <x v="413"/>
    <d v="2019-04-21T05:00:00"/>
    <s v="Sat"/>
    <n v="1"/>
    <b v="0"/>
    <b v="0"/>
    <s v="music/jazz"/>
    <x v="1"/>
    <x v="17"/>
  </r>
  <r>
    <n v="437"/>
    <s v="Hansen Group"/>
    <s v="Centralized regional interface"/>
    <n v="8100"/>
    <n v="9969"/>
    <n v="1.2307407407407407"/>
    <n v="2.1230434782608696"/>
    <x v="1"/>
    <n v="192"/>
    <n v="51.921875"/>
    <x v="1"/>
    <s v="USD"/>
    <n v="1442120400"/>
    <n v="1442379600"/>
    <x v="414"/>
    <d v="2015-09-16T05:00:00"/>
    <s v="Sun"/>
    <n v="3"/>
    <b v="0"/>
    <b v="1"/>
    <s v="film &amp; video/animation"/>
    <x v="4"/>
    <x v="10"/>
  </r>
  <r>
    <n v="438"/>
    <s v="Mathis, Hall and Hansen"/>
    <s v="Streamlined web-enabled knowledgebase"/>
    <n v="8300"/>
    <n v="14827"/>
    <n v="1.7863855421686747"/>
    <n v="2.1230434782608696"/>
    <x v="1"/>
    <n v="247"/>
    <n v="60.02834008097166"/>
    <x v="1"/>
    <s v="USD"/>
    <n v="1362376800"/>
    <n v="1364965200"/>
    <x v="415"/>
    <d v="2013-04-03T05:00:00"/>
    <s v="Mon"/>
    <n v="30"/>
    <b v="0"/>
    <b v="0"/>
    <s v="theater/plays"/>
    <x v="3"/>
    <x v="3"/>
  </r>
  <r>
    <n v="439"/>
    <s v="Cummings Inc"/>
    <s v="Digitized transitional monitoring"/>
    <n v="28400"/>
    <n v="100900"/>
    <n v="3.5528169014084505"/>
    <n v="2.1230434782608696"/>
    <x v="1"/>
    <n v="2293"/>
    <n v="44.003488879197555"/>
    <x v="1"/>
    <s v="USD"/>
    <n v="1478408400"/>
    <n v="1479016800"/>
    <x v="416"/>
    <d v="2016-11-13T06:00:00"/>
    <s v="Sun"/>
    <n v="7"/>
    <b v="0"/>
    <b v="0"/>
    <s v="film &amp; video/science fiction"/>
    <x v="4"/>
    <x v="22"/>
  </r>
  <r>
    <n v="440"/>
    <s v="Miller-Poole"/>
    <s v="Networked optimal adapter"/>
    <n v="102500"/>
    <n v="165954"/>
    <n v="1.6190634146341463"/>
    <n v="2.1230434782608696"/>
    <x v="1"/>
    <n v="3131"/>
    <n v="53.003513254551258"/>
    <x v="1"/>
    <s v="USD"/>
    <n v="1498798800"/>
    <n v="1499662800"/>
    <x v="417"/>
    <d v="2017-07-10T05:00:00"/>
    <s v="Fri"/>
    <n v="10"/>
    <b v="0"/>
    <b v="0"/>
    <s v="film &amp; video/television"/>
    <x v="4"/>
    <x v="19"/>
  </r>
  <r>
    <n v="441"/>
    <s v="Rodriguez-West"/>
    <s v="Automated optimal function"/>
    <n v="7000"/>
    <n v="1744"/>
    <n v="0.24914285714285714"/>
    <n v="0.50551920620886137"/>
    <x v="0"/>
    <n v="32"/>
    <n v="54.5"/>
    <x v="1"/>
    <s v="USD"/>
    <n v="1335416400"/>
    <n v="1337835600"/>
    <x v="418"/>
    <d v="2012-05-24T05:00:00"/>
    <s v="Thu"/>
    <n v="28"/>
    <b v="0"/>
    <b v="0"/>
    <s v="technology/wearables"/>
    <x v="2"/>
    <x v="8"/>
  </r>
  <r>
    <n v="442"/>
    <s v="Calderon, Bradford and Dean"/>
    <s v="Devolved system-worthy framework"/>
    <n v="5400"/>
    <n v="10731"/>
    <n v="1.9872222222222222"/>
    <n v="2.1230434782608696"/>
    <x v="1"/>
    <n v="143"/>
    <n v="75.04195804195804"/>
    <x v="6"/>
    <s v="EUR"/>
    <n v="1504328400"/>
    <n v="1505710800"/>
    <x v="419"/>
    <d v="2017-09-18T05:00:00"/>
    <s v="Sat"/>
    <n v="16"/>
    <b v="0"/>
    <b v="0"/>
    <s v="theater/plays"/>
    <x v="3"/>
    <x v="3"/>
  </r>
  <r>
    <n v="443"/>
    <s v="Clark-Bowman"/>
    <s v="Stand-alone user-facing service-desk"/>
    <n v="9300"/>
    <n v="3232"/>
    <n v="0.34752688172043011"/>
    <n v="0.43241247264770238"/>
    <x v="3"/>
    <n v="90"/>
    <n v="35.911111111111111"/>
    <x v="1"/>
    <s v="USD"/>
    <n v="1285822800"/>
    <n v="1287464400"/>
    <x v="420"/>
    <d v="2010-10-19T05:00:00"/>
    <s v="Thu"/>
    <n v="19"/>
    <b v="0"/>
    <b v="0"/>
    <s v="theater/plays"/>
    <x v="3"/>
    <x v="3"/>
  </r>
  <r>
    <n v="444"/>
    <s v="Hensley Ltd"/>
    <s v="Versatile global attitude"/>
    <n v="6200"/>
    <n v="10938"/>
    <n v="1.7641935483870967"/>
    <n v="2.1230434782608696"/>
    <x v="1"/>
    <n v="296"/>
    <n v="36.952702702702702"/>
    <x v="1"/>
    <s v="USD"/>
    <n v="1311483600"/>
    <n v="1311656400"/>
    <x v="421"/>
    <d v="2011-07-26T05:00:00"/>
    <s v="Sun"/>
    <n v="2"/>
    <b v="0"/>
    <b v="1"/>
    <s v="music/indie rock"/>
    <x v="1"/>
    <x v="7"/>
  </r>
  <r>
    <n v="445"/>
    <s v="Anderson-Pearson"/>
    <s v="Intuitive demand-driven Local Area Network"/>
    <n v="2100"/>
    <n v="10739"/>
    <n v="5.1138095238095236"/>
    <n v="2.1230434782608696"/>
    <x v="1"/>
    <n v="170"/>
    <n v="63.170588235294119"/>
    <x v="1"/>
    <s v="USD"/>
    <n v="1291356000"/>
    <n v="1293170400"/>
    <x v="422"/>
    <d v="2010-12-24T06:00:00"/>
    <s v="Fri"/>
    <n v="21"/>
    <b v="0"/>
    <b v="1"/>
    <s v="theater/plays"/>
    <x v="3"/>
    <x v="3"/>
  </r>
  <r>
    <n v="446"/>
    <s v="Martin, Martin and Solis"/>
    <s v="Assimilated uniform methodology"/>
    <n v="6800"/>
    <n v="5579"/>
    <n v="0.82044117647058823"/>
    <n v="0.50551920620886137"/>
    <x v="0"/>
    <n v="186"/>
    <n v="29.99462365591398"/>
    <x v="1"/>
    <s v="USD"/>
    <n v="1355810400"/>
    <n v="1355983200"/>
    <x v="423"/>
    <d v="2012-12-20T06:00:00"/>
    <s v="Tue"/>
    <n v="2"/>
    <b v="0"/>
    <b v="0"/>
    <s v="technology/wearables"/>
    <x v="2"/>
    <x v="8"/>
  </r>
  <r>
    <n v="447"/>
    <s v="Harrington-Harper"/>
    <s v="Self-enabling next generation algorithm"/>
    <n v="155200"/>
    <n v="37754"/>
    <n v="0.24326030927835052"/>
    <n v="0.43241247264770238"/>
    <x v="3"/>
    <n v="439"/>
    <n v="86"/>
    <x v="4"/>
    <s v="GBP"/>
    <n v="1513663200"/>
    <n v="1515045600"/>
    <x v="424"/>
    <d v="2018-01-04T06:00:00"/>
    <s v="Tue"/>
    <n v="16"/>
    <b v="0"/>
    <b v="0"/>
    <s v="film &amp; video/television"/>
    <x v="4"/>
    <x v="19"/>
  </r>
  <r>
    <n v="448"/>
    <s v="Price and Sons"/>
    <s v="Object-based demand-driven strategy"/>
    <n v="89900"/>
    <n v="45384"/>
    <n v="0.50482758620689661"/>
    <n v="0.50551920620886137"/>
    <x v="0"/>
    <n v="605"/>
    <n v="75.014876033057845"/>
    <x v="1"/>
    <s v="USD"/>
    <n v="1365915600"/>
    <n v="1366088400"/>
    <x v="425"/>
    <d v="2013-04-16T05:00:00"/>
    <s v="Sun"/>
    <n v="2"/>
    <b v="0"/>
    <b v="1"/>
    <s v="games/video games"/>
    <x v="6"/>
    <x v="11"/>
  </r>
  <r>
    <n v="449"/>
    <s v="Cuevas-Morales"/>
    <s v="Public-key coherent ability"/>
    <n v="900"/>
    <n v="8703"/>
    <n v="9.67"/>
    <n v="2.1230434782608696"/>
    <x v="1"/>
    <n v="86"/>
    <n v="101.19767441860465"/>
    <x v="3"/>
    <s v="DKK"/>
    <n v="1551852000"/>
    <n v="1553317200"/>
    <x v="426"/>
    <d v="2019-03-23T05:00:00"/>
    <s v="Wed"/>
    <n v="17"/>
    <b v="0"/>
    <b v="0"/>
    <s v="games/video games"/>
    <x v="6"/>
    <x v="11"/>
  </r>
  <r>
    <n v="450"/>
    <s v="Delgado-Hatfield"/>
    <s v="Up-sized composite success"/>
    <n v="100"/>
    <n v="4"/>
    <n v="0.04"/>
    <n v="0.50551920620886137"/>
    <x v="0"/>
    <n v="1"/>
    <n v="4"/>
    <x v="0"/>
    <s v="CAD"/>
    <n v="1540098000"/>
    <n v="1542088800"/>
    <x v="427"/>
    <d v="2018-11-13T06:00:00"/>
    <s v="Sun"/>
    <n v="23"/>
    <b v="0"/>
    <b v="0"/>
    <s v="film &amp; video/animation"/>
    <x v="4"/>
    <x v="10"/>
  </r>
  <r>
    <n v="451"/>
    <s v="Padilla-Porter"/>
    <s v="Innovative exuding matrix"/>
    <n v="148400"/>
    <n v="182302"/>
    <n v="1.2284501347708894"/>
    <n v="2.1230434782608696"/>
    <x v="1"/>
    <n v="6286"/>
    <n v="29.001272669424118"/>
    <x v="1"/>
    <s v="USD"/>
    <n v="1500440400"/>
    <n v="1503118800"/>
    <x v="428"/>
    <d v="2017-08-19T05:00:00"/>
    <s v="Wed"/>
    <n v="31"/>
    <b v="0"/>
    <b v="0"/>
    <s v="music/rock"/>
    <x v="1"/>
    <x v="1"/>
  </r>
  <r>
    <n v="452"/>
    <s v="Morris Group"/>
    <s v="Realigned impactful artificial intelligence"/>
    <n v="4800"/>
    <n v="3045"/>
    <n v="0.63437500000000002"/>
    <n v="0.50551920620886137"/>
    <x v="0"/>
    <n v="31"/>
    <n v="98.225806451612897"/>
    <x v="1"/>
    <s v="USD"/>
    <n v="1278392400"/>
    <n v="1278478800"/>
    <x v="429"/>
    <d v="2010-07-07T05:00:00"/>
    <s v="Tue"/>
    <n v="1"/>
    <b v="0"/>
    <b v="0"/>
    <s v="film &amp; video/drama"/>
    <x v="4"/>
    <x v="6"/>
  </r>
  <r>
    <n v="453"/>
    <s v="Saunders Ltd"/>
    <s v="Multi-layered multi-tasking secured line"/>
    <n v="182400"/>
    <n v="102749"/>
    <n v="0.56331688596491225"/>
    <n v="0.50551920620886137"/>
    <x v="0"/>
    <n v="1181"/>
    <n v="87.001693480101608"/>
    <x v="1"/>
    <s v="USD"/>
    <n v="1480572000"/>
    <n v="1484114400"/>
    <x v="411"/>
    <d v="2017-01-11T06:00:00"/>
    <s v="Thu"/>
    <n v="41"/>
    <b v="0"/>
    <b v="0"/>
    <s v="film &amp; video/science fiction"/>
    <x v="4"/>
    <x v="22"/>
  </r>
  <r>
    <n v="454"/>
    <s v="Woods Inc"/>
    <s v="Upgradable upward-trending portal"/>
    <n v="4000"/>
    <n v="1763"/>
    <n v="0.44074999999999998"/>
    <n v="0.50551920620886137"/>
    <x v="0"/>
    <n v="39"/>
    <n v="45.205128205128204"/>
    <x v="1"/>
    <s v="USD"/>
    <n v="1382331600"/>
    <n v="1385445600"/>
    <x v="430"/>
    <d v="2013-11-26T06:00:00"/>
    <s v="Mon"/>
    <n v="36"/>
    <b v="0"/>
    <b v="1"/>
    <s v="film &amp; video/drama"/>
    <x v="4"/>
    <x v="6"/>
  </r>
  <r>
    <n v="455"/>
    <s v="Villanueva, Wright and Richardson"/>
    <s v="Profit-focused global product"/>
    <n v="116500"/>
    <n v="137904"/>
    <n v="1.1837253218884121"/>
    <n v="2.1230434782608696"/>
    <x v="1"/>
    <n v="3727"/>
    <n v="37.001341561577675"/>
    <x v="1"/>
    <s v="USD"/>
    <n v="1316754000"/>
    <n v="1318741200"/>
    <x v="431"/>
    <d v="2011-10-16T05:00:00"/>
    <s v="Fri"/>
    <n v="23"/>
    <b v="0"/>
    <b v="0"/>
    <s v="theater/plays"/>
    <x v="3"/>
    <x v="3"/>
  </r>
  <r>
    <n v="456"/>
    <s v="Wilson, Brooks and Clark"/>
    <s v="Operative well-modulated data-warehouse"/>
    <n v="146400"/>
    <n v="152438"/>
    <n v="1.041243169398907"/>
    <n v="2.1230434782608696"/>
    <x v="1"/>
    <n v="1605"/>
    <n v="94.976947040498445"/>
    <x v="1"/>
    <s v="USD"/>
    <n v="1518242400"/>
    <n v="1518242400"/>
    <x v="432"/>
    <d v="2018-02-10T06:00:00"/>
    <s v="Sat"/>
    <n v="0"/>
    <b v="0"/>
    <b v="1"/>
    <s v="music/indie rock"/>
    <x v="1"/>
    <x v="7"/>
  </r>
  <r>
    <n v="457"/>
    <s v="Sheppard, Smith and Spence"/>
    <s v="Cloned asymmetric functionalities"/>
    <n v="5000"/>
    <n v="1332"/>
    <n v="0.26640000000000003"/>
    <n v="0.50551920620886137"/>
    <x v="0"/>
    <n v="46"/>
    <n v="28.956521739130434"/>
    <x v="1"/>
    <s v="USD"/>
    <n v="1476421200"/>
    <n v="1476594000"/>
    <x v="433"/>
    <d v="2016-10-16T05:00:00"/>
    <s v="Fri"/>
    <n v="2"/>
    <b v="0"/>
    <b v="0"/>
    <s v="theater/plays"/>
    <x v="3"/>
    <x v="3"/>
  </r>
  <r>
    <n v="458"/>
    <s v="Wise, Thompson and Allen"/>
    <s v="Pre-emptive neutral portal"/>
    <n v="33800"/>
    <n v="118706"/>
    <n v="3.5120118343195266"/>
    <n v="2.1230434782608696"/>
    <x v="1"/>
    <n v="2120"/>
    <n v="55.993396226415094"/>
    <x v="1"/>
    <s v="USD"/>
    <n v="1269752400"/>
    <n v="1273554000"/>
    <x v="434"/>
    <d v="2010-05-11T05:00:00"/>
    <s v="Sun"/>
    <n v="44"/>
    <b v="0"/>
    <b v="0"/>
    <s v="theater/plays"/>
    <x v="3"/>
    <x v="3"/>
  </r>
  <r>
    <n v="459"/>
    <s v="Lane, Ryan and Chapman"/>
    <s v="Switchable demand-driven help-desk"/>
    <n v="6300"/>
    <n v="5674"/>
    <n v="0.90063492063492068"/>
    <n v="0.50551920620886137"/>
    <x v="0"/>
    <n v="105"/>
    <n v="54.038095238095238"/>
    <x v="1"/>
    <s v="USD"/>
    <n v="1419746400"/>
    <n v="1421906400"/>
    <x v="435"/>
    <d v="2015-01-22T06:00:00"/>
    <s v="Sun"/>
    <n v="25"/>
    <b v="0"/>
    <b v="0"/>
    <s v="film &amp; video/documentary"/>
    <x v="4"/>
    <x v="4"/>
  </r>
  <r>
    <n v="460"/>
    <s v="Rich, Alvarez and King"/>
    <s v="Business-focused static ability"/>
    <n v="2400"/>
    <n v="4119"/>
    <n v="1.7162500000000001"/>
    <n v="2.1230434782608696"/>
    <x v="1"/>
    <n v="50"/>
    <n v="82.38"/>
    <x v="1"/>
    <s v="USD"/>
    <n v="1281330000"/>
    <n v="1281589200"/>
    <x v="8"/>
    <d v="2010-08-12T05:00:00"/>
    <s v="Mon"/>
    <n v="3"/>
    <b v="0"/>
    <b v="0"/>
    <s v="theater/plays"/>
    <x v="3"/>
    <x v="3"/>
  </r>
  <r>
    <n v="461"/>
    <s v="Terry-Salinas"/>
    <s v="Networked secondary structure"/>
    <n v="98800"/>
    <n v="139354"/>
    <n v="1.4104655870445344"/>
    <n v="2.1230434782608696"/>
    <x v="1"/>
    <n v="2080"/>
    <n v="66.997115384615384"/>
    <x v="1"/>
    <s v="USD"/>
    <n v="1398661200"/>
    <n v="1400389200"/>
    <x v="436"/>
    <d v="2014-05-18T05:00:00"/>
    <s v="Mon"/>
    <n v="20"/>
    <b v="0"/>
    <b v="0"/>
    <s v="film &amp; video/drama"/>
    <x v="4"/>
    <x v="6"/>
  </r>
  <r>
    <n v="462"/>
    <s v="Wang-Rodriguez"/>
    <s v="Total multimedia website"/>
    <n v="188800"/>
    <n v="57734"/>
    <n v="0.30579449152542371"/>
    <n v="0.50551920620886137"/>
    <x v="0"/>
    <n v="535"/>
    <n v="107.91401869158878"/>
    <x v="1"/>
    <s v="USD"/>
    <n v="1359525600"/>
    <n v="1362808800"/>
    <x v="385"/>
    <d v="2013-03-09T06:00:00"/>
    <s v="Wed"/>
    <n v="38"/>
    <b v="0"/>
    <b v="0"/>
    <s v="games/mobile games"/>
    <x v="6"/>
    <x v="20"/>
  </r>
  <r>
    <n v="463"/>
    <s v="Mckee-Hill"/>
    <s v="Cross-platform upward-trending parallelism"/>
    <n v="134300"/>
    <n v="145265"/>
    <n v="1.0816455696202532"/>
    <n v="2.1230434782608696"/>
    <x v="1"/>
    <n v="2105"/>
    <n v="69.009501187648453"/>
    <x v="1"/>
    <s v="USD"/>
    <n v="1388469600"/>
    <n v="1388815200"/>
    <x v="437"/>
    <d v="2014-01-04T06:00:00"/>
    <s v="Tue"/>
    <n v="4"/>
    <b v="0"/>
    <b v="0"/>
    <s v="film &amp; video/animation"/>
    <x v="4"/>
    <x v="10"/>
  </r>
  <r>
    <n v="464"/>
    <s v="Gomez LLC"/>
    <s v="Pre-emptive mission-critical hardware"/>
    <n v="71200"/>
    <n v="95020"/>
    <n v="1.3345505617977529"/>
    <n v="2.1230434782608696"/>
    <x v="1"/>
    <n v="2436"/>
    <n v="39.006568144499177"/>
    <x v="1"/>
    <s v="USD"/>
    <n v="1518328800"/>
    <n v="1519538400"/>
    <x v="438"/>
    <d v="2018-02-25T06:00:00"/>
    <s v="Sun"/>
    <n v="14"/>
    <b v="0"/>
    <b v="0"/>
    <s v="theater/plays"/>
    <x v="3"/>
    <x v="3"/>
  </r>
  <r>
    <n v="465"/>
    <s v="Gonzalez-Robbins"/>
    <s v="Up-sized responsive protocol"/>
    <n v="4700"/>
    <n v="8829"/>
    <n v="1.8785106382978722"/>
    <n v="2.1230434782608696"/>
    <x v="1"/>
    <n v="80"/>
    <n v="110.3625"/>
    <x v="1"/>
    <s v="USD"/>
    <n v="1517032800"/>
    <n v="1517810400"/>
    <x v="439"/>
    <d v="2018-02-05T06:00:00"/>
    <s v="Sat"/>
    <n v="9"/>
    <b v="0"/>
    <b v="0"/>
    <s v="publishing/translations"/>
    <x v="5"/>
    <x v="18"/>
  </r>
  <r>
    <n v="466"/>
    <s v="Obrien and Sons"/>
    <s v="Pre-emptive transitional frame"/>
    <n v="1200"/>
    <n v="3984"/>
    <n v="3.32"/>
    <n v="2.1230434782608696"/>
    <x v="1"/>
    <n v="42"/>
    <n v="94.857142857142861"/>
    <x v="1"/>
    <s v="USD"/>
    <n v="1368594000"/>
    <n v="1370581200"/>
    <x v="440"/>
    <d v="2013-06-07T05:00:00"/>
    <s v="Wed"/>
    <n v="23"/>
    <b v="0"/>
    <b v="1"/>
    <s v="technology/wearables"/>
    <x v="2"/>
    <x v="8"/>
  </r>
  <r>
    <n v="467"/>
    <s v="Shaw Ltd"/>
    <s v="Profit-focused content-based application"/>
    <n v="1400"/>
    <n v="8053"/>
    <n v="5.7521428571428572"/>
    <n v="2.1230434782608696"/>
    <x v="1"/>
    <n v="139"/>
    <n v="57.935251798561154"/>
    <x v="0"/>
    <s v="CAD"/>
    <n v="1448258400"/>
    <n v="1448863200"/>
    <x v="441"/>
    <d v="2015-11-30T06:00:00"/>
    <s v="Mon"/>
    <n v="7"/>
    <b v="0"/>
    <b v="1"/>
    <s v="technology/web"/>
    <x v="2"/>
    <x v="2"/>
  </r>
  <r>
    <n v="468"/>
    <s v="Hughes Inc"/>
    <s v="Streamlined neutral analyzer"/>
    <n v="4000"/>
    <n v="1620"/>
    <n v="0.40500000000000003"/>
    <n v="0.50551920620886137"/>
    <x v="0"/>
    <n v="16"/>
    <n v="101.25"/>
    <x v="1"/>
    <s v="USD"/>
    <n v="1555218000"/>
    <n v="1556600400"/>
    <x v="442"/>
    <d v="2019-04-30T05:00:00"/>
    <s v="Sun"/>
    <n v="16"/>
    <b v="0"/>
    <b v="0"/>
    <s v="theater/plays"/>
    <x v="3"/>
    <x v="3"/>
  </r>
  <r>
    <n v="469"/>
    <s v="Olsen-Ryan"/>
    <s v="Assimilated neutral utilization"/>
    <n v="5600"/>
    <n v="10328"/>
    <n v="1.8442857142857143"/>
    <n v="2.1230434782608696"/>
    <x v="1"/>
    <n v="159"/>
    <n v="64.95597484276729"/>
    <x v="1"/>
    <s v="USD"/>
    <n v="1431925200"/>
    <n v="1432098000"/>
    <x v="443"/>
    <d v="2015-05-20T05:00:00"/>
    <s v="Mon"/>
    <n v="2"/>
    <b v="0"/>
    <b v="0"/>
    <s v="film &amp; video/drama"/>
    <x v="4"/>
    <x v="6"/>
  </r>
  <r>
    <n v="470"/>
    <s v="Grimes, Holland and Sloan"/>
    <s v="Extended dedicated archive"/>
    <n v="3600"/>
    <n v="10289"/>
    <n v="2.8580555555555556"/>
    <n v="2.1230434782608696"/>
    <x v="1"/>
    <n v="381"/>
    <n v="27.00524934383202"/>
    <x v="1"/>
    <s v="USD"/>
    <n v="1481522400"/>
    <n v="1482127200"/>
    <x v="315"/>
    <d v="2016-12-19T06:00:00"/>
    <s v="Mon"/>
    <n v="7"/>
    <b v="0"/>
    <b v="0"/>
    <s v="technology/wearables"/>
    <x v="2"/>
    <x v="8"/>
  </r>
  <r>
    <n v="471"/>
    <s v="Perry and Sons"/>
    <s v="Configurable static help-desk"/>
    <n v="3100"/>
    <n v="9889"/>
    <n v="3.19"/>
    <n v="2.1230434782608696"/>
    <x v="1"/>
    <n v="194"/>
    <n v="50.97422680412371"/>
    <x v="4"/>
    <s v="GBP"/>
    <n v="1335934800"/>
    <n v="1335934800"/>
    <x v="444"/>
    <d v="2012-05-02T05:00:00"/>
    <s v="Wed"/>
    <n v="0"/>
    <b v="0"/>
    <b v="1"/>
    <s v="food/food trucks"/>
    <x v="0"/>
    <x v="0"/>
  </r>
  <r>
    <n v="472"/>
    <s v="Turner, Young and Collins"/>
    <s v="Self-enabling clear-thinking framework"/>
    <n v="153800"/>
    <n v="60342"/>
    <n v="0.39234070221066319"/>
    <n v="0.50551920620886137"/>
    <x v="0"/>
    <n v="575"/>
    <n v="104.94260869565217"/>
    <x v="1"/>
    <s v="USD"/>
    <n v="1552280400"/>
    <n v="1556946000"/>
    <x v="445"/>
    <d v="2019-05-04T05:00:00"/>
    <s v="Mon"/>
    <n v="54"/>
    <b v="0"/>
    <b v="0"/>
    <s v="music/rock"/>
    <x v="1"/>
    <x v="1"/>
  </r>
  <r>
    <n v="473"/>
    <s v="Richardson Inc"/>
    <s v="Assimilated fault-tolerant capacity"/>
    <n v="5000"/>
    <n v="8907"/>
    <n v="1.7814000000000001"/>
    <n v="2.1230434782608696"/>
    <x v="1"/>
    <n v="106"/>
    <n v="84.028301886792448"/>
    <x v="1"/>
    <s v="USD"/>
    <n v="1529989200"/>
    <n v="1530075600"/>
    <x v="446"/>
    <d v="2018-06-27T05:00:00"/>
    <s v="Tue"/>
    <n v="1"/>
    <b v="0"/>
    <b v="0"/>
    <s v="music/electric music"/>
    <x v="1"/>
    <x v="5"/>
  </r>
  <r>
    <n v="474"/>
    <s v="Santos-Young"/>
    <s v="Enhanced neutral ability"/>
    <n v="4000"/>
    <n v="14606"/>
    <n v="3.6515"/>
    <n v="2.1230434782608696"/>
    <x v="1"/>
    <n v="142"/>
    <n v="102.85915492957747"/>
    <x v="1"/>
    <s v="USD"/>
    <n v="1418709600"/>
    <n v="1418796000"/>
    <x v="447"/>
    <d v="2014-12-17T06:00:00"/>
    <s v="Tue"/>
    <n v="1"/>
    <b v="0"/>
    <b v="0"/>
    <s v="film &amp; video/television"/>
    <x v="4"/>
    <x v="19"/>
  </r>
  <r>
    <n v="475"/>
    <s v="Nichols Ltd"/>
    <s v="Function-based attitude-oriented groupware"/>
    <n v="7400"/>
    <n v="8432"/>
    <n v="1.1394594594594594"/>
    <n v="2.1230434782608696"/>
    <x v="1"/>
    <n v="211"/>
    <n v="39.962085308056871"/>
    <x v="1"/>
    <s v="USD"/>
    <n v="1372136400"/>
    <n v="1372482000"/>
    <x v="448"/>
    <d v="2013-06-29T05:00:00"/>
    <s v="Tue"/>
    <n v="4"/>
    <b v="0"/>
    <b v="1"/>
    <s v="publishing/translations"/>
    <x v="5"/>
    <x v="18"/>
  </r>
  <r>
    <n v="476"/>
    <s v="Murphy PLC"/>
    <s v="Optional solution-oriented instruction set"/>
    <n v="191500"/>
    <n v="57122"/>
    <n v="0.29828720626631855"/>
    <n v="0.50551920620886137"/>
    <x v="0"/>
    <n v="1120"/>
    <n v="51.001785714285717"/>
    <x v="1"/>
    <s v="USD"/>
    <n v="1533877200"/>
    <n v="1534395600"/>
    <x v="342"/>
    <d v="2018-08-16T05:00:00"/>
    <s v="Fri"/>
    <n v="6"/>
    <b v="0"/>
    <b v="0"/>
    <s v="publishing/fiction"/>
    <x v="5"/>
    <x v="13"/>
  </r>
  <r>
    <n v="477"/>
    <s v="Hogan, Porter and Rivera"/>
    <s v="Organic object-oriented core"/>
    <n v="8500"/>
    <n v="4613"/>
    <n v="0.54270588235294115"/>
    <n v="0.50551920620886137"/>
    <x v="0"/>
    <n v="113"/>
    <n v="40.823008849557525"/>
    <x v="1"/>
    <s v="USD"/>
    <n v="1309064400"/>
    <n v="1311397200"/>
    <x v="449"/>
    <d v="2011-07-23T05:00:00"/>
    <s v="Sun"/>
    <n v="27"/>
    <b v="0"/>
    <b v="0"/>
    <s v="film &amp; video/science fiction"/>
    <x v="4"/>
    <x v="22"/>
  </r>
  <r>
    <n v="478"/>
    <s v="Lyons LLC"/>
    <s v="Balanced impactful circuit"/>
    <n v="68800"/>
    <n v="162603"/>
    <n v="2.3634156976744185"/>
    <n v="2.1230434782608696"/>
    <x v="1"/>
    <n v="2756"/>
    <n v="58.999637155297535"/>
    <x v="1"/>
    <s v="USD"/>
    <n v="1425877200"/>
    <n v="1426914000"/>
    <x v="450"/>
    <d v="2015-03-21T05:00:00"/>
    <s v="Mon"/>
    <n v="12"/>
    <b v="0"/>
    <b v="0"/>
    <s v="technology/wearables"/>
    <x v="2"/>
    <x v="8"/>
  </r>
  <r>
    <n v="479"/>
    <s v="Long-Greene"/>
    <s v="Future-proofed heuristic encryption"/>
    <n v="2400"/>
    <n v="12310"/>
    <n v="5.1291666666666664"/>
    <n v="2.1230434782608696"/>
    <x v="1"/>
    <n v="173"/>
    <n v="71.156069364161851"/>
    <x v="4"/>
    <s v="GBP"/>
    <n v="1501304400"/>
    <n v="1501477200"/>
    <x v="451"/>
    <d v="2017-07-31T05:00:00"/>
    <s v="Sat"/>
    <n v="2"/>
    <b v="0"/>
    <b v="0"/>
    <s v="food/food trucks"/>
    <x v="0"/>
    <x v="0"/>
  </r>
  <r>
    <n v="480"/>
    <s v="Robles-Hudson"/>
    <s v="Balanced bifurcated leverage"/>
    <n v="8600"/>
    <n v="8656"/>
    <n v="1.0065116279069768"/>
    <n v="2.1230434782608696"/>
    <x v="1"/>
    <n v="87"/>
    <n v="99.494252873563212"/>
    <x v="1"/>
    <s v="USD"/>
    <n v="1268287200"/>
    <n v="1269061200"/>
    <x v="452"/>
    <d v="2010-03-20T05:00:00"/>
    <s v="Thu"/>
    <n v="9"/>
    <b v="0"/>
    <b v="1"/>
    <s v="photography/photography books"/>
    <x v="7"/>
    <x v="14"/>
  </r>
  <r>
    <n v="481"/>
    <s v="Mcclure LLC"/>
    <s v="Sharable discrete budgetary management"/>
    <n v="196600"/>
    <n v="159931"/>
    <n v="0.81348423194303154"/>
    <n v="0.50551920620886137"/>
    <x v="0"/>
    <n v="1538"/>
    <n v="103.98634590377114"/>
    <x v="1"/>
    <s v="USD"/>
    <n v="1412139600"/>
    <n v="1415772000"/>
    <x v="453"/>
    <d v="2014-11-12T06:00:00"/>
    <s v="Wed"/>
    <n v="42"/>
    <b v="0"/>
    <b v="1"/>
    <s v="theater/plays"/>
    <x v="3"/>
    <x v="3"/>
  </r>
  <r>
    <n v="482"/>
    <s v="Martin, Russell and Baker"/>
    <s v="Focused solution-oriented instruction set"/>
    <n v="4200"/>
    <n v="689"/>
    <n v="0.16404761904761905"/>
    <n v="0.50551920620886137"/>
    <x v="0"/>
    <n v="9"/>
    <n v="76.555555555555557"/>
    <x v="1"/>
    <s v="USD"/>
    <n v="1330063200"/>
    <n v="1331013600"/>
    <x v="454"/>
    <d v="2012-03-06T06:00:00"/>
    <s v="Fri"/>
    <n v="11"/>
    <b v="0"/>
    <b v="1"/>
    <s v="publishing/fiction"/>
    <x v="5"/>
    <x v="13"/>
  </r>
  <r>
    <n v="483"/>
    <s v="Rice-Parker"/>
    <s v="Down-sized actuating infrastructure"/>
    <n v="91400"/>
    <n v="48236"/>
    <n v="0.52774617067833696"/>
    <n v="0.50551920620886137"/>
    <x v="0"/>
    <n v="554"/>
    <n v="87.068592057761734"/>
    <x v="1"/>
    <s v="USD"/>
    <n v="1576130400"/>
    <n v="1576735200"/>
    <x v="455"/>
    <d v="2019-12-19T06:00:00"/>
    <s v="Thu"/>
    <n v="7"/>
    <b v="0"/>
    <b v="0"/>
    <s v="theater/plays"/>
    <x v="3"/>
    <x v="3"/>
  </r>
  <r>
    <n v="484"/>
    <s v="Landry Inc"/>
    <s v="Synergistic cohesive adapter"/>
    <n v="29600"/>
    <n v="77021"/>
    <n v="2.6020608108108108"/>
    <n v="2.1230434782608696"/>
    <x v="1"/>
    <n v="1572"/>
    <n v="48.99554707379135"/>
    <x v="4"/>
    <s v="GBP"/>
    <n v="1407128400"/>
    <n v="1411362000"/>
    <x v="456"/>
    <d v="2014-09-22T05:00:00"/>
    <s v="Mon"/>
    <n v="49"/>
    <b v="0"/>
    <b v="1"/>
    <s v="food/food trucks"/>
    <x v="0"/>
    <x v="0"/>
  </r>
  <r>
    <n v="485"/>
    <s v="Richards-Davis"/>
    <s v="Quality-focused mission-critical structure"/>
    <n v="90600"/>
    <n v="27844"/>
    <n v="0.30732891832229581"/>
    <n v="0.50551920620886137"/>
    <x v="0"/>
    <n v="648"/>
    <n v="42.969135802469133"/>
    <x v="4"/>
    <s v="GBP"/>
    <n v="1560142800"/>
    <n v="1563685200"/>
    <x v="457"/>
    <d v="2019-07-21T05:00:00"/>
    <s v="Mon"/>
    <n v="41"/>
    <b v="0"/>
    <b v="0"/>
    <s v="theater/plays"/>
    <x v="3"/>
    <x v="3"/>
  </r>
  <r>
    <n v="486"/>
    <s v="Davis, Cox and Fox"/>
    <s v="Compatible exuding Graphical User Interface"/>
    <n v="5200"/>
    <n v="702"/>
    <n v="0.13500000000000001"/>
    <n v="0.50551920620886137"/>
    <x v="0"/>
    <n v="21"/>
    <n v="33.428571428571431"/>
    <x v="4"/>
    <s v="GBP"/>
    <n v="1520575200"/>
    <n v="1521867600"/>
    <x v="458"/>
    <d v="2018-03-24T05:00:00"/>
    <s v="Fri"/>
    <n v="15"/>
    <b v="0"/>
    <b v="1"/>
    <s v="publishing/translations"/>
    <x v="5"/>
    <x v="18"/>
  </r>
  <r>
    <n v="487"/>
    <s v="Smith-Wallace"/>
    <s v="Monitored 24/7 time-frame"/>
    <n v="110300"/>
    <n v="197024"/>
    <n v="1.7862556663644606"/>
    <n v="2.1230434782608696"/>
    <x v="1"/>
    <n v="2346"/>
    <n v="83.982949701619773"/>
    <x v="1"/>
    <s v="USD"/>
    <n v="1492664400"/>
    <n v="1495515600"/>
    <x v="459"/>
    <d v="2017-05-23T05:00:00"/>
    <s v="Thu"/>
    <n v="33"/>
    <b v="0"/>
    <b v="0"/>
    <s v="theater/plays"/>
    <x v="3"/>
    <x v="3"/>
  </r>
  <r>
    <n v="488"/>
    <s v="Cordova, Shaw and Wang"/>
    <s v="Virtual secondary open architecture"/>
    <n v="5300"/>
    <n v="11663"/>
    <n v="2.2005660377358489"/>
    <n v="2.1230434782608696"/>
    <x v="1"/>
    <n v="115"/>
    <n v="101.41739130434783"/>
    <x v="1"/>
    <s v="USD"/>
    <n v="1454479200"/>
    <n v="1455948000"/>
    <x v="460"/>
    <d v="2016-02-20T06:00:00"/>
    <s v="Wed"/>
    <n v="17"/>
    <b v="0"/>
    <b v="0"/>
    <s v="theater/plays"/>
    <x v="3"/>
    <x v="3"/>
  </r>
  <r>
    <n v="489"/>
    <s v="Clark Inc"/>
    <s v="Down-sized mobile time-frame"/>
    <n v="9200"/>
    <n v="9339"/>
    <n v="1.015108695652174"/>
    <n v="2.1230434782608696"/>
    <x v="1"/>
    <n v="85"/>
    <n v="109.87058823529412"/>
    <x v="6"/>
    <s v="EUR"/>
    <n v="1281934800"/>
    <n v="1282366800"/>
    <x v="461"/>
    <d v="2010-08-21T05:00:00"/>
    <s v="Mon"/>
    <n v="5"/>
    <b v="0"/>
    <b v="0"/>
    <s v="technology/wearables"/>
    <x v="2"/>
    <x v="8"/>
  </r>
  <r>
    <n v="490"/>
    <s v="Young and Sons"/>
    <s v="Innovative disintermediate encryption"/>
    <n v="2400"/>
    <n v="4596"/>
    <n v="1.915"/>
    <n v="2.1230434782608696"/>
    <x v="1"/>
    <n v="144"/>
    <n v="31.916666666666668"/>
    <x v="1"/>
    <s v="USD"/>
    <n v="1573970400"/>
    <n v="1574575200"/>
    <x v="462"/>
    <d v="2019-11-24T06:00:00"/>
    <s v="Sun"/>
    <n v="7"/>
    <b v="0"/>
    <b v="0"/>
    <s v="journalism/audio"/>
    <x v="8"/>
    <x v="23"/>
  </r>
  <r>
    <n v="491"/>
    <s v="Henson PLC"/>
    <s v="Universal contextually-based knowledgebase"/>
    <n v="56800"/>
    <n v="173437"/>
    <n v="3.0534683098591549"/>
    <n v="2.1230434782608696"/>
    <x v="1"/>
    <n v="2443"/>
    <n v="70.993450675399103"/>
    <x v="1"/>
    <s v="USD"/>
    <n v="1372654800"/>
    <n v="1374901200"/>
    <x v="463"/>
    <d v="2013-07-27T05:00:00"/>
    <s v="Mon"/>
    <n v="26"/>
    <b v="0"/>
    <b v="1"/>
    <s v="food/food trucks"/>
    <x v="0"/>
    <x v="0"/>
  </r>
  <r>
    <n v="492"/>
    <s v="Garcia Group"/>
    <s v="Persevering interactive matrix"/>
    <n v="191000"/>
    <n v="45831"/>
    <n v="0.23995287958115183"/>
    <n v="0.43241247264770238"/>
    <x v="3"/>
    <n v="595"/>
    <n v="77.026890756302521"/>
    <x v="1"/>
    <s v="USD"/>
    <n v="1275886800"/>
    <n v="1278910800"/>
    <x v="464"/>
    <d v="2010-07-12T05:00:00"/>
    <s v="Mon"/>
    <n v="35"/>
    <b v="1"/>
    <b v="1"/>
    <s v="film &amp; video/shorts"/>
    <x v="4"/>
    <x v="12"/>
  </r>
  <r>
    <n v="493"/>
    <s v="Adams, Walker and Wong"/>
    <s v="Seamless background framework"/>
    <n v="900"/>
    <n v="6514"/>
    <n v="7.2377777777777776"/>
    <n v="2.1230434782608696"/>
    <x v="1"/>
    <n v="64"/>
    <n v="101.78125"/>
    <x v="1"/>
    <s v="USD"/>
    <n v="1561784400"/>
    <n v="1562907600"/>
    <x v="465"/>
    <d v="2019-07-12T05:00:00"/>
    <s v="Sat"/>
    <n v="13"/>
    <b v="0"/>
    <b v="0"/>
    <s v="photography/photography books"/>
    <x v="7"/>
    <x v="14"/>
  </r>
  <r>
    <n v="494"/>
    <s v="Hopkins-Browning"/>
    <s v="Balanced upward-trending productivity"/>
    <n v="2500"/>
    <n v="13684"/>
    <n v="5.4736000000000002"/>
    <n v="2.1230434782608696"/>
    <x v="1"/>
    <n v="268"/>
    <n v="51.059701492537314"/>
    <x v="1"/>
    <s v="USD"/>
    <n v="1332392400"/>
    <n v="1332478800"/>
    <x v="466"/>
    <d v="2012-03-23T05:00:00"/>
    <s v="Thu"/>
    <n v="1"/>
    <b v="0"/>
    <b v="0"/>
    <s v="technology/wearables"/>
    <x v="2"/>
    <x v="8"/>
  </r>
  <r>
    <n v="495"/>
    <s v="Bell, Edwards and Andersen"/>
    <s v="Centralized clear-thinking solution"/>
    <n v="3200"/>
    <n v="13264"/>
    <n v="4.1449999999999996"/>
    <n v="2.1230434782608696"/>
    <x v="1"/>
    <n v="195"/>
    <n v="68.02051282051282"/>
    <x v="3"/>
    <s v="DKK"/>
    <n v="1402376400"/>
    <n v="1402722000"/>
    <x v="467"/>
    <d v="2014-06-14T05:00:00"/>
    <s v="Tue"/>
    <n v="4"/>
    <b v="0"/>
    <b v="0"/>
    <s v="theater/plays"/>
    <x v="3"/>
    <x v="3"/>
  </r>
  <r>
    <n v="496"/>
    <s v="Morales Group"/>
    <s v="Optimized bi-directional extranet"/>
    <n v="183800"/>
    <n v="1667"/>
    <n v="9.0696409140369975E-3"/>
    <n v="0.50551920620886137"/>
    <x v="0"/>
    <n v="54"/>
    <n v="30.87037037037037"/>
    <x v="1"/>
    <s v="USD"/>
    <n v="1495342800"/>
    <n v="1496811600"/>
    <x v="468"/>
    <d v="2017-06-07T05:00:00"/>
    <s v="Sun"/>
    <n v="17"/>
    <b v="0"/>
    <b v="0"/>
    <s v="film &amp; video/animation"/>
    <x v="4"/>
    <x v="10"/>
  </r>
  <r>
    <n v="497"/>
    <s v="Lucero Group"/>
    <s v="Intuitive actuating benchmark"/>
    <n v="9800"/>
    <n v="3349"/>
    <n v="0.34173469387755101"/>
    <n v="0.50551920620886137"/>
    <x v="0"/>
    <n v="120"/>
    <n v="27.908333333333335"/>
    <x v="1"/>
    <s v="USD"/>
    <n v="1482213600"/>
    <n v="1482213600"/>
    <x v="469"/>
    <d v="2016-12-20T06:00:00"/>
    <s v="Tue"/>
    <n v="0"/>
    <b v="0"/>
    <b v="1"/>
    <s v="technology/wearables"/>
    <x v="2"/>
    <x v="8"/>
  </r>
  <r>
    <n v="498"/>
    <s v="Smith, Brown and Davis"/>
    <s v="Devolved background project"/>
    <n v="193400"/>
    <n v="46317"/>
    <n v="0.239488107549121"/>
    <n v="0.50551920620886137"/>
    <x v="0"/>
    <n v="579"/>
    <n v="79.994818652849744"/>
    <x v="3"/>
    <s v="DKK"/>
    <n v="1420092000"/>
    <n v="1420264800"/>
    <x v="470"/>
    <d v="2015-01-03T06:00:00"/>
    <s v="Thu"/>
    <n v="2"/>
    <b v="0"/>
    <b v="0"/>
    <s v="technology/web"/>
    <x v="2"/>
    <x v="2"/>
  </r>
  <r>
    <n v="499"/>
    <s v="Hunt Group"/>
    <s v="Reverse-engineered executive emulation"/>
    <n v="163800"/>
    <n v="78743"/>
    <n v="0.48072649572649573"/>
    <n v="0.50551920620886137"/>
    <x v="0"/>
    <n v="2072"/>
    <n v="38.003378378378379"/>
    <x v="1"/>
    <s v="USD"/>
    <n v="1458018000"/>
    <n v="1458450000"/>
    <x v="471"/>
    <d v="2016-03-20T05:00:00"/>
    <s v="Tue"/>
    <n v="5"/>
    <b v="0"/>
    <b v="1"/>
    <s v="film &amp; video/documentary"/>
    <x v="4"/>
    <x v="4"/>
  </r>
  <r>
    <n v="500"/>
    <s v="Valdez Ltd"/>
    <s v="Team-oriented clear-thinking matrix"/>
    <n v="100"/>
    <n v="0"/>
    <n v="0"/>
    <n v="0.50551920620886137"/>
    <x v="0"/>
    <n v="0"/>
    <n v="0"/>
    <x v="1"/>
    <s v="USD"/>
    <n v="1367384400"/>
    <n v="1369803600"/>
    <x v="472"/>
    <d v="2013-05-29T05:00:00"/>
    <s v="Wed"/>
    <n v="28"/>
    <b v="0"/>
    <b v="1"/>
    <s v="theater/plays"/>
    <x v="3"/>
    <x v="3"/>
  </r>
  <r>
    <n v="501"/>
    <s v="Mccann-Le"/>
    <s v="Focused coherent methodology"/>
    <n v="153600"/>
    <n v="107743"/>
    <n v="0.70145182291666663"/>
    <n v="0.50551920620886137"/>
    <x v="0"/>
    <n v="1796"/>
    <n v="59.990534521158132"/>
    <x v="1"/>
    <s v="USD"/>
    <n v="1363064400"/>
    <n v="1363237200"/>
    <x v="473"/>
    <d v="2013-03-14T05:00:00"/>
    <s v="Tue"/>
    <n v="2"/>
    <b v="0"/>
    <b v="0"/>
    <s v="film &amp; video/documentary"/>
    <x v="4"/>
    <x v="4"/>
  </r>
  <r>
    <n v="502"/>
    <s v="Johnson Inc"/>
    <s v="Reduced context-sensitive complexity"/>
    <n v="1300"/>
    <n v="6889"/>
    <n v="5.2992307692307694"/>
    <n v="2.1230434782608696"/>
    <x v="1"/>
    <n v="186"/>
    <n v="37.037634408602152"/>
    <x v="2"/>
    <s v="AUD"/>
    <n v="1343365200"/>
    <n v="1345870800"/>
    <x v="474"/>
    <d v="2012-08-25T05:00:00"/>
    <s v="Fri"/>
    <n v="29"/>
    <b v="0"/>
    <b v="1"/>
    <s v="games/video games"/>
    <x v="6"/>
    <x v="11"/>
  </r>
  <r>
    <n v="503"/>
    <s v="Collins LLC"/>
    <s v="Decentralized 4thgeneration time-frame"/>
    <n v="25500"/>
    <n v="45983"/>
    <n v="1.8032549019607844"/>
    <n v="2.1230434782608696"/>
    <x v="1"/>
    <n v="460"/>
    <n v="99.963043478260872"/>
    <x v="1"/>
    <s v="USD"/>
    <n v="1435726800"/>
    <n v="1437454800"/>
    <x v="72"/>
    <d v="2015-07-21T05:00:00"/>
    <s v="Wed"/>
    <n v="20"/>
    <b v="0"/>
    <b v="0"/>
    <s v="film &amp; video/drama"/>
    <x v="4"/>
    <x v="6"/>
  </r>
  <r>
    <n v="504"/>
    <s v="Smith-Miller"/>
    <s v="De-engineered cohesive moderator"/>
    <n v="7500"/>
    <n v="6924"/>
    <n v="0.92320000000000002"/>
    <n v="0.50551920620886137"/>
    <x v="0"/>
    <n v="62"/>
    <n v="111.6774193548387"/>
    <x v="6"/>
    <s v="EUR"/>
    <n v="1431925200"/>
    <n v="1432011600"/>
    <x v="443"/>
    <d v="2015-05-19T05:00:00"/>
    <s v="Mon"/>
    <n v="1"/>
    <b v="0"/>
    <b v="0"/>
    <s v="music/rock"/>
    <x v="1"/>
    <x v="1"/>
  </r>
  <r>
    <n v="505"/>
    <s v="Jensen-Vargas"/>
    <s v="Ameliorated explicit parallelism"/>
    <n v="89900"/>
    <n v="12497"/>
    <n v="0.13901001112347053"/>
    <n v="0.50551920620886137"/>
    <x v="0"/>
    <n v="347"/>
    <n v="36.014409221902014"/>
    <x v="1"/>
    <s v="USD"/>
    <n v="1362722400"/>
    <n v="1366347600"/>
    <x v="475"/>
    <d v="2013-04-19T05:00:00"/>
    <s v="Fri"/>
    <n v="42"/>
    <b v="0"/>
    <b v="1"/>
    <s v="publishing/radio &amp; podcasts"/>
    <x v="5"/>
    <x v="15"/>
  </r>
  <r>
    <n v="506"/>
    <s v="Robles, Bell and Gonzalez"/>
    <s v="Customizable background monitoring"/>
    <n v="18000"/>
    <n v="166874"/>
    <n v="9.2707777777777771"/>
    <n v="2.1230434782608696"/>
    <x v="1"/>
    <n v="2528"/>
    <n v="66.010284810126578"/>
    <x v="1"/>
    <s v="USD"/>
    <n v="1511416800"/>
    <n v="1512885600"/>
    <x v="81"/>
    <d v="2017-12-10T06:00:00"/>
    <s v="Thu"/>
    <n v="17"/>
    <b v="0"/>
    <b v="1"/>
    <s v="theater/plays"/>
    <x v="3"/>
    <x v="3"/>
  </r>
  <r>
    <n v="507"/>
    <s v="Turner, Miller and Francis"/>
    <s v="Compatible well-modulated budgetary management"/>
    <n v="2100"/>
    <n v="837"/>
    <n v="0.39857142857142858"/>
    <n v="0.50551920620886137"/>
    <x v="0"/>
    <n v="19"/>
    <n v="44.05263157894737"/>
    <x v="1"/>
    <s v="USD"/>
    <n v="1365483600"/>
    <n v="1369717200"/>
    <x v="476"/>
    <d v="2013-05-28T05:00:00"/>
    <s v="Tue"/>
    <n v="49"/>
    <b v="0"/>
    <b v="1"/>
    <s v="technology/web"/>
    <x v="2"/>
    <x v="2"/>
  </r>
  <r>
    <n v="508"/>
    <s v="Roberts Group"/>
    <s v="Up-sized radical pricing structure"/>
    <n v="172700"/>
    <n v="193820"/>
    <n v="1.1222929936305732"/>
    <n v="2.1230434782608696"/>
    <x v="1"/>
    <n v="3657"/>
    <n v="52.999726551818434"/>
    <x v="1"/>
    <s v="USD"/>
    <n v="1532840400"/>
    <n v="1534654800"/>
    <x v="192"/>
    <d v="2018-08-19T05:00:00"/>
    <s v="Sun"/>
    <n v="21"/>
    <b v="0"/>
    <b v="0"/>
    <s v="theater/plays"/>
    <x v="3"/>
    <x v="3"/>
  </r>
  <r>
    <n v="509"/>
    <s v="White LLC"/>
    <s v="Robust zero-defect project"/>
    <n v="168500"/>
    <n v="119510"/>
    <n v="0.70925816023738875"/>
    <n v="0.50551920620886137"/>
    <x v="0"/>
    <n v="1258"/>
    <n v="95"/>
    <x v="1"/>
    <s v="USD"/>
    <n v="1336194000"/>
    <n v="1337058000"/>
    <x v="477"/>
    <d v="2012-05-15T05:00:00"/>
    <s v="Sat"/>
    <n v="10"/>
    <b v="0"/>
    <b v="0"/>
    <s v="theater/plays"/>
    <x v="3"/>
    <x v="3"/>
  </r>
  <r>
    <n v="510"/>
    <s v="Best, Miller and Thomas"/>
    <s v="Re-engineered mobile task-force"/>
    <n v="7800"/>
    <n v="9289"/>
    <n v="1.1908974358974358"/>
    <n v="2.1230434782608696"/>
    <x v="1"/>
    <n v="131"/>
    <n v="70.908396946564892"/>
    <x v="2"/>
    <s v="AUD"/>
    <n v="1527742800"/>
    <n v="1529816400"/>
    <x v="478"/>
    <d v="2018-06-24T05:00:00"/>
    <s v="Thu"/>
    <n v="24"/>
    <b v="0"/>
    <b v="0"/>
    <s v="film &amp; video/drama"/>
    <x v="4"/>
    <x v="6"/>
  </r>
  <r>
    <n v="511"/>
    <s v="Smith-Mullins"/>
    <s v="User-centric intangible neural-net"/>
    <n v="147800"/>
    <n v="35498"/>
    <n v="0.24017591339648173"/>
    <n v="0.50551920620886137"/>
    <x v="0"/>
    <n v="362"/>
    <n v="98.060773480662988"/>
    <x v="1"/>
    <s v="USD"/>
    <n v="1564030800"/>
    <n v="1564894800"/>
    <x v="479"/>
    <d v="2019-08-04T05:00:00"/>
    <s v="Thu"/>
    <n v="10"/>
    <b v="0"/>
    <b v="0"/>
    <s v="theater/plays"/>
    <x v="3"/>
    <x v="3"/>
  </r>
  <r>
    <n v="512"/>
    <s v="Williams-Walsh"/>
    <s v="Organized explicit core"/>
    <n v="9100"/>
    <n v="12678"/>
    <n v="1.3931868131868133"/>
    <n v="2.1230434782608696"/>
    <x v="1"/>
    <n v="239"/>
    <n v="53.046025104602514"/>
    <x v="1"/>
    <s v="USD"/>
    <n v="1404536400"/>
    <n v="1404622800"/>
    <x v="480"/>
    <d v="2014-07-06T05:00:00"/>
    <s v="Sat"/>
    <n v="1"/>
    <b v="0"/>
    <b v="1"/>
    <s v="games/video games"/>
    <x v="6"/>
    <x v="11"/>
  </r>
  <r>
    <n v="513"/>
    <s v="Harrison, Blackwell and Mendez"/>
    <s v="Synchronized 6thgeneration adapter"/>
    <n v="8300"/>
    <n v="3260"/>
    <n v="0.39277108433734942"/>
    <n v="0.43241247264770238"/>
    <x v="3"/>
    <n v="35"/>
    <n v="93.142857142857139"/>
    <x v="1"/>
    <s v="USD"/>
    <n v="1284008400"/>
    <n v="1284181200"/>
    <x v="180"/>
    <d v="2010-09-11T05:00:00"/>
    <s v="Thu"/>
    <n v="2"/>
    <b v="0"/>
    <b v="0"/>
    <s v="film &amp; video/television"/>
    <x v="4"/>
    <x v="19"/>
  </r>
  <r>
    <n v="514"/>
    <s v="Sanchez, Bradley and Flores"/>
    <s v="Centralized motivating capacity"/>
    <n v="138700"/>
    <n v="31123"/>
    <n v="0.22439077144917088"/>
    <n v="0.43241247264770238"/>
    <x v="3"/>
    <n v="528"/>
    <n v="58.945075757575758"/>
    <x v="5"/>
    <s v="CHF"/>
    <n v="1386309600"/>
    <n v="1386741600"/>
    <x v="481"/>
    <d v="2013-12-11T06:00:00"/>
    <s v="Fri"/>
    <n v="5"/>
    <b v="0"/>
    <b v="1"/>
    <s v="music/rock"/>
    <x v="1"/>
    <x v="1"/>
  </r>
  <r>
    <n v="515"/>
    <s v="Cox LLC"/>
    <s v="Phased 24hour flexibility"/>
    <n v="8600"/>
    <n v="4797"/>
    <n v="0.55779069767441858"/>
    <n v="0.50551920620886137"/>
    <x v="0"/>
    <n v="133"/>
    <n v="36.067669172932334"/>
    <x v="0"/>
    <s v="CAD"/>
    <n v="1324620000"/>
    <n v="1324792800"/>
    <x v="482"/>
    <d v="2011-12-25T06:00:00"/>
    <s v="Fri"/>
    <n v="2"/>
    <b v="0"/>
    <b v="1"/>
    <s v="theater/plays"/>
    <x v="3"/>
    <x v="3"/>
  </r>
  <r>
    <n v="516"/>
    <s v="Morales-Odonnell"/>
    <s v="Exclusive 5thgeneration structure"/>
    <n v="125400"/>
    <n v="53324"/>
    <n v="0.42523125996810207"/>
    <n v="0.50551920620886137"/>
    <x v="0"/>
    <n v="846"/>
    <n v="63.030732860520096"/>
    <x v="1"/>
    <s v="USD"/>
    <n v="1281070800"/>
    <n v="1284354000"/>
    <x v="194"/>
    <d v="2010-09-13T05:00:00"/>
    <s v="Fri"/>
    <n v="38"/>
    <b v="0"/>
    <b v="0"/>
    <s v="publishing/nonfiction"/>
    <x v="5"/>
    <x v="9"/>
  </r>
  <r>
    <n v="517"/>
    <s v="Ramirez LLC"/>
    <s v="Multi-tiered maximized orchestration"/>
    <n v="5900"/>
    <n v="6608"/>
    <n v="1.1200000000000001"/>
    <n v="2.1230434782608696"/>
    <x v="1"/>
    <n v="78"/>
    <n v="84.717948717948715"/>
    <x v="1"/>
    <s v="USD"/>
    <n v="1493960400"/>
    <n v="1494392400"/>
    <x v="483"/>
    <d v="2017-05-10T05:00:00"/>
    <s v="Fri"/>
    <n v="5"/>
    <b v="0"/>
    <b v="0"/>
    <s v="food/food trucks"/>
    <x v="0"/>
    <x v="0"/>
  </r>
  <r>
    <n v="518"/>
    <s v="Ramirez Group"/>
    <s v="Open-architected uniform instruction set"/>
    <n v="8800"/>
    <n v="622"/>
    <n v="7.0681818181818179E-2"/>
    <n v="0.50551920620886137"/>
    <x v="0"/>
    <n v="10"/>
    <n v="62.2"/>
    <x v="1"/>
    <s v="USD"/>
    <n v="1519365600"/>
    <n v="1519538400"/>
    <x v="484"/>
    <d v="2018-02-25T06:00:00"/>
    <s v="Fri"/>
    <n v="2"/>
    <b v="0"/>
    <b v="1"/>
    <s v="film &amp; video/animation"/>
    <x v="4"/>
    <x v="10"/>
  </r>
  <r>
    <n v="519"/>
    <s v="Marsh-Coleman"/>
    <s v="Exclusive asymmetric analyzer"/>
    <n v="177700"/>
    <n v="180802"/>
    <n v="1.0174563871693867"/>
    <n v="2.1230434782608696"/>
    <x v="1"/>
    <n v="1773"/>
    <n v="101.97518330513255"/>
    <x v="1"/>
    <s v="USD"/>
    <n v="1420696800"/>
    <n v="1421906400"/>
    <x v="355"/>
    <d v="2015-01-22T06:00:00"/>
    <s v="Thu"/>
    <n v="14"/>
    <b v="0"/>
    <b v="1"/>
    <s v="music/rock"/>
    <x v="1"/>
    <x v="1"/>
  </r>
  <r>
    <n v="520"/>
    <s v="Frederick, Jenkins and Collins"/>
    <s v="Organic radical collaboration"/>
    <n v="800"/>
    <n v="3406"/>
    <n v="4.2575000000000003"/>
    <n v="2.1230434782608696"/>
    <x v="1"/>
    <n v="32"/>
    <n v="106.4375"/>
    <x v="1"/>
    <s v="USD"/>
    <n v="1555650000"/>
    <n v="1555909200"/>
    <x v="485"/>
    <d v="2019-04-22T05:00:00"/>
    <s v="Fri"/>
    <n v="3"/>
    <b v="0"/>
    <b v="0"/>
    <s v="theater/plays"/>
    <x v="3"/>
    <x v="3"/>
  </r>
  <r>
    <n v="521"/>
    <s v="Wilson Ltd"/>
    <s v="Function-based multi-state software"/>
    <n v="7600"/>
    <n v="11061"/>
    <n v="1.4553947368421052"/>
    <n v="2.1230434782608696"/>
    <x v="1"/>
    <n v="369"/>
    <n v="29.975609756097562"/>
    <x v="1"/>
    <s v="USD"/>
    <n v="1471928400"/>
    <n v="1472446800"/>
    <x v="486"/>
    <d v="2016-08-29T05:00:00"/>
    <s v="Tue"/>
    <n v="6"/>
    <b v="0"/>
    <b v="1"/>
    <s v="film &amp; video/drama"/>
    <x v="4"/>
    <x v="6"/>
  </r>
  <r>
    <n v="522"/>
    <s v="Cline, Peterson and Lowery"/>
    <s v="Innovative static budgetary management"/>
    <n v="50500"/>
    <n v="16389"/>
    <n v="0.32453465346534655"/>
    <n v="0.50551920620886137"/>
    <x v="0"/>
    <n v="191"/>
    <n v="85.806282722513089"/>
    <x v="1"/>
    <s v="USD"/>
    <n v="1341291600"/>
    <n v="1342328400"/>
    <x v="487"/>
    <d v="2012-07-15T05:00:00"/>
    <s v="Tue"/>
    <n v="12"/>
    <b v="0"/>
    <b v="0"/>
    <s v="film &amp; video/shorts"/>
    <x v="4"/>
    <x v="12"/>
  </r>
  <r>
    <n v="523"/>
    <s v="Underwood, James and Jones"/>
    <s v="Triple-buffered holistic ability"/>
    <n v="900"/>
    <n v="6303"/>
    <n v="7.003333333333333"/>
    <n v="2.1230434782608696"/>
    <x v="1"/>
    <n v="89"/>
    <n v="70.82022471910112"/>
    <x v="1"/>
    <s v="USD"/>
    <n v="1267682400"/>
    <n v="1268114400"/>
    <x v="488"/>
    <d v="2010-03-09T06:00:00"/>
    <s v="Thu"/>
    <n v="5"/>
    <b v="0"/>
    <b v="0"/>
    <s v="film &amp; video/shorts"/>
    <x v="4"/>
    <x v="12"/>
  </r>
  <r>
    <n v="524"/>
    <s v="Johnson-Contreras"/>
    <s v="Diverse scalable superstructure"/>
    <n v="96700"/>
    <n v="81136"/>
    <n v="0.83904860392967939"/>
    <n v="0.50551920620886137"/>
    <x v="0"/>
    <n v="1979"/>
    <n v="40.998484082870135"/>
    <x v="1"/>
    <s v="USD"/>
    <n v="1272258000"/>
    <n v="1273381200"/>
    <x v="489"/>
    <d v="2010-05-09T05:00:00"/>
    <s v="Mon"/>
    <n v="13"/>
    <b v="0"/>
    <b v="0"/>
    <s v="theater/plays"/>
    <x v="3"/>
    <x v="3"/>
  </r>
  <r>
    <n v="525"/>
    <s v="Greene, Lloyd and Sims"/>
    <s v="Balanced leadingedge data-warehouse"/>
    <n v="2100"/>
    <n v="1768"/>
    <n v="0.84190476190476193"/>
    <n v="0.50551920620886137"/>
    <x v="0"/>
    <n v="63"/>
    <n v="28.063492063492063"/>
    <x v="1"/>
    <s v="USD"/>
    <n v="1290492000"/>
    <n v="1290837600"/>
    <x v="490"/>
    <d v="2010-11-27T06:00:00"/>
    <s v="Tue"/>
    <n v="4"/>
    <b v="0"/>
    <b v="0"/>
    <s v="technology/wearables"/>
    <x v="2"/>
    <x v="8"/>
  </r>
  <r>
    <n v="526"/>
    <s v="Smith-Sparks"/>
    <s v="Digitized bandwidth-monitored open architecture"/>
    <n v="8300"/>
    <n v="12944"/>
    <n v="1.5595180722891566"/>
    <n v="2.1230434782608696"/>
    <x v="1"/>
    <n v="147"/>
    <n v="88.054421768707485"/>
    <x v="1"/>
    <s v="USD"/>
    <n v="1451109600"/>
    <n v="1454306400"/>
    <x v="312"/>
    <d v="2016-02-01T06:00:00"/>
    <s v="Sat"/>
    <n v="37"/>
    <b v="0"/>
    <b v="1"/>
    <s v="theater/plays"/>
    <x v="3"/>
    <x v="3"/>
  </r>
  <r>
    <n v="527"/>
    <s v="Rosario-Smith"/>
    <s v="Enterprise-wide intermediate portal"/>
    <n v="189200"/>
    <n v="188480"/>
    <n v="0.99619450317124736"/>
    <n v="0.50551920620886137"/>
    <x v="0"/>
    <n v="6080"/>
    <n v="31"/>
    <x v="0"/>
    <s v="CAD"/>
    <n v="1454652000"/>
    <n v="1457762400"/>
    <x v="491"/>
    <d v="2016-03-12T06:00:00"/>
    <s v="Fri"/>
    <n v="36"/>
    <b v="0"/>
    <b v="0"/>
    <s v="film &amp; video/animation"/>
    <x v="4"/>
    <x v="10"/>
  </r>
  <r>
    <n v="528"/>
    <s v="Avila, Ford and Welch"/>
    <s v="Focused leadingedge matrix"/>
    <n v="9000"/>
    <n v="7227"/>
    <n v="0.80300000000000005"/>
    <n v="0.50551920620886137"/>
    <x v="0"/>
    <n v="80"/>
    <n v="90.337500000000006"/>
    <x v="4"/>
    <s v="GBP"/>
    <n v="1385186400"/>
    <n v="1389074400"/>
    <x v="492"/>
    <d v="2014-01-07T06:00:00"/>
    <s v="Sat"/>
    <n v="45"/>
    <b v="0"/>
    <b v="0"/>
    <s v="music/indie rock"/>
    <x v="1"/>
    <x v="7"/>
  </r>
  <r>
    <n v="529"/>
    <s v="Gallegos Inc"/>
    <s v="Seamless logistical encryption"/>
    <n v="5100"/>
    <n v="574"/>
    <n v="0.11254901960784314"/>
    <n v="0.50551920620886137"/>
    <x v="0"/>
    <n v="9"/>
    <n v="63.777777777777779"/>
    <x v="1"/>
    <s v="USD"/>
    <n v="1399698000"/>
    <n v="1402117200"/>
    <x v="493"/>
    <d v="2014-06-07T05:00:00"/>
    <s v="Sat"/>
    <n v="28"/>
    <b v="0"/>
    <b v="0"/>
    <s v="games/video games"/>
    <x v="6"/>
    <x v="11"/>
  </r>
  <r>
    <n v="530"/>
    <s v="Morrow, Santiago and Soto"/>
    <s v="Stand-alone human-resource workforce"/>
    <n v="105000"/>
    <n v="96328"/>
    <n v="0.91740952380952379"/>
    <n v="0.50551920620886137"/>
    <x v="0"/>
    <n v="1784"/>
    <n v="53.995515695067262"/>
    <x v="1"/>
    <s v="USD"/>
    <n v="1283230800"/>
    <n v="1284440400"/>
    <x v="494"/>
    <d v="2010-09-14T05:00:00"/>
    <s v="Tue"/>
    <n v="14"/>
    <b v="0"/>
    <b v="1"/>
    <s v="publishing/fiction"/>
    <x v="5"/>
    <x v="13"/>
  </r>
  <r>
    <n v="531"/>
    <s v="Berry-Richardson"/>
    <s v="Automated zero tolerance implementation"/>
    <n v="186700"/>
    <n v="178338"/>
    <n v="0.95521156936261387"/>
    <n v="0.49522981646937392"/>
    <x v="2"/>
    <n v="3640"/>
    <n v="48.993956043956047"/>
    <x v="5"/>
    <s v="CHF"/>
    <n v="1384149600"/>
    <n v="1388988000"/>
    <x v="495"/>
    <d v="2014-01-06T06:00:00"/>
    <s v="Mon"/>
    <n v="56"/>
    <b v="0"/>
    <b v="0"/>
    <s v="games/video games"/>
    <x v="6"/>
    <x v="11"/>
  </r>
  <r>
    <n v="532"/>
    <s v="Cordova-Torres"/>
    <s v="Pre-emptive grid-enabled contingency"/>
    <n v="1600"/>
    <n v="8046"/>
    <n v="5.0287499999999996"/>
    <n v="2.1230434782608696"/>
    <x v="1"/>
    <n v="126"/>
    <n v="63.857142857142854"/>
    <x v="0"/>
    <s v="CAD"/>
    <n v="1516860000"/>
    <n v="1516946400"/>
    <x v="496"/>
    <d v="2018-01-26T06:00:00"/>
    <s v="Thu"/>
    <n v="1"/>
    <b v="0"/>
    <b v="0"/>
    <s v="theater/plays"/>
    <x v="3"/>
    <x v="3"/>
  </r>
  <r>
    <n v="533"/>
    <s v="Holt, Bernard and Johnson"/>
    <s v="Multi-lateral didactic encoding"/>
    <n v="115600"/>
    <n v="184086"/>
    <n v="1.5924394463667819"/>
    <n v="2.1230434782608696"/>
    <x v="1"/>
    <n v="2218"/>
    <n v="82.996393146979258"/>
    <x v="4"/>
    <s v="GBP"/>
    <n v="1374642000"/>
    <n v="1377752400"/>
    <x v="497"/>
    <d v="2013-08-29T05:00:00"/>
    <s v="Wed"/>
    <n v="36"/>
    <b v="0"/>
    <b v="0"/>
    <s v="music/indie rock"/>
    <x v="1"/>
    <x v="7"/>
  </r>
  <r>
    <n v="534"/>
    <s v="Clark, Mccormick and Mendoza"/>
    <s v="Self-enabling didactic orchestration"/>
    <n v="89100"/>
    <n v="13385"/>
    <n v="0.15022446689113356"/>
    <n v="0.50551920620886137"/>
    <x v="0"/>
    <n v="243"/>
    <n v="55.08230452674897"/>
    <x v="1"/>
    <s v="USD"/>
    <n v="1534482000"/>
    <n v="1534568400"/>
    <x v="498"/>
    <d v="2018-08-18T05:00:00"/>
    <s v="Fri"/>
    <n v="1"/>
    <b v="0"/>
    <b v="1"/>
    <s v="film &amp; video/drama"/>
    <x v="4"/>
    <x v="6"/>
  </r>
  <r>
    <n v="535"/>
    <s v="Garrison LLC"/>
    <s v="Profit-focused 24/7 data-warehouse"/>
    <n v="2600"/>
    <n v="12533"/>
    <n v="4.820384615384615"/>
    <n v="2.1230434782608696"/>
    <x v="1"/>
    <n v="202"/>
    <n v="62.044554455445542"/>
    <x v="6"/>
    <s v="EUR"/>
    <n v="1528434000"/>
    <n v="1528606800"/>
    <x v="499"/>
    <d v="2018-06-10T05:00:00"/>
    <s v="Fri"/>
    <n v="2"/>
    <b v="0"/>
    <b v="1"/>
    <s v="theater/plays"/>
    <x v="3"/>
    <x v="3"/>
  </r>
  <r>
    <n v="536"/>
    <s v="Shannon-Olson"/>
    <s v="Enhanced methodical middleware"/>
    <n v="9800"/>
    <n v="14697"/>
    <n v="1.4996938775510205"/>
    <n v="2.1230434782608696"/>
    <x v="1"/>
    <n v="140"/>
    <n v="104.97857142857143"/>
    <x v="6"/>
    <s v="EUR"/>
    <n v="1282626000"/>
    <n v="1284872400"/>
    <x v="500"/>
    <d v="2010-09-19T05:00:00"/>
    <s v="Tue"/>
    <n v="26"/>
    <b v="0"/>
    <b v="0"/>
    <s v="publishing/fiction"/>
    <x v="5"/>
    <x v="13"/>
  </r>
  <r>
    <n v="537"/>
    <s v="Murillo-Mcfarland"/>
    <s v="Synchronized client-driven projection"/>
    <n v="84400"/>
    <n v="98935"/>
    <n v="1.1722156398104266"/>
    <n v="2.1230434782608696"/>
    <x v="1"/>
    <n v="1052"/>
    <n v="94.044676806083643"/>
    <x v="3"/>
    <s v="DKK"/>
    <n v="1535605200"/>
    <n v="1537592400"/>
    <x v="501"/>
    <d v="2018-09-22T05:00:00"/>
    <s v="Thu"/>
    <n v="23"/>
    <b v="1"/>
    <b v="1"/>
    <s v="film &amp; video/documentary"/>
    <x v="4"/>
    <x v="4"/>
  </r>
  <r>
    <n v="538"/>
    <s v="Young, Gilbert and Escobar"/>
    <s v="Networked didactic time-frame"/>
    <n v="151300"/>
    <n v="57034"/>
    <n v="0.37695968274950431"/>
    <n v="0.50551920620886137"/>
    <x v="0"/>
    <n v="1296"/>
    <n v="44.007716049382715"/>
    <x v="1"/>
    <s v="USD"/>
    <n v="1379826000"/>
    <n v="1381208400"/>
    <x v="502"/>
    <d v="2013-10-08T05:00:00"/>
    <s v="Sun"/>
    <n v="16"/>
    <b v="0"/>
    <b v="0"/>
    <s v="games/mobile games"/>
    <x v="6"/>
    <x v="20"/>
  </r>
  <r>
    <n v="539"/>
    <s v="Thomas, Welch and Santana"/>
    <s v="Assimilated exuding toolset"/>
    <n v="9800"/>
    <n v="7120"/>
    <n v="0.72653061224489801"/>
    <n v="0.50551920620886137"/>
    <x v="0"/>
    <n v="77"/>
    <n v="92.467532467532465"/>
    <x v="1"/>
    <s v="USD"/>
    <n v="1561957200"/>
    <n v="1562475600"/>
    <x v="503"/>
    <d v="2019-07-07T05:00:00"/>
    <s v="Mon"/>
    <n v="6"/>
    <b v="0"/>
    <b v="1"/>
    <s v="food/food trucks"/>
    <x v="0"/>
    <x v="0"/>
  </r>
  <r>
    <n v="540"/>
    <s v="Brown-Pena"/>
    <s v="Front-line client-server secured line"/>
    <n v="5300"/>
    <n v="14097"/>
    <n v="2.6598113207547169"/>
    <n v="2.1230434782608696"/>
    <x v="1"/>
    <n v="247"/>
    <n v="57.072874493927124"/>
    <x v="1"/>
    <s v="USD"/>
    <n v="1525496400"/>
    <n v="1527397200"/>
    <x v="504"/>
    <d v="2018-05-27T05:00:00"/>
    <s v="Sat"/>
    <n v="22"/>
    <b v="0"/>
    <b v="0"/>
    <s v="photography/photography books"/>
    <x v="7"/>
    <x v="14"/>
  </r>
  <r>
    <n v="541"/>
    <s v="Holder, Caldwell and Vance"/>
    <s v="Polarized systemic Internet solution"/>
    <n v="178000"/>
    <n v="43086"/>
    <n v="0.24205617977528091"/>
    <n v="0.50551920620886137"/>
    <x v="0"/>
    <n v="395"/>
    <n v="109.07848101265823"/>
    <x v="6"/>
    <s v="EUR"/>
    <n v="1433912400"/>
    <n v="1436158800"/>
    <x v="505"/>
    <d v="2015-07-06T05:00:00"/>
    <s v="Wed"/>
    <n v="26"/>
    <b v="0"/>
    <b v="0"/>
    <s v="games/mobile games"/>
    <x v="6"/>
    <x v="20"/>
  </r>
  <r>
    <n v="542"/>
    <s v="Harrison-Bridges"/>
    <s v="Profit-focused exuding moderator"/>
    <n v="77000"/>
    <n v="1930"/>
    <n v="2.5064935064935064E-2"/>
    <n v="0.50551920620886137"/>
    <x v="0"/>
    <n v="49"/>
    <n v="39.387755102040813"/>
    <x v="4"/>
    <s v="GBP"/>
    <n v="1453442400"/>
    <n v="1456034400"/>
    <x v="506"/>
    <d v="2016-02-21T06:00:00"/>
    <s v="Fri"/>
    <n v="30"/>
    <b v="0"/>
    <b v="0"/>
    <s v="music/indie rock"/>
    <x v="1"/>
    <x v="7"/>
  </r>
  <r>
    <n v="543"/>
    <s v="Johnson, Murphy and Peterson"/>
    <s v="Cross-group high-level moderator"/>
    <n v="84900"/>
    <n v="13864"/>
    <n v="0.1632979976442874"/>
    <n v="0.50551920620886137"/>
    <x v="0"/>
    <n v="180"/>
    <n v="77.022222222222226"/>
    <x v="1"/>
    <s v="USD"/>
    <n v="1378875600"/>
    <n v="1380171600"/>
    <x v="507"/>
    <d v="2013-09-26T05:00:00"/>
    <s v="Wed"/>
    <n v="15"/>
    <b v="0"/>
    <b v="0"/>
    <s v="games/video games"/>
    <x v="6"/>
    <x v="11"/>
  </r>
  <r>
    <n v="544"/>
    <s v="Taylor Inc"/>
    <s v="Public-key 3rdgeneration system engine"/>
    <n v="2800"/>
    <n v="7742"/>
    <n v="2.7650000000000001"/>
    <n v="2.1230434782608696"/>
    <x v="1"/>
    <n v="84"/>
    <n v="92.166666666666671"/>
    <x v="1"/>
    <s v="USD"/>
    <n v="1452232800"/>
    <n v="1453356000"/>
    <x v="508"/>
    <d v="2016-01-21T06:00:00"/>
    <s v="Fri"/>
    <n v="13"/>
    <b v="0"/>
    <b v="0"/>
    <s v="music/rock"/>
    <x v="1"/>
    <x v="1"/>
  </r>
  <r>
    <n v="545"/>
    <s v="Deleon and Sons"/>
    <s v="Organized value-added access"/>
    <n v="184800"/>
    <n v="164109"/>
    <n v="0.88803571428571426"/>
    <n v="0.50551920620886137"/>
    <x v="0"/>
    <n v="2690"/>
    <n v="61.007063197026021"/>
    <x v="1"/>
    <s v="USD"/>
    <n v="1577253600"/>
    <n v="1578981600"/>
    <x v="509"/>
    <d v="2020-01-14T06:00:00"/>
    <s v="Wed"/>
    <n v="20"/>
    <b v="0"/>
    <b v="0"/>
    <s v="theater/plays"/>
    <x v="3"/>
    <x v="3"/>
  </r>
  <r>
    <n v="546"/>
    <s v="Benjamin, Paul and Ferguson"/>
    <s v="Cloned global Graphical User Interface"/>
    <n v="4200"/>
    <n v="6870"/>
    <n v="1.6357142857142857"/>
    <n v="2.1230434782608696"/>
    <x v="1"/>
    <n v="88"/>
    <n v="78.068181818181813"/>
    <x v="1"/>
    <s v="USD"/>
    <n v="1537160400"/>
    <n v="1537419600"/>
    <x v="510"/>
    <d v="2018-09-20T05:00:00"/>
    <s v="Mon"/>
    <n v="3"/>
    <b v="0"/>
    <b v="1"/>
    <s v="theater/plays"/>
    <x v="3"/>
    <x v="3"/>
  </r>
  <r>
    <n v="547"/>
    <s v="Hardin-Dixon"/>
    <s v="Focused solution-oriented matrix"/>
    <n v="1300"/>
    <n v="12597"/>
    <n v="9.69"/>
    <n v="2.1230434782608696"/>
    <x v="1"/>
    <n v="156"/>
    <n v="80.75"/>
    <x v="1"/>
    <s v="USD"/>
    <n v="1422165600"/>
    <n v="1423202400"/>
    <x v="511"/>
    <d v="2015-02-06T06:00:00"/>
    <s v="Sun"/>
    <n v="12"/>
    <b v="0"/>
    <b v="0"/>
    <s v="film &amp; video/drama"/>
    <x v="4"/>
    <x v="6"/>
  </r>
  <r>
    <n v="548"/>
    <s v="York-Pitts"/>
    <s v="Monitored discrete toolset"/>
    <n v="66100"/>
    <n v="179074"/>
    <n v="2.7091376701966716"/>
    <n v="2.1230434782608696"/>
    <x v="1"/>
    <n v="2985"/>
    <n v="59.991289782244557"/>
    <x v="1"/>
    <s v="USD"/>
    <n v="1459486800"/>
    <n v="1460610000"/>
    <x v="512"/>
    <d v="2016-04-14T05:00:00"/>
    <s v="Fri"/>
    <n v="13"/>
    <b v="0"/>
    <b v="0"/>
    <s v="theater/plays"/>
    <x v="3"/>
    <x v="3"/>
  </r>
  <r>
    <n v="549"/>
    <s v="Jarvis and Sons"/>
    <s v="Business-focused intermediate system engine"/>
    <n v="29500"/>
    <n v="83843"/>
    <n v="2.8421355932203389"/>
    <n v="2.1230434782608696"/>
    <x v="1"/>
    <n v="762"/>
    <n v="110.03018372703411"/>
    <x v="1"/>
    <s v="USD"/>
    <n v="1369717200"/>
    <n v="1370494800"/>
    <x v="513"/>
    <d v="2013-06-06T05:00:00"/>
    <s v="Tue"/>
    <n v="9"/>
    <b v="0"/>
    <b v="0"/>
    <s v="technology/wearables"/>
    <x v="2"/>
    <x v="8"/>
  </r>
  <r>
    <n v="550"/>
    <s v="Morrison-Henderson"/>
    <s v="De-engineered disintermediate encoding"/>
    <n v="100"/>
    <n v="4"/>
    <n v="0.04"/>
    <n v="0.43241247264770238"/>
    <x v="3"/>
    <n v="1"/>
    <n v="4"/>
    <x v="5"/>
    <s v="CHF"/>
    <n v="1330495200"/>
    <n v="1332306000"/>
    <x v="514"/>
    <d v="2012-03-21T05:00:00"/>
    <s v="Wed"/>
    <n v="21"/>
    <b v="0"/>
    <b v="0"/>
    <s v="music/indie rock"/>
    <x v="1"/>
    <x v="7"/>
  </r>
  <r>
    <n v="551"/>
    <s v="Martin-James"/>
    <s v="Streamlined upward-trending analyzer"/>
    <n v="180100"/>
    <n v="105598"/>
    <n v="0.58632981676846196"/>
    <n v="0.50551920620886137"/>
    <x v="0"/>
    <n v="2779"/>
    <n v="37.99856063332134"/>
    <x v="2"/>
    <s v="AUD"/>
    <n v="1419055200"/>
    <n v="1422511200"/>
    <x v="515"/>
    <d v="2015-01-29T06:00:00"/>
    <s v="Sat"/>
    <n v="40"/>
    <b v="0"/>
    <b v="1"/>
    <s v="technology/web"/>
    <x v="2"/>
    <x v="2"/>
  </r>
  <r>
    <n v="552"/>
    <s v="Mercer, Solomon and Singleton"/>
    <s v="Distributed human-resource policy"/>
    <n v="9000"/>
    <n v="8866"/>
    <n v="0.98511111111111116"/>
    <n v="0.50551920620886137"/>
    <x v="0"/>
    <n v="92"/>
    <n v="96.369565217391298"/>
    <x v="1"/>
    <s v="USD"/>
    <n v="1480140000"/>
    <n v="1480312800"/>
    <x v="516"/>
    <d v="2016-11-28T06:00:00"/>
    <s v="Sat"/>
    <n v="2"/>
    <b v="0"/>
    <b v="0"/>
    <s v="theater/plays"/>
    <x v="3"/>
    <x v="3"/>
  </r>
  <r>
    <n v="553"/>
    <s v="Dougherty, Austin and Mills"/>
    <s v="De-engineered 5thgeneration contingency"/>
    <n v="170600"/>
    <n v="75022"/>
    <n v="0.43975381008206332"/>
    <n v="0.50551920620886137"/>
    <x v="0"/>
    <n v="1028"/>
    <n v="72.978599221789878"/>
    <x v="1"/>
    <s v="USD"/>
    <n v="1293948000"/>
    <n v="1294034400"/>
    <x v="517"/>
    <d v="2011-01-03T06:00:00"/>
    <s v="Sun"/>
    <n v="1"/>
    <b v="0"/>
    <b v="0"/>
    <s v="music/rock"/>
    <x v="1"/>
    <x v="1"/>
  </r>
  <r>
    <n v="554"/>
    <s v="Ritter PLC"/>
    <s v="Multi-channeled upward-trending application"/>
    <n v="9500"/>
    <n v="14408"/>
    <n v="1.5166315789473683"/>
    <n v="2.1230434782608696"/>
    <x v="1"/>
    <n v="554"/>
    <n v="26.007220216606498"/>
    <x v="0"/>
    <s v="CAD"/>
    <n v="1482127200"/>
    <n v="1482645600"/>
    <x v="518"/>
    <d v="2016-12-25T06:00:00"/>
    <s v="Mon"/>
    <n v="6"/>
    <b v="0"/>
    <b v="0"/>
    <s v="music/indie rock"/>
    <x v="1"/>
    <x v="7"/>
  </r>
  <r>
    <n v="555"/>
    <s v="Anderson Group"/>
    <s v="Organic maximized database"/>
    <n v="6300"/>
    <n v="14089"/>
    <n v="2.2363492063492063"/>
    <n v="2.1230434782608696"/>
    <x v="1"/>
    <n v="135"/>
    <n v="104.36296296296297"/>
    <x v="3"/>
    <s v="DKK"/>
    <n v="1396414800"/>
    <n v="1399093200"/>
    <x v="519"/>
    <d v="2014-05-03T05:00:00"/>
    <s v="Wed"/>
    <n v="31"/>
    <b v="0"/>
    <b v="0"/>
    <s v="music/rock"/>
    <x v="1"/>
    <x v="1"/>
  </r>
  <r>
    <n v="556"/>
    <s v="Smith and Sons"/>
    <s v="Grass-roots 24/7 attitude"/>
    <n v="5200"/>
    <n v="12467"/>
    <n v="2.3975"/>
    <n v="2.1230434782608696"/>
    <x v="1"/>
    <n v="122"/>
    <n v="102.18852459016394"/>
    <x v="1"/>
    <s v="USD"/>
    <n v="1315285200"/>
    <n v="1315890000"/>
    <x v="520"/>
    <d v="2011-09-13T05:00:00"/>
    <s v="Tue"/>
    <n v="7"/>
    <b v="0"/>
    <b v="1"/>
    <s v="publishing/translations"/>
    <x v="5"/>
    <x v="18"/>
  </r>
  <r>
    <n v="557"/>
    <s v="Lam-Hamilton"/>
    <s v="Team-oriented global strategy"/>
    <n v="6000"/>
    <n v="11960"/>
    <n v="1.9933333333333334"/>
    <n v="2.1230434782608696"/>
    <x v="1"/>
    <n v="221"/>
    <n v="54.117647058823529"/>
    <x v="1"/>
    <s v="USD"/>
    <n v="1443762000"/>
    <n v="1444021200"/>
    <x v="521"/>
    <d v="2015-10-05T05:00:00"/>
    <s v="Fri"/>
    <n v="3"/>
    <b v="0"/>
    <b v="1"/>
    <s v="film &amp; video/science fiction"/>
    <x v="4"/>
    <x v="22"/>
  </r>
  <r>
    <n v="558"/>
    <s v="Ho Ltd"/>
    <s v="Enhanced client-driven capacity"/>
    <n v="5800"/>
    <n v="7966"/>
    <n v="1.373448275862069"/>
    <n v="2.1230434782608696"/>
    <x v="1"/>
    <n v="126"/>
    <n v="63.222222222222221"/>
    <x v="1"/>
    <s v="USD"/>
    <n v="1456293600"/>
    <n v="1460005200"/>
    <x v="522"/>
    <d v="2016-04-07T05:00:00"/>
    <s v="Wed"/>
    <n v="43"/>
    <b v="0"/>
    <b v="0"/>
    <s v="theater/plays"/>
    <x v="3"/>
    <x v="3"/>
  </r>
  <r>
    <n v="559"/>
    <s v="Brown, Estrada and Jensen"/>
    <s v="Exclusive systematic productivity"/>
    <n v="105300"/>
    <n v="106321"/>
    <n v="1.009696106362773"/>
    <n v="2.1230434782608696"/>
    <x v="1"/>
    <n v="1022"/>
    <n v="104.03228962818004"/>
    <x v="1"/>
    <s v="USD"/>
    <n v="1470114000"/>
    <n v="1470718800"/>
    <x v="523"/>
    <d v="2016-08-09T05:00:00"/>
    <s v="Tue"/>
    <n v="7"/>
    <b v="0"/>
    <b v="0"/>
    <s v="theater/plays"/>
    <x v="3"/>
    <x v="3"/>
  </r>
  <r>
    <n v="560"/>
    <s v="Hunt LLC"/>
    <s v="Re-engineered radical policy"/>
    <n v="20000"/>
    <n v="158832"/>
    <n v="7.9416000000000002"/>
    <n v="2.1230434782608696"/>
    <x v="1"/>
    <n v="3177"/>
    <n v="49.994334277620396"/>
    <x v="1"/>
    <s v="USD"/>
    <n v="1321596000"/>
    <n v="1325052000"/>
    <x v="524"/>
    <d v="2011-12-28T06:00:00"/>
    <s v="Fri"/>
    <n v="40"/>
    <b v="0"/>
    <b v="0"/>
    <s v="film &amp; video/animation"/>
    <x v="4"/>
    <x v="10"/>
  </r>
  <r>
    <n v="561"/>
    <s v="Fowler-Smith"/>
    <s v="Down-sized logistical adapter"/>
    <n v="3000"/>
    <n v="11091"/>
    <n v="3.6970000000000001"/>
    <n v="2.1230434782608696"/>
    <x v="1"/>
    <n v="198"/>
    <n v="56.015151515151516"/>
    <x v="5"/>
    <s v="CHF"/>
    <n v="1318827600"/>
    <n v="1319000400"/>
    <x v="525"/>
    <d v="2011-10-19T05:00:00"/>
    <s v="Mon"/>
    <n v="2"/>
    <b v="0"/>
    <b v="0"/>
    <s v="theater/plays"/>
    <x v="3"/>
    <x v="3"/>
  </r>
  <r>
    <n v="562"/>
    <s v="Blair Inc"/>
    <s v="Configurable bandwidth-monitored throughput"/>
    <n v="9900"/>
    <n v="1269"/>
    <n v="0.12818181818181817"/>
    <n v="0.50551920620886137"/>
    <x v="0"/>
    <n v="26"/>
    <n v="48.807692307692307"/>
    <x v="5"/>
    <s v="CHF"/>
    <n v="1552366800"/>
    <n v="1552539600"/>
    <x v="188"/>
    <d v="2019-03-14T05:00:00"/>
    <s v="Tue"/>
    <n v="2"/>
    <b v="0"/>
    <b v="0"/>
    <s v="music/rock"/>
    <x v="1"/>
    <x v="1"/>
  </r>
  <r>
    <n v="563"/>
    <s v="Kelley, Stanton and Sanchez"/>
    <s v="Optional tangible pricing structure"/>
    <n v="3700"/>
    <n v="5107"/>
    <n v="1.3802702702702703"/>
    <n v="2.1230434782608696"/>
    <x v="1"/>
    <n v="85"/>
    <n v="60.082352941176474"/>
    <x v="2"/>
    <s v="AUD"/>
    <n v="1542088800"/>
    <n v="1543816800"/>
    <x v="526"/>
    <d v="2018-12-03T06:00:00"/>
    <s v="Tue"/>
    <n v="20"/>
    <b v="0"/>
    <b v="0"/>
    <s v="film &amp; video/documentary"/>
    <x v="4"/>
    <x v="4"/>
  </r>
  <r>
    <n v="564"/>
    <s v="Hernandez-Macdonald"/>
    <s v="Organic high-level implementation"/>
    <n v="168700"/>
    <n v="141393"/>
    <n v="0.83813278008298753"/>
    <n v="0.50551920620886137"/>
    <x v="0"/>
    <n v="1790"/>
    <n v="78.990502793296088"/>
    <x v="1"/>
    <s v="USD"/>
    <n v="1426395600"/>
    <n v="1427086800"/>
    <x v="527"/>
    <d v="2015-03-23T05:00:00"/>
    <s v="Sun"/>
    <n v="8"/>
    <b v="0"/>
    <b v="0"/>
    <s v="theater/plays"/>
    <x v="3"/>
    <x v="3"/>
  </r>
  <r>
    <n v="565"/>
    <s v="Joseph LLC"/>
    <s v="Decentralized logistical collaboration"/>
    <n v="94900"/>
    <n v="194166"/>
    <n v="2.0460063224446787"/>
    <n v="2.1230434782608696"/>
    <x v="1"/>
    <n v="3596"/>
    <n v="53.99499443826474"/>
    <x v="1"/>
    <s v="USD"/>
    <n v="1321336800"/>
    <n v="1323064800"/>
    <x v="528"/>
    <d v="2011-12-05T06:00:00"/>
    <s v="Tue"/>
    <n v="20"/>
    <b v="0"/>
    <b v="0"/>
    <s v="theater/plays"/>
    <x v="3"/>
    <x v="3"/>
  </r>
  <r>
    <n v="566"/>
    <s v="Webb-Smith"/>
    <s v="Advanced content-based installation"/>
    <n v="9300"/>
    <n v="4124"/>
    <n v="0.44344086021505374"/>
    <n v="0.50551920620886137"/>
    <x v="0"/>
    <n v="37"/>
    <n v="111.45945945945945"/>
    <x v="1"/>
    <s v="USD"/>
    <n v="1456293600"/>
    <n v="1458277200"/>
    <x v="522"/>
    <d v="2016-03-18T05:00:00"/>
    <s v="Wed"/>
    <n v="23"/>
    <b v="0"/>
    <b v="1"/>
    <s v="music/electric music"/>
    <x v="1"/>
    <x v="5"/>
  </r>
  <r>
    <n v="567"/>
    <s v="Johns PLC"/>
    <s v="Distributed high-level open architecture"/>
    <n v="6800"/>
    <n v="14865"/>
    <n v="2.1860294117647059"/>
    <n v="2.1230434782608696"/>
    <x v="1"/>
    <n v="244"/>
    <n v="60.922131147540981"/>
    <x v="1"/>
    <s v="USD"/>
    <n v="1404968400"/>
    <n v="1405141200"/>
    <x v="529"/>
    <d v="2014-07-12T05:00:00"/>
    <s v="Thu"/>
    <n v="2"/>
    <b v="0"/>
    <b v="0"/>
    <s v="music/rock"/>
    <x v="1"/>
    <x v="1"/>
  </r>
  <r>
    <n v="568"/>
    <s v="Hardin-Foley"/>
    <s v="Synergized zero tolerance help-desk"/>
    <n v="72400"/>
    <n v="134688"/>
    <n v="1.8603314917127072"/>
    <n v="2.1230434782608696"/>
    <x v="1"/>
    <n v="5180"/>
    <n v="26.0015444015444"/>
    <x v="1"/>
    <s v="USD"/>
    <n v="1279170000"/>
    <n v="1283058000"/>
    <x v="530"/>
    <d v="2010-08-29T05:00:00"/>
    <s v="Thu"/>
    <n v="45"/>
    <b v="0"/>
    <b v="0"/>
    <s v="theater/plays"/>
    <x v="3"/>
    <x v="3"/>
  </r>
  <r>
    <n v="569"/>
    <s v="Fischer, Fowler and Arnold"/>
    <s v="Extended multi-tasking definition"/>
    <n v="20100"/>
    <n v="47705"/>
    <n v="2.3733830845771142"/>
    <n v="2.1230434782608696"/>
    <x v="1"/>
    <n v="589"/>
    <n v="80.993208828522924"/>
    <x v="6"/>
    <s v="EUR"/>
    <n v="1294725600"/>
    <n v="1295762400"/>
    <x v="531"/>
    <d v="2011-01-23T06:00:00"/>
    <s v="Tue"/>
    <n v="12"/>
    <b v="0"/>
    <b v="0"/>
    <s v="film &amp; video/animation"/>
    <x v="4"/>
    <x v="10"/>
  </r>
  <r>
    <n v="570"/>
    <s v="Martinez-Juarez"/>
    <s v="Realigned uniform knowledge user"/>
    <n v="31200"/>
    <n v="95364"/>
    <n v="3.0565384615384614"/>
    <n v="2.1230434782608696"/>
    <x v="1"/>
    <n v="2725"/>
    <n v="34.995963302752294"/>
    <x v="1"/>
    <s v="USD"/>
    <n v="1419055200"/>
    <n v="1419573600"/>
    <x v="515"/>
    <d v="2014-12-26T06:00:00"/>
    <s v="Sat"/>
    <n v="6"/>
    <b v="0"/>
    <b v="1"/>
    <s v="music/rock"/>
    <x v="1"/>
    <x v="1"/>
  </r>
  <r>
    <n v="571"/>
    <s v="Wilson and Sons"/>
    <s v="Monitored grid-enabled model"/>
    <n v="3500"/>
    <n v="3295"/>
    <n v="0.94142857142857139"/>
    <n v="0.50551920620886137"/>
    <x v="0"/>
    <n v="35"/>
    <n v="94.142857142857139"/>
    <x v="6"/>
    <s v="EUR"/>
    <n v="1434690000"/>
    <n v="1438750800"/>
    <x v="532"/>
    <d v="2015-08-05T05:00:00"/>
    <s v="Fri"/>
    <n v="47"/>
    <b v="0"/>
    <b v="0"/>
    <s v="film &amp; video/shorts"/>
    <x v="4"/>
    <x v="12"/>
  </r>
  <r>
    <n v="572"/>
    <s v="Clements Group"/>
    <s v="Assimilated actuating policy"/>
    <n v="9000"/>
    <n v="4896"/>
    <n v="0.54400000000000004"/>
    <n v="0.43241247264770238"/>
    <x v="3"/>
    <n v="94"/>
    <n v="52.085106382978722"/>
    <x v="1"/>
    <s v="USD"/>
    <n v="1443416400"/>
    <n v="1444798800"/>
    <x v="533"/>
    <d v="2015-10-14T05:00:00"/>
    <s v="Mon"/>
    <n v="16"/>
    <b v="0"/>
    <b v="1"/>
    <s v="music/rock"/>
    <x v="1"/>
    <x v="1"/>
  </r>
  <r>
    <n v="573"/>
    <s v="Valenzuela-Cook"/>
    <s v="Total incremental productivity"/>
    <n v="6700"/>
    <n v="7496"/>
    <n v="1.1188059701492536"/>
    <n v="2.1230434782608696"/>
    <x v="1"/>
    <n v="300"/>
    <n v="24.986666666666668"/>
    <x v="1"/>
    <s v="USD"/>
    <n v="1399006800"/>
    <n v="1399179600"/>
    <x v="409"/>
    <d v="2014-05-04T05:00:00"/>
    <s v="Fri"/>
    <n v="2"/>
    <b v="0"/>
    <b v="0"/>
    <s v="journalism/audio"/>
    <x v="8"/>
    <x v="23"/>
  </r>
  <r>
    <n v="574"/>
    <s v="Parker, Haley and Foster"/>
    <s v="Adaptive local task-force"/>
    <n v="2700"/>
    <n v="9967"/>
    <n v="3.6914814814814814"/>
    <n v="2.1230434782608696"/>
    <x v="1"/>
    <n v="144"/>
    <n v="69.215277777777771"/>
    <x v="1"/>
    <s v="USD"/>
    <n v="1575698400"/>
    <n v="1576562400"/>
    <x v="534"/>
    <d v="2019-12-17T06:00:00"/>
    <s v="Sat"/>
    <n v="10"/>
    <b v="0"/>
    <b v="1"/>
    <s v="food/food trucks"/>
    <x v="0"/>
    <x v="0"/>
  </r>
  <r>
    <n v="575"/>
    <s v="Fuentes LLC"/>
    <s v="Universal zero-defect concept"/>
    <n v="83300"/>
    <n v="52421"/>
    <n v="0.62930372148859548"/>
    <n v="0.50551920620886137"/>
    <x v="0"/>
    <n v="558"/>
    <n v="93.944444444444443"/>
    <x v="1"/>
    <s v="USD"/>
    <n v="1400562000"/>
    <n v="1400821200"/>
    <x v="53"/>
    <d v="2014-05-23T05:00:00"/>
    <s v="Tue"/>
    <n v="3"/>
    <b v="0"/>
    <b v="1"/>
    <s v="theater/plays"/>
    <x v="3"/>
    <x v="3"/>
  </r>
  <r>
    <n v="576"/>
    <s v="Moran and Sons"/>
    <s v="Object-based bottom-line superstructure"/>
    <n v="9700"/>
    <n v="6298"/>
    <n v="0.6492783505154639"/>
    <n v="0.50551920620886137"/>
    <x v="0"/>
    <n v="64"/>
    <n v="98.40625"/>
    <x v="1"/>
    <s v="USD"/>
    <n v="1509512400"/>
    <n v="1510984800"/>
    <x v="535"/>
    <d v="2017-11-18T06:00:00"/>
    <s v="Wed"/>
    <n v="17"/>
    <b v="0"/>
    <b v="0"/>
    <s v="theater/plays"/>
    <x v="3"/>
    <x v="3"/>
  </r>
  <r>
    <n v="577"/>
    <s v="Stevens Inc"/>
    <s v="Adaptive 24hour projection"/>
    <n v="8200"/>
    <n v="1546"/>
    <n v="0.18853658536585366"/>
    <n v="0.43241247264770238"/>
    <x v="3"/>
    <n v="37"/>
    <n v="41.783783783783782"/>
    <x v="1"/>
    <s v="USD"/>
    <n v="1299823200"/>
    <n v="1302066000"/>
    <x v="536"/>
    <d v="2011-04-06T05:00:00"/>
    <s v="Fri"/>
    <n v="26"/>
    <b v="0"/>
    <b v="0"/>
    <s v="music/jazz"/>
    <x v="1"/>
    <x v="17"/>
  </r>
  <r>
    <n v="578"/>
    <s v="Martinez-Johnson"/>
    <s v="Sharable radical toolset"/>
    <n v="96500"/>
    <n v="16168"/>
    <n v="0.1675440414507772"/>
    <n v="0.50551920620886137"/>
    <x v="0"/>
    <n v="245"/>
    <n v="65.991836734693877"/>
    <x v="1"/>
    <s v="USD"/>
    <n v="1322719200"/>
    <n v="1322978400"/>
    <x v="537"/>
    <d v="2011-12-04T06:00:00"/>
    <s v="Thu"/>
    <n v="3"/>
    <b v="0"/>
    <b v="0"/>
    <s v="film &amp; video/science fiction"/>
    <x v="4"/>
    <x v="22"/>
  </r>
  <r>
    <n v="579"/>
    <s v="Franklin Inc"/>
    <s v="Focused multimedia knowledgebase"/>
    <n v="6200"/>
    <n v="6269"/>
    <n v="1.0111290322580646"/>
    <n v="2.1230434782608696"/>
    <x v="1"/>
    <n v="87"/>
    <n v="72.05747126436782"/>
    <x v="1"/>
    <s v="USD"/>
    <n v="1312693200"/>
    <n v="1313730000"/>
    <x v="538"/>
    <d v="2011-08-19T05:00:00"/>
    <s v="Sun"/>
    <n v="12"/>
    <b v="0"/>
    <b v="0"/>
    <s v="music/jazz"/>
    <x v="1"/>
    <x v="17"/>
  </r>
  <r>
    <n v="580"/>
    <s v="Perez PLC"/>
    <s v="Seamless 6thgeneration extranet"/>
    <n v="43800"/>
    <n v="149578"/>
    <n v="3.4150228310502282"/>
    <n v="2.1230434782608696"/>
    <x v="1"/>
    <n v="3116"/>
    <n v="48.003209242618745"/>
    <x v="1"/>
    <s v="USD"/>
    <n v="1393394400"/>
    <n v="1394085600"/>
    <x v="539"/>
    <d v="2014-03-06T06:00:00"/>
    <s v="Wed"/>
    <n v="8"/>
    <b v="0"/>
    <b v="0"/>
    <s v="theater/plays"/>
    <x v="3"/>
    <x v="3"/>
  </r>
  <r>
    <n v="581"/>
    <s v="Sanchez, Cross and Savage"/>
    <s v="Sharable mobile knowledgebase"/>
    <n v="6000"/>
    <n v="3841"/>
    <n v="0.64016666666666666"/>
    <n v="0.50551920620886137"/>
    <x v="0"/>
    <n v="71"/>
    <n v="54.098591549295776"/>
    <x v="1"/>
    <s v="USD"/>
    <n v="1304053200"/>
    <n v="1305349200"/>
    <x v="540"/>
    <d v="2011-05-14T05:00:00"/>
    <s v="Fri"/>
    <n v="15"/>
    <b v="0"/>
    <b v="0"/>
    <s v="technology/web"/>
    <x v="2"/>
    <x v="2"/>
  </r>
  <r>
    <n v="582"/>
    <s v="Pineda Ltd"/>
    <s v="Cross-group global system engine"/>
    <n v="8700"/>
    <n v="4531"/>
    <n v="0.5208045977011494"/>
    <n v="0.50551920620886137"/>
    <x v="0"/>
    <n v="42"/>
    <n v="107.88095238095238"/>
    <x v="1"/>
    <s v="USD"/>
    <n v="1433912400"/>
    <n v="1434344400"/>
    <x v="505"/>
    <d v="2015-06-15T05:00:00"/>
    <s v="Wed"/>
    <n v="5"/>
    <b v="0"/>
    <b v="1"/>
    <s v="games/video games"/>
    <x v="6"/>
    <x v="11"/>
  </r>
  <r>
    <n v="583"/>
    <s v="Powell and Sons"/>
    <s v="Centralized clear-thinking conglomeration"/>
    <n v="18900"/>
    <n v="60934"/>
    <n v="3.2240211640211642"/>
    <n v="2.1230434782608696"/>
    <x v="1"/>
    <n v="909"/>
    <n v="67.034103410341032"/>
    <x v="1"/>
    <s v="USD"/>
    <n v="1329717600"/>
    <n v="1331186400"/>
    <x v="541"/>
    <d v="2012-03-08T06:00:00"/>
    <s v="Mon"/>
    <n v="17"/>
    <b v="0"/>
    <b v="0"/>
    <s v="film &amp; video/documentary"/>
    <x v="4"/>
    <x v="4"/>
  </r>
  <r>
    <n v="584"/>
    <s v="Nunez-Richards"/>
    <s v="De-engineered cohesive system engine"/>
    <n v="86400"/>
    <n v="103255"/>
    <n v="1.1950810185185186"/>
    <n v="2.1230434782608696"/>
    <x v="1"/>
    <n v="1613"/>
    <n v="64.01425914445133"/>
    <x v="1"/>
    <s v="USD"/>
    <n v="1335330000"/>
    <n v="1336539600"/>
    <x v="542"/>
    <d v="2012-05-09T05:00:00"/>
    <s v="Wed"/>
    <n v="14"/>
    <b v="0"/>
    <b v="0"/>
    <s v="technology/web"/>
    <x v="2"/>
    <x v="2"/>
  </r>
  <r>
    <n v="585"/>
    <s v="Pugh LLC"/>
    <s v="Reactive analyzing function"/>
    <n v="8900"/>
    <n v="13065"/>
    <n v="1.4679775280898877"/>
    <n v="2.1230434782608696"/>
    <x v="1"/>
    <n v="136"/>
    <n v="96.066176470588232"/>
    <x v="1"/>
    <s v="USD"/>
    <n v="1268888400"/>
    <n v="1269752400"/>
    <x v="543"/>
    <d v="2010-03-28T05:00:00"/>
    <s v="Thu"/>
    <n v="10"/>
    <b v="0"/>
    <b v="0"/>
    <s v="publishing/translations"/>
    <x v="5"/>
    <x v="18"/>
  </r>
  <r>
    <n v="586"/>
    <s v="Rowe-Wong"/>
    <s v="Robust hybrid budgetary management"/>
    <n v="700"/>
    <n v="6654"/>
    <n v="9.5057142857142853"/>
    <n v="2.1230434782608696"/>
    <x v="1"/>
    <n v="130"/>
    <n v="51.184615384615384"/>
    <x v="1"/>
    <s v="USD"/>
    <n v="1289973600"/>
    <n v="1291615200"/>
    <x v="544"/>
    <d v="2010-12-06T06:00:00"/>
    <s v="Wed"/>
    <n v="19"/>
    <b v="0"/>
    <b v="0"/>
    <s v="music/rock"/>
    <x v="1"/>
    <x v="1"/>
  </r>
  <r>
    <n v="587"/>
    <s v="Williams-Santos"/>
    <s v="Open-source analyzing monitoring"/>
    <n v="9400"/>
    <n v="6852"/>
    <n v="0.72893617021276591"/>
    <n v="0.50551920620886137"/>
    <x v="0"/>
    <n v="156"/>
    <n v="43.92307692307692"/>
    <x v="0"/>
    <s v="CAD"/>
    <n v="1547877600"/>
    <n v="1552366800"/>
    <x v="35"/>
    <d v="2019-03-12T05:00:00"/>
    <s v="Sat"/>
    <n v="52"/>
    <b v="0"/>
    <b v="1"/>
    <s v="food/food trucks"/>
    <x v="0"/>
    <x v="0"/>
  </r>
  <r>
    <n v="588"/>
    <s v="Weber Inc"/>
    <s v="Up-sized discrete firmware"/>
    <n v="157600"/>
    <n v="124517"/>
    <n v="0.7900824873096447"/>
    <n v="0.50551920620886137"/>
    <x v="0"/>
    <n v="1368"/>
    <n v="91.021198830409361"/>
    <x v="4"/>
    <s v="GBP"/>
    <n v="1269493200"/>
    <n v="1272171600"/>
    <x v="152"/>
    <d v="2010-04-25T05:00:00"/>
    <s v="Thu"/>
    <n v="31"/>
    <b v="0"/>
    <b v="0"/>
    <s v="theater/plays"/>
    <x v="3"/>
    <x v="3"/>
  </r>
  <r>
    <n v="589"/>
    <s v="Avery, Brown and Parker"/>
    <s v="Exclusive intangible extranet"/>
    <n v="7900"/>
    <n v="5113"/>
    <n v="0.64721518987341775"/>
    <n v="0.50551920620886137"/>
    <x v="0"/>
    <n v="102"/>
    <n v="50.127450980392155"/>
    <x v="1"/>
    <s v="USD"/>
    <n v="1436072400"/>
    <n v="1436677200"/>
    <x v="545"/>
    <d v="2015-07-12T05:00:00"/>
    <s v="Sun"/>
    <n v="7"/>
    <b v="0"/>
    <b v="0"/>
    <s v="film &amp; video/documentary"/>
    <x v="4"/>
    <x v="4"/>
  </r>
  <r>
    <n v="590"/>
    <s v="Cox Group"/>
    <s v="Synergized analyzing process improvement"/>
    <n v="7100"/>
    <n v="5824"/>
    <n v="0.82028169014084507"/>
    <n v="0.50551920620886137"/>
    <x v="0"/>
    <n v="86"/>
    <n v="67.720930232558146"/>
    <x v="2"/>
    <s v="AUD"/>
    <n v="1419141600"/>
    <n v="1420092000"/>
    <x v="546"/>
    <d v="2015-01-01T06:00:00"/>
    <s v="Sun"/>
    <n v="11"/>
    <b v="0"/>
    <b v="0"/>
    <s v="publishing/radio &amp; podcasts"/>
    <x v="5"/>
    <x v="15"/>
  </r>
  <r>
    <n v="591"/>
    <s v="Jensen LLC"/>
    <s v="Realigned dedicated system engine"/>
    <n v="600"/>
    <n v="6226"/>
    <n v="10.376666666666667"/>
    <n v="2.1230434782608696"/>
    <x v="1"/>
    <n v="102"/>
    <n v="61.03921568627451"/>
    <x v="1"/>
    <s v="USD"/>
    <n v="1279083600"/>
    <n v="1279947600"/>
    <x v="547"/>
    <d v="2010-07-24T05:00:00"/>
    <s v="Wed"/>
    <n v="10"/>
    <b v="0"/>
    <b v="0"/>
    <s v="games/video games"/>
    <x v="6"/>
    <x v="11"/>
  </r>
  <r>
    <n v="592"/>
    <s v="Brown Inc"/>
    <s v="Object-based bandwidth-monitored concept"/>
    <n v="156800"/>
    <n v="20243"/>
    <n v="0.12910076530612244"/>
    <n v="0.50551920620886137"/>
    <x v="0"/>
    <n v="253"/>
    <n v="80.011857707509876"/>
    <x v="1"/>
    <s v="USD"/>
    <n v="1401426000"/>
    <n v="1402203600"/>
    <x v="548"/>
    <d v="2014-06-08T05:00:00"/>
    <s v="Fri"/>
    <n v="9"/>
    <b v="0"/>
    <b v="0"/>
    <s v="theater/plays"/>
    <x v="3"/>
    <x v="3"/>
  </r>
  <r>
    <n v="593"/>
    <s v="Hale-Hayes"/>
    <s v="Ameliorated client-driven open system"/>
    <n v="121600"/>
    <n v="188288"/>
    <n v="1.5484210526315789"/>
    <n v="2.1230434782608696"/>
    <x v="1"/>
    <n v="4006"/>
    <n v="47.001497753369947"/>
    <x v="1"/>
    <s v="USD"/>
    <n v="1395810000"/>
    <n v="1396933200"/>
    <x v="549"/>
    <d v="2014-04-08T05:00:00"/>
    <s v="Wed"/>
    <n v="13"/>
    <b v="0"/>
    <b v="0"/>
    <s v="film &amp; video/animation"/>
    <x v="4"/>
    <x v="10"/>
  </r>
  <r>
    <n v="594"/>
    <s v="Mcbride PLC"/>
    <s v="Upgradable leadingedge Local Area Network"/>
    <n v="157300"/>
    <n v="11167"/>
    <n v="7.0991735537190084E-2"/>
    <n v="0.50551920620886137"/>
    <x v="0"/>
    <n v="157"/>
    <n v="71.127388535031841"/>
    <x v="1"/>
    <s v="USD"/>
    <n v="1467003600"/>
    <n v="1467262800"/>
    <x v="550"/>
    <d v="2016-06-30T05:00:00"/>
    <s v="Mon"/>
    <n v="3"/>
    <b v="0"/>
    <b v="1"/>
    <s v="theater/plays"/>
    <x v="3"/>
    <x v="3"/>
  </r>
  <r>
    <n v="595"/>
    <s v="Harris-Jennings"/>
    <s v="Customizable intermediate data-warehouse"/>
    <n v="70300"/>
    <n v="146595"/>
    <n v="2.0852773826458035"/>
    <n v="2.1230434782608696"/>
    <x v="1"/>
    <n v="1629"/>
    <n v="89.99079189686924"/>
    <x v="1"/>
    <s v="USD"/>
    <n v="1268715600"/>
    <n v="1270530000"/>
    <x v="551"/>
    <d v="2010-04-06T05:00:00"/>
    <s v="Tue"/>
    <n v="21"/>
    <b v="0"/>
    <b v="1"/>
    <s v="theater/plays"/>
    <x v="3"/>
    <x v="3"/>
  </r>
  <r>
    <n v="596"/>
    <s v="Becker-Scott"/>
    <s v="Managed optimizing archive"/>
    <n v="7900"/>
    <n v="7875"/>
    <n v="0.99683544303797467"/>
    <n v="0.50551920620886137"/>
    <x v="0"/>
    <n v="183"/>
    <n v="43.032786885245905"/>
    <x v="1"/>
    <s v="USD"/>
    <n v="1457157600"/>
    <n v="1457762400"/>
    <x v="552"/>
    <d v="2016-03-12T06:00:00"/>
    <s v="Sat"/>
    <n v="7"/>
    <b v="0"/>
    <b v="1"/>
    <s v="film &amp; video/drama"/>
    <x v="4"/>
    <x v="6"/>
  </r>
  <r>
    <n v="597"/>
    <s v="Todd, Freeman and Henry"/>
    <s v="Diverse systematic projection"/>
    <n v="73800"/>
    <n v="148779"/>
    <n v="2.0159756097560977"/>
    <n v="2.1230434782608696"/>
    <x v="1"/>
    <n v="2188"/>
    <n v="67.997714808043881"/>
    <x v="1"/>
    <s v="USD"/>
    <n v="1573970400"/>
    <n v="1575525600"/>
    <x v="462"/>
    <d v="2019-12-05T06:00:00"/>
    <s v="Sun"/>
    <n v="18"/>
    <b v="0"/>
    <b v="0"/>
    <s v="theater/plays"/>
    <x v="3"/>
    <x v="3"/>
  </r>
  <r>
    <n v="598"/>
    <s v="Martinez, Garza and Young"/>
    <s v="Up-sized web-enabled info-mediaries"/>
    <n v="108500"/>
    <n v="175868"/>
    <n v="1.6209032258064515"/>
    <n v="2.1230434782608696"/>
    <x v="1"/>
    <n v="2409"/>
    <n v="73.004566210045667"/>
    <x v="6"/>
    <s v="EUR"/>
    <n v="1276578000"/>
    <n v="1279083600"/>
    <x v="553"/>
    <d v="2010-07-14T05:00:00"/>
    <s v="Tue"/>
    <n v="29"/>
    <b v="0"/>
    <b v="0"/>
    <s v="music/rock"/>
    <x v="1"/>
    <x v="1"/>
  </r>
  <r>
    <n v="599"/>
    <s v="Smith-Ramos"/>
    <s v="Persevering optimizing Graphical User Interface"/>
    <n v="140300"/>
    <n v="5112"/>
    <n v="3.6436208125445471E-2"/>
    <n v="0.50551920620886137"/>
    <x v="0"/>
    <n v="82"/>
    <n v="62.341463414634148"/>
    <x v="3"/>
    <s v="DKK"/>
    <n v="1423720800"/>
    <n v="1424412000"/>
    <x v="554"/>
    <d v="2015-02-20T06:00:00"/>
    <s v="Thu"/>
    <n v="8"/>
    <b v="0"/>
    <b v="0"/>
    <s v="film &amp; video/documentary"/>
    <x v="4"/>
    <x v="4"/>
  </r>
  <r>
    <n v="600"/>
    <s v="Brown-George"/>
    <s v="Cross-platform tertiary array"/>
    <n v="100"/>
    <n v="5"/>
    <n v="0.05"/>
    <n v="0.50551920620886137"/>
    <x v="0"/>
    <n v="1"/>
    <n v="5"/>
    <x v="4"/>
    <s v="GBP"/>
    <n v="1375160400"/>
    <n v="1376197200"/>
    <x v="555"/>
    <d v="2013-08-11T05:00:00"/>
    <s v="Tue"/>
    <n v="12"/>
    <b v="0"/>
    <b v="0"/>
    <s v="food/food trucks"/>
    <x v="0"/>
    <x v="0"/>
  </r>
  <r>
    <n v="601"/>
    <s v="Waters and Sons"/>
    <s v="Inverse neutral structure"/>
    <n v="6300"/>
    <n v="13018"/>
    <n v="2.0663492063492064"/>
    <n v="2.1230434782608696"/>
    <x v="1"/>
    <n v="194"/>
    <n v="67.103092783505161"/>
    <x v="1"/>
    <s v="USD"/>
    <n v="1401426000"/>
    <n v="1402894800"/>
    <x v="548"/>
    <d v="2014-06-16T05:00:00"/>
    <s v="Fri"/>
    <n v="17"/>
    <b v="1"/>
    <b v="0"/>
    <s v="technology/wearables"/>
    <x v="2"/>
    <x v="8"/>
  </r>
  <r>
    <n v="602"/>
    <s v="Brown Ltd"/>
    <s v="Quality-focused system-worthy support"/>
    <n v="71100"/>
    <n v="91176"/>
    <n v="1.2823628691983122"/>
    <n v="2.1230434782608696"/>
    <x v="1"/>
    <n v="1140"/>
    <n v="79.978947368421046"/>
    <x v="1"/>
    <s v="USD"/>
    <n v="1433480400"/>
    <n v="1434430800"/>
    <x v="62"/>
    <d v="2015-06-16T05:00:00"/>
    <s v="Fri"/>
    <n v="11"/>
    <b v="0"/>
    <b v="0"/>
    <s v="theater/plays"/>
    <x v="3"/>
    <x v="3"/>
  </r>
  <r>
    <n v="603"/>
    <s v="Christian, Yates and Greer"/>
    <s v="Vision-oriented 5thgeneration array"/>
    <n v="5300"/>
    <n v="6342"/>
    <n v="1.1966037735849056"/>
    <n v="2.1230434782608696"/>
    <x v="1"/>
    <n v="102"/>
    <n v="62.176470588235297"/>
    <x v="1"/>
    <s v="USD"/>
    <n v="1555563600"/>
    <n v="1557896400"/>
    <x v="556"/>
    <d v="2019-05-15T05:00:00"/>
    <s v="Thu"/>
    <n v="27"/>
    <b v="0"/>
    <b v="0"/>
    <s v="theater/plays"/>
    <x v="3"/>
    <x v="3"/>
  </r>
  <r>
    <n v="604"/>
    <s v="Cole, Hernandez and Rodriguez"/>
    <s v="Cross-platform logistical circuit"/>
    <n v="88700"/>
    <n v="151438"/>
    <n v="1.7073055242390078"/>
    <n v="2.1230434782608696"/>
    <x v="1"/>
    <n v="2857"/>
    <n v="53.005950297514879"/>
    <x v="1"/>
    <s v="USD"/>
    <n v="1295676000"/>
    <n v="1297490400"/>
    <x v="557"/>
    <d v="2011-02-12T06:00:00"/>
    <s v="Sat"/>
    <n v="21"/>
    <b v="0"/>
    <b v="0"/>
    <s v="theater/plays"/>
    <x v="3"/>
    <x v="3"/>
  </r>
  <r>
    <n v="605"/>
    <s v="Ortiz, Valenzuela and Collins"/>
    <s v="Profound solution-oriented matrix"/>
    <n v="3300"/>
    <n v="6178"/>
    <n v="1.8721212121212121"/>
    <n v="2.1230434782608696"/>
    <x v="1"/>
    <n v="107"/>
    <n v="57.738317757009348"/>
    <x v="1"/>
    <s v="USD"/>
    <n v="1443848400"/>
    <n v="1447394400"/>
    <x v="27"/>
    <d v="2015-11-13T06:00:00"/>
    <s v="Sat"/>
    <n v="41"/>
    <b v="0"/>
    <b v="0"/>
    <s v="publishing/nonfiction"/>
    <x v="5"/>
    <x v="9"/>
  </r>
  <r>
    <n v="606"/>
    <s v="Valencia PLC"/>
    <s v="Extended asynchronous initiative"/>
    <n v="3400"/>
    <n v="6405"/>
    <n v="1.8838235294117647"/>
    <n v="2.1230434782608696"/>
    <x v="1"/>
    <n v="160"/>
    <n v="40.03125"/>
    <x v="4"/>
    <s v="GBP"/>
    <n v="1457330400"/>
    <n v="1458277200"/>
    <x v="558"/>
    <d v="2016-03-18T05:00:00"/>
    <s v="Mon"/>
    <n v="11"/>
    <b v="0"/>
    <b v="0"/>
    <s v="music/rock"/>
    <x v="1"/>
    <x v="1"/>
  </r>
  <r>
    <n v="607"/>
    <s v="Gordon, Mendez and Johnson"/>
    <s v="Fundamental needs-based frame"/>
    <n v="137600"/>
    <n v="180667"/>
    <n v="1.3129869186046512"/>
    <n v="2.1230434782608696"/>
    <x v="1"/>
    <n v="2230"/>
    <n v="81.016591928251117"/>
    <x v="1"/>
    <s v="USD"/>
    <n v="1395550800"/>
    <n v="1395723600"/>
    <x v="559"/>
    <d v="2014-03-25T05:00:00"/>
    <s v="Sun"/>
    <n v="2"/>
    <b v="0"/>
    <b v="0"/>
    <s v="food/food trucks"/>
    <x v="0"/>
    <x v="0"/>
  </r>
  <r>
    <n v="608"/>
    <s v="Johnson Group"/>
    <s v="Compatible full-range leverage"/>
    <n v="3900"/>
    <n v="11075"/>
    <n v="2.8397435897435899"/>
    <n v="2.1230434782608696"/>
    <x v="1"/>
    <n v="316"/>
    <n v="35.047468354430379"/>
    <x v="1"/>
    <s v="USD"/>
    <n v="1551852000"/>
    <n v="1552197600"/>
    <x v="426"/>
    <d v="2019-03-10T06:00:00"/>
    <s v="Wed"/>
    <n v="4"/>
    <b v="0"/>
    <b v="1"/>
    <s v="music/jazz"/>
    <x v="1"/>
    <x v="17"/>
  </r>
  <r>
    <n v="609"/>
    <s v="Rose-Fuller"/>
    <s v="Upgradable holistic system engine"/>
    <n v="10000"/>
    <n v="12042"/>
    <n v="1.2041999999999999"/>
    <n v="2.1230434782608696"/>
    <x v="1"/>
    <n v="117"/>
    <n v="102.92307692307692"/>
    <x v="1"/>
    <s v="USD"/>
    <n v="1547618400"/>
    <n v="1549087200"/>
    <x v="560"/>
    <d v="2019-02-02T06:00:00"/>
    <s v="Wed"/>
    <n v="17"/>
    <b v="0"/>
    <b v="0"/>
    <s v="film &amp; video/science fiction"/>
    <x v="4"/>
    <x v="22"/>
  </r>
  <r>
    <n v="610"/>
    <s v="Hughes, Mendez and Patterson"/>
    <s v="Stand-alone multi-state data-warehouse"/>
    <n v="42800"/>
    <n v="179356"/>
    <n v="4.1905607476635511"/>
    <n v="2.1230434782608696"/>
    <x v="1"/>
    <n v="6406"/>
    <n v="27.998126756166094"/>
    <x v="1"/>
    <s v="USD"/>
    <n v="1355637600"/>
    <n v="1356847200"/>
    <x v="561"/>
    <d v="2012-12-30T06:00:00"/>
    <s v="Sun"/>
    <n v="14"/>
    <b v="0"/>
    <b v="0"/>
    <s v="theater/plays"/>
    <x v="3"/>
    <x v="3"/>
  </r>
  <r>
    <n v="611"/>
    <s v="Brady, Cortez and Rodriguez"/>
    <s v="Multi-lateral maximized core"/>
    <n v="8200"/>
    <n v="1136"/>
    <n v="0.13853658536585367"/>
    <n v="0.43241247264770238"/>
    <x v="3"/>
    <n v="15"/>
    <n v="75.733333333333334"/>
    <x v="1"/>
    <s v="USD"/>
    <n v="1374728400"/>
    <n v="1375765200"/>
    <x v="562"/>
    <d v="2013-08-06T05:00:00"/>
    <s v="Thu"/>
    <n v="12"/>
    <b v="0"/>
    <b v="0"/>
    <s v="theater/plays"/>
    <x v="3"/>
    <x v="3"/>
  </r>
  <r>
    <n v="612"/>
    <s v="Wang, Nguyen and Horton"/>
    <s v="Innovative holistic hub"/>
    <n v="6200"/>
    <n v="8645"/>
    <n v="1.3943548387096774"/>
    <n v="2.1230434782608696"/>
    <x v="1"/>
    <n v="192"/>
    <n v="45.026041666666664"/>
    <x v="1"/>
    <s v="USD"/>
    <n v="1287810000"/>
    <n v="1289800800"/>
    <x v="563"/>
    <d v="2010-11-15T06:00:00"/>
    <s v="Sat"/>
    <n v="23"/>
    <b v="0"/>
    <b v="0"/>
    <s v="music/electric music"/>
    <x v="1"/>
    <x v="5"/>
  </r>
  <r>
    <n v="613"/>
    <s v="Santos, Williams and Brown"/>
    <s v="Reverse-engineered 24/7 methodology"/>
    <n v="1100"/>
    <n v="1914"/>
    <n v="1.74"/>
    <n v="2.1230434782608696"/>
    <x v="1"/>
    <n v="26"/>
    <n v="73.615384615384613"/>
    <x v="0"/>
    <s v="CAD"/>
    <n v="1503723600"/>
    <n v="1504501200"/>
    <x v="564"/>
    <d v="2017-09-04T05:00:00"/>
    <s v="Sat"/>
    <n v="9"/>
    <b v="0"/>
    <b v="0"/>
    <s v="theater/plays"/>
    <x v="3"/>
    <x v="3"/>
  </r>
  <r>
    <n v="614"/>
    <s v="Barnett and Sons"/>
    <s v="Business-focused dynamic info-mediaries"/>
    <n v="26500"/>
    <n v="41205"/>
    <n v="1.5549056603773586"/>
    <n v="2.1230434782608696"/>
    <x v="1"/>
    <n v="723"/>
    <n v="56.991701244813278"/>
    <x v="1"/>
    <s v="USD"/>
    <n v="1484114400"/>
    <n v="1485669600"/>
    <x v="565"/>
    <d v="2017-01-29T06:00:00"/>
    <s v="Wed"/>
    <n v="18"/>
    <b v="0"/>
    <b v="0"/>
    <s v="theater/plays"/>
    <x v="3"/>
    <x v="3"/>
  </r>
  <r>
    <n v="615"/>
    <s v="Petersen-Rodriguez"/>
    <s v="Digitized clear-thinking installation"/>
    <n v="8500"/>
    <n v="14488"/>
    <n v="1.7044705882352942"/>
    <n v="2.1230434782608696"/>
    <x v="1"/>
    <n v="170"/>
    <n v="85.223529411764702"/>
    <x v="6"/>
    <s v="EUR"/>
    <n v="1461906000"/>
    <n v="1462770000"/>
    <x v="566"/>
    <d v="2016-05-09T05:00:00"/>
    <s v="Fri"/>
    <n v="10"/>
    <b v="0"/>
    <b v="0"/>
    <s v="theater/plays"/>
    <x v="3"/>
    <x v="3"/>
  </r>
  <r>
    <n v="616"/>
    <s v="Burnett-Mora"/>
    <s v="Quality-focused 24/7 superstructure"/>
    <n v="6400"/>
    <n v="12129"/>
    <n v="1.8951562500000001"/>
    <n v="2.1230434782608696"/>
    <x v="1"/>
    <n v="238"/>
    <n v="50.962184873949582"/>
    <x v="4"/>
    <s v="GBP"/>
    <n v="1379653200"/>
    <n v="1379739600"/>
    <x v="567"/>
    <d v="2013-09-21T05:00:00"/>
    <s v="Fri"/>
    <n v="1"/>
    <b v="0"/>
    <b v="1"/>
    <s v="music/indie rock"/>
    <x v="1"/>
    <x v="7"/>
  </r>
  <r>
    <n v="617"/>
    <s v="King LLC"/>
    <s v="Multi-channeled local intranet"/>
    <n v="1400"/>
    <n v="3496"/>
    <n v="2.4971428571428573"/>
    <n v="2.1230434782608696"/>
    <x v="1"/>
    <n v="55"/>
    <n v="63.563636363636363"/>
    <x v="1"/>
    <s v="USD"/>
    <n v="1401858000"/>
    <n v="1402722000"/>
    <x v="568"/>
    <d v="2014-06-14T05:00:00"/>
    <s v="Wed"/>
    <n v="10"/>
    <b v="0"/>
    <b v="0"/>
    <s v="theater/plays"/>
    <x v="3"/>
    <x v="3"/>
  </r>
  <r>
    <n v="618"/>
    <s v="Miller Ltd"/>
    <s v="Open-architected mobile emulation"/>
    <n v="198600"/>
    <n v="97037"/>
    <n v="0.48860523665659616"/>
    <n v="0.50551920620886137"/>
    <x v="0"/>
    <n v="1198"/>
    <n v="80.999165275459092"/>
    <x v="1"/>
    <s v="USD"/>
    <n v="1367470800"/>
    <n v="1369285200"/>
    <x v="569"/>
    <d v="2013-05-23T05:00:00"/>
    <s v="Thu"/>
    <n v="21"/>
    <b v="0"/>
    <b v="0"/>
    <s v="publishing/nonfiction"/>
    <x v="5"/>
    <x v="9"/>
  </r>
  <r>
    <n v="619"/>
    <s v="Case LLC"/>
    <s v="Ameliorated foreground methodology"/>
    <n v="195900"/>
    <n v="55757"/>
    <n v="0.28461970393057684"/>
    <n v="0.50551920620886137"/>
    <x v="0"/>
    <n v="648"/>
    <n v="86.044753086419746"/>
    <x v="1"/>
    <s v="USD"/>
    <n v="1304658000"/>
    <n v="1304744400"/>
    <x v="570"/>
    <d v="2011-05-07T05:00:00"/>
    <s v="Fri"/>
    <n v="1"/>
    <b v="1"/>
    <b v="1"/>
    <s v="theater/plays"/>
    <x v="3"/>
    <x v="3"/>
  </r>
  <r>
    <n v="620"/>
    <s v="Swanson, Wilson and Baker"/>
    <s v="Synergized well-modulated project"/>
    <n v="4300"/>
    <n v="11525"/>
    <n v="2.6802325581395348"/>
    <n v="2.1230434782608696"/>
    <x v="1"/>
    <n v="128"/>
    <n v="90.0390625"/>
    <x v="2"/>
    <s v="AUD"/>
    <n v="1467954000"/>
    <n v="1468299600"/>
    <x v="571"/>
    <d v="2016-07-12T05:00:00"/>
    <s v="Fri"/>
    <n v="4"/>
    <b v="0"/>
    <b v="0"/>
    <s v="photography/photography books"/>
    <x v="7"/>
    <x v="14"/>
  </r>
  <r>
    <n v="621"/>
    <s v="Dean, Fox and Phillips"/>
    <s v="Extended context-sensitive forecast"/>
    <n v="25600"/>
    <n v="158669"/>
    <n v="6.1980078125000002"/>
    <n v="2.1230434782608696"/>
    <x v="1"/>
    <n v="2144"/>
    <n v="74.006063432835816"/>
    <x v="1"/>
    <s v="USD"/>
    <n v="1473742800"/>
    <n v="1474174800"/>
    <x v="572"/>
    <d v="2016-09-18T05:00:00"/>
    <s v="Tue"/>
    <n v="5"/>
    <b v="0"/>
    <b v="0"/>
    <s v="theater/plays"/>
    <x v="3"/>
    <x v="3"/>
  </r>
  <r>
    <n v="622"/>
    <s v="Smith-Smith"/>
    <s v="Total leadingedge neural-net"/>
    <n v="189000"/>
    <n v="5916"/>
    <n v="3.1301587301587303E-2"/>
    <n v="0.50551920620886137"/>
    <x v="0"/>
    <n v="64"/>
    <n v="92.4375"/>
    <x v="1"/>
    <s v="USD"/>
    <n v="1523768400"/>
    <n v="1526014800"/>
    <x v="573"/>
    <d v="2018-05-11T05:00:00"/>
    <s v="Sun"/>
    <n v="26"/>
    <b v="0"/>
    <b v="0"/>
    <s v="music/indie rock"/>
    <x v="1"/>
    <x v="7"/>
  </r>
  <r>
    <n v="623"/>
    <s v="Smith, Scott and Rodriguez"/>
    <s v="Organic actuating protocol"/>
    <n v="94300"/>
    <n v="150806"/>
    <n v="1.5992152704135738"/>
    <n v="2.1230434782608696"/>
    <x v="1"/>
    <n v="2693"/>
    <n v="55.999257333828446"/>
    <x v="4"/>
    <s v="GBP"/>
    <n v="1437022800"/>
    <n v="1437454800"/>
    <x v="574"/>
    <d v="2015-07-21T05:00:00"/>
    <s v="Thu"/>
    <n v="5"/>
    <b v="0"/>
    <b v="0"/>
    <s v="theater/plays"/>
    <x v="3"/>
    <x v="3"/>
  </r>
  <r>
    <n v="624"/>
    <s v="White, Robertson and Roberts"/>
    <s v="Down-sized national software"/>
    <n v="5100"/>
    <n v="14249"/>
    <n v="2.793921568627451"/>
    <n v="2.1230434782608696"/>
    <x v="1"/>
    <n v="432"/>
    <n v="32.983796296296298"/>
    <x v="1"/>
    <s v="USD"/>
    <n v="1422165600"/>
    <n v="1422684000"/>
    <x v="511"/>
    <d v="2015-01-31T06:00:00"/>
    <s v="Sun"/>
    <n v="6"/>
    <b v="0"/>
    <b v="0"/>
    <s v="photography/photography books"/>
    <x v="7"/>
    <x v="14"/>
  </r>
  <r>
    <n v="625"/>
    <s v="Martinez Inc"/>
    <s v="Organic upward-trending Graphical User Interface"/>
    <n v="7500"/>
    <n v="5803"/>
    <n v="0.77373333333333338"/>
    <n v="0.50551920620886137"/>
    <x v="0"/>
    <n v="62"/>
    <n v="93.596774193548384"/>
    <x v="1"/>
    <s v="USD"/>
    <n v="1580104800"/>
    <n v="1581314400"/>
    <x v="575"/>
    <d v="2020-02-10T06:00:00"/>
    <s v="Mon"/>
    <n v="14"/>
    <b v="0"/>
    <b v="0"/>
    <s v="theater/plays"/>
    <x v="3"/>
    <x v="3"/>
  </r>
  <r>
    <n v="626"/>
    <s v="Tucker, Mccoy and Marquez"/>
    <s v="Synergistic tertiary budgetary management"/>
    <n v="6400"/>
    <n v="13205"/>
    <n v="2.0632812500000002"/>
    <n v="2.1230434782608696"/>
    <x v="1"/>
    <n v="189"/>
    <n v="69.867724867724874"/>
    <x v="1"/>
    <s v="USD"/>
    <n v="1285650000"/>
    <n v="1286427600"/>
    <x v="576"/>
    <d v="2010-10-07T05:00:00"/>
    <s v="Tue"/>
    <n v="9"/>
    <b v="0"/>
    <b v="1"/>
    <s v="theater/plays"/>
    <x v="3"/>
    <x v="3"/>
  </r>
  <r>
    <n v="627"/>
    <s v="Martin, Lee and Armstrong"/>
    <s v="Open-architected incremental ability"/>
    <n v="1600"/>
    <n v="11108"/>
    <n v="6.9424999999999999"/>
    <n v="2.1230434782608696"/>
    <x v="1"/>
    <n v="154"/>
    <n v="72.129870129870127"/>
    <x v="4"/>
    <s v="GBP"/>
    <n v="1276664400"/>
    <n v="1278738000"/>
    <x v="577"/>
    <d v="2010-07-10T05:00:00"/>
    <s v="Wed"/>
    <n v="24"/>
    <b v="1"/>
    <b v="0"/>
    <s v="food/food trucks"/>
    <x v="0"/>
    <x v="0"/>
  </r>
  <r>
    <n v="628"/>
    <s v="Dunn, Moreno and Green"/>
    <s v="Intuitive object-oriented task-force"/>
    <n v="1900"/>
    <n v="2884"/>
    <n v="1.5178947368421052"/>
    <n v="2.1230434782608696"/>
    <x v="1"/>
    <n v="96"/>
    <n v="30.041666666666668"/>
    <x v="1"/>
    <s v="USD"/>
    <n v="1286168400"/>
    <n v="1286427600"/>
    <x v="578"/>
    <d v="2010-10-07T05:00:00"/>
    <s v="Mon"/>
    <n v="3"/>
    <b v="0"/>
    <b v="0"/>
    <s v="music/indie rock"/>
    <x v="1"/>
    <x v="7"/>
  </r>
  <r>
    <n v="629"/>
    <s v="Jackson, Martinez and Ray"/>
    <s v="Multi-tiered executive toolset"/>
    <n v="85900"/>
    <n v="55476"/>
    <n v="0.64582072176949945"/>
    <n v="0.50551920620886137"/>
    <x v="0"/>
    <n v="750"/>
    <n v="73.968000000000004"/>
    <x v="1"/>
    <s v="USD"/>
    <n v="1467781200"/>
    <n v="1467954000"/>
    <x v="579"/>
    <d v="2016-07-08T05:00:00"/>
    <s v="Wed"/>
    <n v="2"/>
    <b v="0"/>
    <b v="1"/>
    <s v="theater/plays"/>
    <x v="3"/>
    <x v="3"/>
  </r>
  <r>
    <n v="630"/>
    <s v="Patterson-Johnson"/>
    <s v="Grass-roots directional workforce"/>
    <n v="9500"/>
    <n v="5973"/>
    <n v="0.62873684210526315"/>
    <n v="0.43241247264770238"/>
    <x v="3"/>
    <n v="87"/>
    <n v="68.65517241379311"/>
    <x v="1"/>
    <s v="USD"/>
    <n v="1556686800"/>
    <n v="1557637200"/>
    <x v="580"/>
    <d v="2019-05-12T05:00:00"/>
    <s v="Wed"/>
    <n v="11"/>
    <b v="0"/>
    <b v="1"/>
    <s v="theater/plays"/>
    <x v="3"/>
    <x v="3"/>
  </r>
  <r>
    <n v="631"/>
    <s v="Carlson-Hernandez"/>
    <s v="Quality-focused real-time solution"/>
    <n v="59200"/>
    <n v="183756"/>
    <n v="3.1039864864864866"/>
    <n v="2.1230434782608696"/>
    <x v="1"/>
    <n v="3063"/>
    <n v="59.992164544564154"/>
    <x v="1"/>
    <s v="USD"/>
    <n v="1553576400"/>
    <n v="1553922000"/>
    <x v="581"/>
    <d v="2019-03-30T05:00:00"/>
    <s v="Tue"/>
    <n v="4"/>
    <b v="0"/>
    <b v="0"/>
    <s v="theater/plays"/>
    <x v="3"/>
    <x v="3"/>
  </r>
  <r>
    <n v="632"/>
    <s v="Parker PLC"/>
    <s v="Reduced interactive matrix"/>
    <n v="72100"/>
    <n v="30902"/>
    <n v="0.42859916782246882"/>
    <n v="0.49522981646937392"/>
    <x v="2"/>
    <n v="278"/>
    <n v="111.15827338129496"/>
    <x v="1"/>
    <s v="USD"/>
    <n v="1414904400"/>
    <n v="1416463200"/>
    <x v="582"/>
    <d v="2014-11-20T06:00:00"/>
    <s v="Sun"/>
    <n v="18"/>
    <b v="0"/>
    <b v="0"/>
    <s v="theater/plays"/>
    <x v="3"/>
    <x v="3"/>
  </r>
  <r>
    <n v="633"/>
    <s v="Yu and Sons"/>
    <s v="Adaptive context-sensitive architecture"/>
    <n v="6700"/>
    <n v="5569"/>
    <n v="0.83119402985074631"/>
    <n v="0.50551920620886137"/>
    <x v="0"/>
    <n v="105"/>
    <n v="53.038095238095238"/>
    <x v="1"/>
    <s v="USD"/>
    <n v="1446876000"/>
    <n v="1447221600"/>
    <x v="336"/>
    <d v="2015-11-11T06:00:00"/>
    <s v="Sat"/>
    <n v="4"/>
    <b v="0"/>
    <b v="0"/>
    <s v="film &amp; video/animation"/>
    <x v="4"/>
    <x v="10"/>
  </r>
  <r>
    <n v="634"/>
    <s v="Taylor, Johnson and Hernandez"/>
    <s v="Polarized incremental portal"/>
    <n v="118200"/>
    <n v="92824"/>
    <n v="0.78531302876480547"/>
    <n v="0.43241247264770238"/>
    <x v="3"/>
    <n v="1658"/>
    <n v="55.985524728588658"/>
    <x v="1"/>
    <s v="USD"/>
    <n v="1490418000"/>
    <n v="1491627600"/>
    <x v="583"/>
    <d v="2017-04-08T05:00:00"/>
    <s v="Sat"/>
    <n v="14"/>
    <b v="0"/>
    <b v="0"/>
    <s v="film &amp; video/television"/>
    <x v="4"/>
    <x v="19"/>
  </r>
  <r>
    <n v="635"/>
    <s v="Mack Ltd"/>
    <s v="Reactive regional access"/>
    <n v="139000"/>
    <n v="158590"/>
    <n v="1.1409352517985611"/>
    <n v="2.1230434782608696"/>
    <x v="1"/>
    <n v="2266"/>
    <n v="69.986760812003524"/>
    <x v="1"/>
    <s v="USD"/>
    <n v="1360389600"/>
    <n v="1363150800"/>
    <x v="584"/>
    <d v="2013-03-13T05:00:00"/>
    <s v="Sat"/>
    <n v="32"/>
    <b v="0"/>
    <b v="0"/>
    <s v="film &amp; video/television"/>
    <x v="4"/>
    <x v="19"/>
  </r>
  <r>
    <n v="636"/>
    <s v="Lamb-Sanders"/>
    <s v="Stand-alone reciprocal frame"/>
    <n v="197700"/>
    <n v="127591"/>
    <n v="0.64537683358624176"/>
    <n v="0.50551920620886137"/>
    <x v="0"/>
    <n v="2604"/>
    <n v="48.998079877112133"/>
    <x v="3"/>
    <s v="DKK"/>
    <n v="1326866400"/>
    <n v="1330754400"/>
    <x v="585"/>
    <d v="2012-03-03T06:00:00"/>
    <s v="Wed"/>
    <n v="45"/>
    <b v="0"/>
    <b v="1"/>
    <s v="film &amp; video/animation"/>
    <x v="4"/>
    <x v="10"/>
  </r>
  <r>
    <n v="637"/>
    <s v="Williams-Ramirez"/>
    <s v="Open-architected 24/7 throughput"/>
    <n v="8500"/>
    <n v="6750"/>
    <n v="0.79411764705882348"/>
    <n v="0.50551920620886137"/>
    <x v="0"/>
    <n v="65"/>
    <n v="103.84615384615384"/>
    <x v="1"/>
    <s v="USD"/>
    <n v="1479103200"/>
    <n v="1479794400"/>
    <x v="586"/>
    <d v="2016-11-22T06:00:00"/>
    <s v="Mon"/>
    <n v="8"/>
    <b v="0"/>
    <b v="0"/>
    <s v="theater/plays"/>
    <x v="3"/>
    <x v="3"/>
  </r>
  <r>
    <n v="638"/>
    <s v="Weaver Ltd"/>
    <s v="Monitored 24/7 approach"/>
    <n v="81600"/>
    <n v="9318"/>
    <n v="0.11419117647058824"/>
    <n v="0.50551920620886137"/>
    <x v="0"/>
    <n v="94"/>
    <n v="99.127659574468083"/>
    <x v="1"/>
    <s v="USD"/>
    <n v="1280206800"/>
    <n v="1281243600"/>
    <x v="587"/>
    <d v="2010-08-08T05:00:00"/>
    <s v="Tue"/>
    <n v="12"/>
    <b v="0"/>
    <b v="1"/>
    <s v="theater/plays"/>
    <x v="3"/>
    <x v="3"/>
  </r>
  <r>
    <n v="639"/>
    <s v="Barnes-Williams"/>
    <s v="Upgradable explicit forecast"/>
    <n v="8600"/>
    <n v="4832"/>
    <n v="0.56186046511627907"/>
    <n v="0.49522981646937392"/>
    <x v="2"/>
    <n v="45"/>
    <n v="107.37777777777778"/>
    <x v="1"/>
    <s v="USD"/>
    <n v="1532754000"/>
    <n v="1532754000"/>
    <x v="588"/>
    <d v="2018-07-28T05:00:00"/>
    <s v="Sat"/>
    <n v="0"/>
    <b v="0"/>
    <b v="1"/>
    <s v="film &amp; video/drama"/>
    <x v="4"/>
    <x v="6"/>
  </r>
  <r>
    <n v="640"/>
    <s v="Richardson, Woodward and Hansen"/>
    <s v="Pre-emptive context-sensitive support"/>
    <n v="119800"/>
    <n v="19769"/>
    <n v="0.16501669449081802"/>
    <n v="0.50551920620886137"/>
    <x v="0"/>
    <n v="257"/>
    <n v="76.922178988326849"/>
    <x v="1"/>
    <s v="USD"/>
    <n v="1453096800"/>
    <n v="1453356000"/>
    <x v="589"/>
    <d v="2016-01-21T06:00:00"/>
    <s v="Mon"/>
    <n v="3"/>
    <b v="0"/>
    <b v="0"/>
    <s v="theater/plays"/>
    <x v="3"/>
    <x v="3"/>
  </r>
  <r>
    <n v="641"/>
    <s v="Hunt, Barker and Baker"/>
    <s v="Business-focused leadingedge instruction set"/>
    <n v="9400"/>
    <n v="11277"/>
    <n v="1.1996808510638297"/>
    <n v="2.1230434782608696"/>
    <x v="1"/>
    <n v="194"/>
    <n v="58.128865979381445"/>
    <x v="5"/>
    <s v="CHF"/>
    <n v="1487570400"/>
    <n v="1489986000"/>
    <x v="590"/>
    <d v="2017-03-20T05:00:00"/>
    <s v="Mon"/>
    <n v="28"/>
    <b v="0"/>
    <b v="0"/>
    <s v="theater/plays"/>
    <x v="3"/>
    <x v="3"/>
  </r>
  <r>
    <n v="642"/>
    <s v="Ramos, Moreno and Lewis"/>
    <s v="Extended multi-state knowledge user"/>
    <n v="9200"/>
    <n v="13382"/>
    <n v="1.4545652173913044"/>
    <n v="2.1230434782608696"/>
    <x v="1"/>
    <n v="129"/>
    <n v="103.73643410852713"/>
    <x v="0"/>
    <s v="CAD"/>
    <n v="1545026400"/>
    <n v="1545804000"/>
    <x v="591"/>
    <d v="2018-12-26T06:00:00"/>
    <s v="Mon"/>
    <n v="9"/>
    <b v="0"/>
    <b v="0"/>
    <s v="technology/wearables"/>
    <x v="2"/>
    <x v="8"/>
  </r>
  <r>
    <n v="643"/>
    <s v="Harris Inc"/>
    <s v="Future-proofed modular groupware"/>
    <n v="14900"/>
    <n v="32986"/>
    <n v="2.2138255033557046"/>
    <n v="2.1230434782608696"/>
    <x v="1"/>
    <n v="375"/>
    <n v="87.962666666666664"/>
    <x v="1"/>
    <s v="USD"/>
    <n v="1488348000"/>
    <n v="1489899600"/>
    <x v="592"/>
    <d v="2017-03-19T05:00:00"/>
    <s v="Wed"/>
    <n v="18"/>
    <b v="0"/>
    <b v="0"/>
    <s v="theater/plays"/>
    <x v="3"/>
    <x v="3"/>
  </r>
  <r>
    <n v="644"/>
    <s v="Peters-Nelson"/>
    <s v="Distributed real-time algorithm"/>
    <n v="169400"/>
    <n v="81984"/>
    <n v="0.48396694214876035"/>
    <n v="0.50551920620886137"/>
    <x v="0"/>
    <n v="2928"/>
    <n v="28"/>
    <x v="0"/>
    <s v="CAD"/>
    <n v="1545112800"/>
    <n v="1546495200"/>
    <x v="593"/>
    <d v="2019-01-03T06:00:00"/>
    <s v="Tue"/>
    <n v="16"/>
    <b v="0"/>
    <b v="0"/>
    <s v="theater/plays"/>
    <x v="3"/>
    <x v="3"/>
  </r>
  <r>
    <n v="645"/>
    <s v="Ferguson, Murphy and Bright"/>
    <s v="Multi-lateral heuristic throughput"/>
    <n v="192100"/>
    <n v="178483"/>
    <n v="0.92911504424778757"/>
    <n v="0.50551920620886137"/>
    <x v="0"/>
    <n v="4697"/>
    <n v="37.999361294443261"/>
    <x v="1"/>
    <s v="USD"/>
    <n v="1537938000"/>
    <n v="1539752400"/>
    <x v="594"/>
    <d v="2018-10-17T05:00:00"/>
    <s v="Wed"/>
    <n v="21"/>
    <b v="0"/>
    <b v="1"/>
    <s v="music/rock"/>
    <x v="1"/>
    <x v="1"/>
  </r>
  <r>
    <n v="646"/>
    <s v="Robinson Group"/>
    <s v="Switchable reciprocal middleware"/>
    <n v="98700"/>
    <n v="87448"/>
    <n v="0.88599797365754818"/>
    <n v="0.50551920620886137"/>
    <x v="0"/>
    <n v="2915"/>
    <n v="29.999313893653515"/>
    <x v="1"/>
    <s v="USD"/>
    <n v="1363150800"/>
    <n v="1364101200"/>
    <x v="595"/>
    <d v="2013-03-24T05:00:00"/>
    <s v="Wed"/>
    <n v="11"/>
    <b v="0"/>
    <b v="0"/>
    <s v="games/video games"/>
    <x v="6"/>
    <x v="11"/>
  </r>
  <r>
    <n v="647"/>
    <s v="Jordan-Wolfe"/>
    <s v="Inverse multimedia Graphic Interface"/>
    <n v="4500"/>
    <n v="1863"/>
    <n v="0.41399999999999998"/>
    <n v="0.50551920620886137"/>
    <x v="0"/>
    <n v="18"/>
    <n v="103.5"/>
    <x v="1"/>
    <s v="USD"/>
    <n v="1523250000"/>
    <n v="1525323600"/>
    <x v="596"/>
    <d v="2018-05-03T05:00:00"/>
    <s v="Mon"/>
    <n v="24"/>
    <b v="0"/>
    <b v="0"/>
    <s v="publishing/translations"/>
    <x v="5"/>
    <x v="18"/>
  </r>
  <r>
    <n v="648"/>
    <s v="Vargas-Cox"/>
    <s v="Vision-oriented local contingency"/>
    <n v="98600"/>
    <n v="62174"/>
    <n v="0.63056795131845844"/>
    <n v="0.43241247264770238"/>
    <x v="3"/>
    <n v="723"/>
    <n v="85.994467496542185"/>
    <x v="1"/>
    <s v="USD"/>
    <n v="1499317200"/>
    <n v="1500872400"/>
    <x v="597"/>
    <d v="2017-07-24T05:00:00"/>
    <s v="Thu"/>
    <n v="18"/>
    <b v="1"/>
    <b v="0"/>
    <s v="food/food trucks"/>
    <x v="0"/>
    <x v="0"/>
  </r>
  <r>
    <n v="649"/>
    <s v="Yang and Sons"/>
    <s v="Reactive 6thgeneration hub"/>
    <n v="121700"/>
    <n v="59003"/>
    <n v="0.48482333607230893"/>
    <n v="0.50551920620886137"/>
    <x v="0"/>
    <n v="602"/>
    <n v="98.011627906976742"/>
    <x v="5"/>
    <s v="CHF"/>
    <n v="1287550800"/>
    <n v="1288501200"/>
    <x v="598"/>
    <d v="2010-10-31T05:00:00"/>
    <s v="Wed"/>
    <n v="11"/>
    <b v="1"/>
    <b v="1"/>
    <s v="theater/plays"/>
    <x v="3"/>
    <x v="3"/>
  </r>
  <r>
    <n v="650"/>
    <s v="Wilson, Wilson and Mathis"/>
    <s v="Optional asymmetric success"/>
    <n v="100"/>
    <n v="2"/>
    <n v="0.02"/>
    <n v="0.50551920620886137"/>
    <x v="0"/>
    <n v="1"/>
    <n v="2"/>
    <x v="1"/>
    <s v="USD"/>
    <n v="1404795600"/>
    <n v="1407128400"/>
    <x v="599"/>
    <d v="2014-08-04T05:00:00"/>
    <s v="Tue"/>
    <n v="27"/>
    <b v="0"/>
    <b v="0"/>
    <s v="music/jazz"/>
    <x v="1"/>
    <x v="17"/>
  </r>
  <r>
    <n v="651"/>
    <s v="Wang, Koch and Weaver"/>
    <s v="Digitized analyzing capacity"/>
    <n v="196700"/>
    <n v="174039"/>
    <n v="0.88479410269445857"/>
    <n v="0.50551920620886137"/>
    <x v="0"/>
    <n v="3868"/>
    <n v="44.994570837642193"/>
    <x v="6"/>
    <s v="EUR"/>
    <n v="1393048800"/>
    <n v="1394344800"/>
    <x v="600"/>
    <d v="2014-03-09T06:00:00"/>
    <s v="Sat"/>
    <n v="15"/>
    <b v="0"/>
    <b v="0"/>
    <s v="film &amp; video/shorts"/>
    <x v="4"/>
    <x v="12"/>
  </r>
  <r>
    <n v="652"/>
    <s v="Cisneros Ltd"/>
    <s v="Vision-oriented regional hub"/>
    <n v="10000"/>
    <n v="12684"/>
    <n v="1.2684"/>
    <n v="2.1230434782608696"/>
    <x v="1"/>
    <n v="409"/>
    <n v="31.012224938875306"/>
    <x v="1"/>
    <s v="USD"/>
    <n v="1470373200"/>
    <n v="1474088400"/>
    <x v="601"/>
    <d v="2016-09-17T05:00:00"/>
    <s v="Fri"/>
    <n v="43"/>
    <b v="0"/>
    <b v="0"/>
    <s v="technology/web"/>
    <x v="2"/>
    <x v="2"/>
  </r>
  <r>
    <n v="653"/>
    <s v="Williams-Jones"/>
    <s v="Monitored incremental info-mediaries"/>
    <n v="600"/>
    <n v="14033"/>
    <n v="23.388333333333332"/>
    <n v="2.1230434782608696"/>
    <x v="1"/>
    <n v="234"/>
    <n v="59.970085470085472"/>
    <x v="1"/>
    <s v="USD"/>
    <n v="1460091600"/>
    <n v="1460264400"/>
    <x v="602"/>
    <d v="2016-04-10T05:00:00"/>
    <s v="Fri"/>
    <n v="2"/>
    <b v="0"/>
    <b v="0"/>
    <s v="technology/web"/>
    <x v="2"/>
    <x v="2"/>
  </r>
  <r>
    <n v="654"/>
    <s v="Roberts, Hinton and Williams"/>
    <s v="Programmable static middleware"/>
    <n v="35000"/>
    <n v="177936"/>
    <n v="5.0838857142857146"/>
    <n v="2.1230434782608696"/>
    <x v="1"/>
    <n v="3016"/>
    <n v="58.9973474801061"/>
    <x v="1"/>
    <s v="USD"/>
    <n v="1440392400"/>
    <n v="1440824400"/>
    <x v="335"/>
    <d v="2015-08-29T05:00:00"/>
    <s v="Mon"/>
    <n v="5"/>
    <b v="0"/>
    <b v="0"/>
    <s v="music/metal"/>
    <x v="1"/>
    <x v="16"/>
  </r>
  <r>
    <n v="655"/>
    <s v="Gonzalez, Williams and Benson"/>
    <s v="Multi-layered bottom-line encryption"/>
    <n v="6900"/>
    <n v="13212"/>
    <n v="1.9147826086956521"/>
    <n v="2.1230434782608696"/>
    <x v="1"/>
    <n v="264"/>
    <n v="50.045454545454547"/>
    <x v="1"/>
    <s v="USD"/>
    <n v="1488434400"/>
    <n v="1489554000"/>
    <x v="603"/>
    <d v="2017-03-15T05:00:00"/>
    <s v="Thu"/>
    <n v="13"/>
    <b v="1"/>
    <b v="0"/>
    <s v="photography/photography books"/>
    <x v="7"/>
    <x v="14"/>
  </r>
  <r>
    <n v="656"/>
    <s v="Hobbs, Brown and Lee"/>
    <s v="Vision-oriented systematic Graphical User Interface"/>
    <n v="118400"/>
    <n v="49879"/>
    <n v="0.42127533783783783"/>
    <n v="0.50551920620886137"/>
    <x v="0"/>
    <n v="504"/>
    <n v="98.966269841269835"/>
    <x v="2"/>
    <s v="AUD"/>
    <n v="1514440800"/>
    <n v="1514872800"/>
    <x v="604"/>
    <d v="2018-01-02T06:00:00"/>
    <s v="Thu"/>
    <n v="5"/>
    <b v="0"/>
    <b v="0"/>
    <s v="food/food trucks"/>
    <x v="0"/>
    <x v="0"/>
  </r>
  <r>
    <n v="657"/>
    <s v="Russo, Kim and Mccoy"/>
    <s v="Balanced optimal hardware"/>
    <n v="10000"/>
    <n v="824"/>
    <n v="8.2400000000000001E-2"/>
    <n v="0.50551920620886137"/>
    <x v="0"/>
    <n v="14"/>
    <n v="58.857142857142854"/>
    <x v="1"/>
    <s v="USD"/>
    <n v="1514354400"/>
    <n v="1515736800"/>
    <x v="605"/>
    <d v="2018-01-12T06:00:00"/>
    <s v="Wed"/>
    <n v="16"/>
    <b v="0"/>
    <b v="0"/>
    <s v="film &amp; video/science fiction"/>
    <x v="4"/>
    <x v="22"/>
  </r>
  <r>
    <n v="658"/>
    <s v="Howell, Myers and Olson"/>
    <s v="Self-enabling mission-critical success"/>
    <n v="52600"/>
    <n v="31594"/>
    <n v="0.60064638783269964"/>
    <n v="0.43241247264770238"/>
    <x v="3"/>
    <n v="390"/>
    <n v="81.010256410256417"/>
    <x v="1"/>
    <s v="USD"/>
    <n v="1440910800"/>
    <n v="1442898000"/>
    <x v="606"/>
    <d v="2015-09-22T05:00:00"/>
    <s v="Sun"/>
    <n v="23"/>
    <b v="0"/>
    <b v="0"/>
    <s v="music/rock"/>
    <x v="1"/>
    <x v="1"/>
  </r>
  <r>
    <n v="659"/>
    <s v="Bailey and Sons"/>
    <s v="Grass-roots dynamic emulation"/>
    <n v="120700"/>
    <n v="57010"/>
    <n v="0.47232808616404309"/>
    <n v="0.50551920620886137"/>
    <x v="0"/>
    <n v="750"/>
    <n v="76.013333333333335"/>
    <x v="4"/>
    <s v="GBP"/>
    <n v="1296108000"/>
    <n v="1296194400"/>
    <x v="65"/>
    <d v="2011-01-28T06:00:00"/>
    <s v="Thu"/>
    <n v="1"/>
    <b v="0"/>
    <b v="0"/>
    <s v="film &amp; video/documentary"/>
    <x v="4"/>
    <x v="4"/>
  </r>
  <r>
    <n v="660"/>
    <s v="Jensen-Brown"/>
    <s v="Fundamental disintermediate matrix"/>
    <n v="9100"/>
    <n v="7438"/>
    <n v="0.81736263736263737"/>
    <n v="0.50551920620886137"/>
    <x v="0"/>
    <n v="77"/>
    <n v="96.597402597402592"/>
    <x v="1"/>
    <s v="USD"/>
    <n v="1440133200"/>
    <n v="1440910800"/>
    <x v="607"/>
    <d v="2015-08-30T05:00:00"/>
    <s v="Fri"/>
    <n v="9"/>
    <b v="1"/>
    <b v="0"/>
    <s v="theater/plays"/>
    <x v="3"/>
    <x v="3"/>
  </r>
  <r>
    <n v="661"/>
    <s v="Smith Group"/>
    <s v="Right-sized secondary challenge"/>
    <n v="106800"/>
    <n v="57872"/>
    <n v="0.54187265917603"/>
    <n v="0.50551920620886137"/>
    <x v="0"/>
    <n v="752"/>
    <n v="76.957446808510639"/>
    <x v="3"/>
    <s v="DKK"/>
    <n v="1332910800"/>
    <n v="1335502800"/>
    <x v="608"/>
    <d v="2012-04-27T05:00:00"/>
    <s v="Wed"/>
    <n v="30"/>
    <b v="0"/>
    <b v="0"/>
    <s v="music/jazz"/>
    <x v="1"/>
    <x v="17"/>
  </r>
  <r>
    <n v="662"/>
    <s v="Murphy-Farrell"/>
    <s v="Implemented exuding software"/>
    <n v="9100"/>
    <n v="8906"/>
    <n v="0.97868131868131869"/>
    <n v="0.50551920620886137"/>
    <x v="0"/>
    <n v="131"/>
    <n v="67.984732824427482"/>
    <x v="1"/>
    <s v="USD"/>
    <n v="1544335200"/>
    <n v="1544680800"/>
    <x v="609"/>
    <d v="2018-12-13T06:00:00"/>
    <s v="Sun"/>
    <n v="4"/>
    <b v="0"/>
    <b v="0"/>
    <s v="theater/plays"/>
    <x v="3"/>
    <x v="3"/>
  </r>
  <r>
    <n v="663"/>
    <s v="Everett-Wolfe"/>
    <s v="Total optimizing software"/>
    <n v="10000"/>
    <n v="7724"/>
    <n v="0.77239999999999998"/>
    <n v="0.50551920620886137"/>
    <x v="0"/>
    <n v="87"/>
    <n v="88.781609195402297"/>
    <x v="1"/>
    <s v="USD"/>
    <n v="1286427600"/>
    <n v="1288414800"/>
    <x v="610"/>
    <d v="2010-10-30T05:00:00"/>
    <s v="Thu"/>
    <n v="23"/>
    <b v="0"/>
    <b v="0"/>
    <s v="theater/plays"/>
    <x v="3"/>
    <x v="3"/>
  </r>
  <r>
    <n v="664"/>
    <s v="Young PLC"/>
    <s v="Optional maximized attitude"/>
    <n v="79400"/>
    <n v="26571"/>
    <n v="0.33464735516372796"/>
    <n v="0.50551920620886137"/>
    <x v="0"/>
    <n v="1063"/>
    <n v="24.99623706491063"/>
    <x v="1"/>
    <s v="USD"/>
    <n v="1329717600"/>
    <n v="1330581600"/>
    <x v="541"/>
    <d v="2012-03-01T06:00:00"/>
    <s v="Mon"/>
    <n v="10"/>
    <b v="0"/>
    <b v="0"/>
    <s v="music/jazz"/>
    <x v="1"/>
    <x v="17"/>
  </r>
  <r>
    <n v="665"/>
    <s v="Park-Goodman"/>
    <s v="Customer-focused impactful extranet"/>
    <n v="5100"/>
    <n v="12219"/>
    <n v="2.3958823529411766"/>
    <n v="2.1230434782608696"/>
    <x v="1"/>
    <n v="272"/>
    <n v="44.922794117647058"/>
    <x v="1"/>
    <s v="USD"/>
    <n v="1310187600"/>
    <n v="1311397200"/>
    <x v="611"/>
    <d v="2011-07-23T05:00:00"/>
    <s v="Sat"/>
    <n v="14"/>
    <b v="0"/>
    <b v="1"/>
    <s v="film &amp; video/documentary"/>
    <x v="4"/>
    <x v="4"/>
  </r>
  <r>
    <n v="666"/>
    <s v="York, Barr and Grant"/>
    <s v="Cloned bottom-line success"/>
    <n v="3100"/>
    <n v="1985"/>
    <n v="0.64032258064516134"/>
    <n v="0.43241247264770238"/>
    <x v="3"/>
    <n v="25"/>
    <n v="79.400000000000006"/>
    <x v="1"/>
    <s v="USD"/>
    <n v="1377838800"/>
    <n v="1378357200"/>
    <x v="612"/>
    <d v="2013-09-05T05:00:00"/>
    <s v="Fri"/>
    <n v="6"/>
    <b v="0"/>
    <b v="1"/>
    <s v="theater/plays"/>
    <x v="3"/>
    <x v="3"/>
  </r>
  <r>
    <n v="667"/>
    <s v="Little Ltd"/>
    <s v="Decentralized bandwidth-monitored ability"/>
    <n v="6900"/>
    <n v="12155"/>
    <n v="1.7615942028985507"/>
    <n v="2.1230434782608696"/>
    <x v="1"/>
    <n v="419"/>
    <n v="29.009546539379475"/>
    <x v="1"/>
    <s v="USD"/>
    <n v="1410325200"/>
    <n v="1411102800"/>
    <x v="613"/>
    <d v="2014-09-19T05:00:00"/>
    <s v="Wed"/>
    <n v="9"/>
    <b v="0"/>
    <b v="0"/>
    <s v="journalism/audio"/>
    <x v="8"/>
    <x v="23"/>
  </r>
  <r>
    <n v="668"/>
    <s v="Brown and Sons"/>
    <s v="Programmable leadingedge budgetary management"/>
    <n v="27500"/>
    <n v="5593"/>
    <n v="0.20338181818181819"/>
    <n v="0.50551920620886137"/>
    <x v="0"/>
    <n v="76"/>
    <n v="73.59210526315789"/>
    <x v="1"/>
    <s v="USD"/>
    <n v="1343797200"/>
    <n v="1344834000"/>
    <x v="614"/>
    <d v="2012-08-13T05:00:00"/>
    <s v="Wed"/>
    <n v="12"/>
    <b v="0"/>
    <b v="0"/>
    <s v="theater/plays"/>
    <x v="3"/>
    <x v="3"/>
  </r>
  <r>
    <n v="669"/>
    <s v="Payne, Garrett and Thomas"/>
    <s v="Upgradable bi-directional concept"/>
    <n v="48800"/>
    <n v="175020"/>
    <n v="3.5864754098360656"/>
    <n v="2.1230434782608696"/>
    <x v="1"/>
    <n v="1621"/>
    <n v="107.97038864898211"/>
    <x v="6"/>
    <s v="EUR"/>
    <n v="1498453200"/>
    <n v="1499230800"/>
    <x v="615"/>
    <d v="2017-07-05T05:00:00"/>
    <s v="Mon"/>
    <n v="9"/>
    <b v="0"/>
    <b v="0"/>
    <s v="theater/plays"/>
    <x v="3"/>
    <x v="3"/>
  </r>
  <r>
    <n v="670"/>
    <s v="Robinson Group"/>
    <s v="Re-contextualized homogeneous flexibility"/>
    <n v="16200"/>
    <n v="75955"/>
    <n v="4.6885802469135802"/>
    <n v="2.1230434782608696"/>
    <x v="1"/>
    <n v="1101"/>
    <n v="68.987284287011803"/>
    <x v="1"/>
    <s v="USD"/>
    <n v="1456380000"/>
    <n v="1457416800"/>
    <x v="90"/>
    <d v="2016-03-08T06:00:00"/>
    <s v="Thu"/>
    <n v="12"/>
    <b v="0"/>
    <b v="0"/>
    <s v="music/indie rock"/>
    <x v="1"/>
    <x v="7"/>
  </r>
  <r>
    <n v="671"/>
    <s v="Robinson-Kelly"/>
    <s v="Monitored bi-directional standardization"/>
    <n v="97600"/>
    <n v="119127"/>
    <n v="1.220563524590164"/>
    <n v="2.1230434782608696"/>
    <x v="1"/>
    <n v="1073"/>
    <n v="111.02236719478098"/>
    <x v="1"/>
    <s v="USD"/>
    <n v="1280552400"/>
    <n v="1280898000"/>
    <x v="616"/>
    <d v="2010-08-04T05:00:00"/>
    <s v="Sat"/>
    <n v="4"/>
    <b v="0"/>
    <b v="1"/>
    <s v="theater/plays"/>
    <x v="3"/>
    <x v="3"/>
  </r>
  <r>
    <n v="672"/>
    <s v="Kelly-Colon"/>
    <s v="Stand-alone grid-enabled leverage"/>
    <n v="197900"/>
    <n v="110689"/>
    <n v="0.55931783729156137"/>
    <n v="0.50551920620886137"/>
    <x v="0"/>
    <n v="4428"/>
    <n v="24.997515808491418"/>
    <x v="2"/>
    <s v="AUD"/>
    <n v="1521608400"/>
    <n v="1522472400"/>
    <x v="617"/>
    <d v="2018-03-31T05:00:00"/>
    <s v="Wed"/>
    <n v="10"/>
    <b v="0"/>
    <b v="0"/>
    <s v="theater/plays"/>
    <x v="3"/>
    <x v="3"/>
  </r>
  <r>
    <n v="673"/>
    <s v="Turner, Scott and Gentry"/>
    <s v="Assimilated regional groupware"/>
    <n v="5600"/>
    <n v="2445"/>
    <n v="0.43660714285714286"/>
    <n v="0.50551920620886137"/>
    <x v="0"/>
    <n v="58"/>
    <n v="42.155172413793103"/>
    <x v="6"/>
    <s v="EUR"/>
    <n v="1460696400"/>
    <n v="1462510800"/>
    <x v="618"/>
    <d v="2016-05-06T05:00:00"/>
    <s v="Fri"/>
    <n v="21"/>
    <b v="0"/>
    <b v="0"/>
    <s v="music/indie rock"/>
    <x v="1"/>
    <x v="7"/>
  </r>
  <r>
    <n v="674"/>
    <s v="Sanchez Ltd"/>
    <s v="Up-sized 24hour instruction set"/>
    <n v="170700"/>
    <n v="57250"/>
    <n v="0.33538371411833628"/>
    <n v="0.43241247264770238"/>
    <x v="3"/>
    <n v="1218"/>
    <n v="47.003284072249592"/>
    <x v="1"/>
    <s v="USD"/>
    <n v="1313730000"/>
    <n v="1317790800"/>
    <x v="619"/>
    <d v="2011-10-05T05:00:00"/>
    <s v="Fri"/>
    <n v="47"/>
    <b v="0"/>
    <b v="0"/>
    <s v="photography/photography books"/>
    <x v="7"/>
    <x v="14"/>
  </r>
  <r>
    <n v="675"/>
    <s v="Giles-Smith"/>
    <s v="Right-sized web-enabled intranet"/>
    <n v="9700"/>
    <n v="11929"/>
    <n v="1.2297938144329896"/>
    <n v="2.1230434782608696"/>
    <x v="1"/>
    <n v="331"/>
    <n v="36.0392749244713"/>
    <x v="1"/>
    <s v="USD"/>
    <n v="1568178000"/>
    <n v="1568782800"/>
    <x v="620"/>
    <d v="2019-09-18T05:00:00"/>
    <s v="Wed"/>
    <n v="7"/>
    <b v="0"/>
    <b v="0"/>
    <s v="journalism/audio"/>
    <x v="8"/>
    <x v="23"/>
  </r>
  <r>
    <n v="676"/>
    <s v="Thompson-Moreno"/>
    <s v="Expanded needs-based orchestration"/>
    <n v="62300"/>
    <n v="118214"/>
    <n v="1.8974959871589085"/>
    <n v="2.1230434782608696"/>
    <x v="1"/>
    <n v="1170"/>
    <n v="101.03760683760684"/>
    <x v="1"/>
    <s v="USD"/>
    <n v="1348635600"/>
    <n v="1349413200"/>
    <x v="621"/>
    <d v="2012-10-05T05:00:00"/>
    <s v="Wed"/>
    <n v="9"/>
    <b v="0"/>
    <b v="0"/>
    <s v="photography/photography books"/>
    <x v="7"/>
    <x v="14"/>
  </r>
  <r>
    <n v="677"/>
    <s v="Murphy-Fox"/>
    <s v="Organic system-worthy orchestration"/>
    <n v="5300"/>
    <n v="4432"/>
    <n v="0.83622641509433959"/>
    <n v="0.50551920620886137"/>
    <x v="0"/>
    <n v="111"/>
    <n v="39.927927927927925"/>
    <x v="1"/>
    <s v="USD"/>
    <n v="1468126800"/>
    <n v="1472446800"/>
    <x v="622"/>
    <d v="2016-08-29T05:00:00"/>
    <s v="Sun"/>
    <n v="50"/>
    <b v="0"/>
    <b v="0"/>
    <s v="publishing/fiction"/>
    <x v="5"/>
    <x v="13"/>
  </r>
  <r>
    <n v="678"/>
    <s v="Rodriguez-Patterson"/>
    <s v="Inverse static standardization"/>
    <n v="99500"/>
    <n v="17879"/>
    <n v="0.17968844221105529"/>
    <n v="0.43241247264770238"/>
    <x v="3"/>
    <n v="215"/>
    <n v="83.158139534883716"/>
    <x v="1"/>
    <s v="USD"/>
    <n v="1547877600"/>
    <n v="1548050400"/>
    <x v="35"/>
    <d v="2019-01-21T06:00:00"/>
    <s v="Sat"/>
    <n v="2"/>
    <b v="0"/>
    <b v="0"/>
    <s v="film &amp; video/drama"/>
    <x v="4"/>
    <x v="6"/>
  </r>
  <r>
    <n v="679"/>
    <s v="Davis Ltd"/>
    <s v="Synchronized motivating solution"/>
    <n v="1400"/>
    <n v="14511"/>
    <n v="10.365"/>
    <n v="2.1230434782608696"/>
    <x v="1"/>
    <n v="363"/>
    <n v="39.97520661157025"/>
    <x v="1"/>
    <s v="USD"/>
    <n v="1571374800"/>
    <n v="1571806800"/>
    <x v="623"/>
    <d v="2019-10-23T05:00:00"/>
    <s v="Fri"/>
    <n v="5"/>
    <b v="0"/>
    <b v="1"/>
    <s v="food/food trucks"/>
    <x v="0"/>
    <x v="0"/>
  </r>
  <r>
    <n v="680"/>
    <s v="Nelson-Valdez"/>
    <s v="Open-source 4thgeneration open system"/>
    <n v="145600"/>
    <n v="141822"/>
    <n v="0.97405219780219776"/>
    <n v="0.50551920620886137"/>
    <x v="0"/>
    <n v="2955"/>
    <n v="47.993908629441627"/>
    <x v="1"/>
    <s v="USD"/>
    <n v="1576303200"/>
    <n v="1576476000"/>
    <x v="624"/>
    <d v="2019-12-16T06:00:00"/>
    <s v="Sat"/>
    <n v="2"/>
    <b v="0"/>
    <b v="1"/>
    <s v="games/mobile games"/>
    <x v="6"/>
    <x v="20"/>
  </r>
  <r>
    <n v="681"/>
    <s v="Kelly PLC"/>
    <s v="Decentralized context-sensitive superstructure"/>
    <n v="184100"/>
    <n v="159037"/>
    <n v="0.86386203150461705"/>
    <n v="0.50551920620886137"/>
    <x v="0"/>
    <n v="1657"/>
    <n v="95.978877489438744"/>
    <x v="1"/>
    <s v="USD"/>
    <n v="1324447200"/>
    <n v="1324965600"/>
    <x v="625"/>
    <d v="2011-12-27T06:00:00"/>
    <s v="Wed"/>
    <n v="6"/>
    <b v="0"/>
    <b v="0"/>
    <s v="theater/plays"/>
    <x v="3"/>
    <x v="3"/>
  </r>
  <r>
    <n v="682"/>
    <s v="Nguyen and Sons"/>
    <s v="Compatible 5thgeneration concept"/>
    <n v="5400"/>
    <n v="8109"/>
    <n v="1.5016666666666667"/>
    <n v="2.1230434782608696"/>
    <x v="1"/>
    <n v="103"/>
    <n v="78.728155339805824"/>
    <x v="1"/>
    <s v="USD"/>
    <n v="1386741600"/>
    <n v="1387519200"/>
    <x v="626"/>
    <d v="2013-12-20T06:00:00"/>
    <s v="Wed"/>
    <n v="9"/>
    <b v="0"/>
    <b v="0"/>
    <s v="theater/plays"/>
    <x v="3"/>
    <x v="3"/>
  </r>
  <r>
    <n v="683"/>
    <s v="Jones PLC"/>
    <s v="Virtual systemic intranet"/>
    <n v="2300"/>
    <n v="8244"/>
    <n v="3.5843478260869563"/>
    <n v="2.1230434782608696"/>
    <x v="1"/>
    <n v="147"/>
    <n v="56.081632653061227"/>
    <x v="1"/>
    <s v="USD"/>
    <n v="1537074000"/>
    <n v="1537246800"/>
    <x v="627"/>
    <d v="2018-09-18T05:00:00"/>
    <s v="Sun"/>
    <n v="2"/>
    <b v="0"/>
    <b v="0"/>
    <s v="theater/plays"/>
    <x v="3"/>
    <x v="3"/>
  </r>
  <r>
    <n v="684"/>
    <s v="Gilmore LLC"/>
    <s v="Optimized systemic algorithm"/>
    <n v="1400"/>
    <n v="7600"/>
    <n v="5.4285714285714288"/>
    <n v="2.1230434782608696"/>
    <x v="1"/>
    <n v="110"/>
    <n v="69.090909090909093"/>
    <x v="0"/>
    <s v="CAD"/>
    <n v="1277787600"/>
    <n v="1279515600"/>
    <x v="628"/>
    <d v="2010-07-19T05:00:00"/>
    <s v="Tue"/>
    <n v="20"/>
    <b v="0"/>
    <b v="0"/>
    <s v="publishing/nonfiction"/>
    <x v="5"/>
    <x v="9"/>
  </r>
  <r>
    <n v="685"/>
    <s v="Lee-Cobb"/>
    <s v="Customizable homogeneous firmware"/>
    <n v="140000"/>
    <n v="94501"/>
    <n v="0.67500714285714281"/>
    <n v="0.50551920620886137"/>
    <x v="0"/>
    <n v="926"/>
    <n v="102.05291576673866"/>
    <x v="0"/>
    <s v="CAD"/>
    <n v="1440306000"/>
    <n v="1442379600"/>
    <x v="629"/>
    <d v="2015-09-16T05:00:00"/>
    <s v="Sun"/>
    <n v="24"/>
    <b v="0"/>
    <b v="0"/>
    <s v="theater/plays"/>
    <x v="3"/>
    <x v="3"/>
  </r>
  <r>
    <n v="686"/>
    <s v="Jones, Wiley and Robbins"/>
    <s v="Front-line cohesive extranet"/>
    <n v="7500"/>
    <n v="14381"/>
    <n v="1.9174666666666667"/>
    <n v="2.1230434782608696"/>
    <x v="1"/>
    <n v="134"/>
    <n v="107.32089552238806"/>
    <x v="1"/>
    <s v="USD"/>
    <n v="1522126800"/>
    <n v="1523077200"/>
    <x v="630"/>
    <d v="2018-04-07T05:00:00"/>
    <s v="Tue"/>
    <n v="11"/>
    <b v="0"/>
    <b v="0"/>
    <s v="technology/wearables"/>
    <x v="2"/>
    <x v="8"/>
  </r>
  <r>
    <n v="687"/>
    <s v="Martin, Gates and Holt"/>
    <s v="Distributed holistic neural-net"/>
    <n v="1500"/>
    <n v="13980"/>
    <n v="9.32"/>
    <n v="2.1230434782608696"/>
    <x v="1"/>
    <n v="269"/>
    <n v="51.970260223048328"/>
    <x v="1"/>
    <s v="USD"/>
    <n v="1489298400"/>
    <n v="1489554000"/>
    <x v="631"/>
    <d v="2017-03-15T05:00:00"/>
    <s v="Sun"/>
    <n v="3"/>
    <b v="0"/>
    <b v="0"/>
    <s v="theater/plays"/>
    <x v="3"/>
    <x v="3"/>
  </r>
  <r>
    <n v="688"/>
    <s v="Bowen, Davies and Burns"/>
    <s v="Devolved client-server monitoring"/>
    <n v="2900"/>
    <n v="12449"/>
    <n v="4.2927586206896553"/>
    <n v="2.1230434782608696"/>
    <x v="1"/>
    <n v="175"/>
    <n v="71.137142857142862"/>
    <x v="1"/>
    <s v="USD"/>
    <n v="1547100000"/>
    <n v="1548482400"/>
    <x v="632"/>
    <d v="2019-01-26T06:00:00"/>
    <s v="Thu"/>
    <n v="16"/>
    <b v="0"/>
    <b v="1"/>
    <s v="film &amp; video/television"/>
    <x v="4"/>
    <x v="19"/>
  </r>
  <r>
    <n v="689"/>
    <s v="Nguyen Inc"/>
    <s v="Seamless directional capacity"/>
    <n v="7300"/>
    <n v="7348"/>
    <n v="1.0065753424657535"/>
    <n v="2.1230434782608696"/>
    <x v="1"/>
    <n v="69"/>
    <n v="106.49275362318841"/>
    <x v="1"/>
    <s v="USD"/>
    <n v="1383022800"/>
    <n v="1384063200"/>
    <x v="633"/>
    <d v="2013-11-10T06:00:00"/>
    <s v="Tue"/>
    <n v="12"/>
    <b v="0"/>
    <b v="0"/>
    <s v="technology/web"/>
    <x v="2"/>
    <x v="2"/>
  </r>
  <r>
    <n v="690"/>
    <s v="Walsh-Watts"/>
    <s v="Polarized actuating implementation"/>
    <n v="3600"/>
    <n v="8158"/>
    <n v="2.266111111111111"/>
    <n v="2.1230434782608696"/>
    <x v="1"/>
    <n v="190"/>
    <n v="42.93684210526316"/>
    <x v="1"/>
    <s v="USD"/>
    <n v="1322373600"/>
    <n v="1322892000"/>
    <x v="634"/>
    <d v="2011-12-03T06:00:00"/>
    <s v="Sun"/>
    <n v="6"/>
    <b v="0"/>
    <b v="1"/>
    <s v="film &amp; video/documentary"/>
    <x v="4"/>
    <x v="4"/>
  </r>
  <r>
    <n v="691"/>
    <s v="Ray, Li and Li"/>
    <s v="Front-line disintermediate hub"/>
    <n v="5000"/>
    <n v="7119"/>
    <n v="1.4238"/>
    <n v="2.1230434782608696"/>
    <x v="1"/>
    <n v="237"/>
    <n v="30.037974683544302"/>
    <x v="1"/>
    <s v="USD"/>
    <n v="1349240400"/>
    <n v="1350709200"/>
    <x v="635"/>
    <d v="2012-10-20T05:00:00"/>
    <s v="Wed"/>
    <n v="17"/>
    <b v="1"/>
    <b v="1"/>
    <s v="film &amp; video/documentary"/>
    <x v="4"/>
    <x v="4"/>
  </r>
  <r>
    <n v="692"/>
    <s v="Murray Ltd"/>
    <s v="Decentralized 4thgeneration challenge"/>
    <n v="6000"/>
    <n v="5438"/>
    <n v="0.90633333333333332"/>
    <n v="0.50551920620886137"/>
    <x v="0"/>
    <n v="77"/>
    <n v="70.623376623376629"/>
    <x v="4"/>
    <s v="GBP"/>
    <n v="1562648400"/>
    <n v="1564203600"/>
    <x v="636"/>
    <d v="2019-07-27T05:00:00"/>
    <s v="Tue"/>
    <n v="18"/>
    <b v="0"/>
    <b v="0"/>
    <s v="music/rock"/>
    <x v="1"/>
    <x v="1"/>
  </r>
  <r>
    <n v="693"/>
    <s v="Bradford-Silva"/>
    <s v="Reverse-engineered composite hierarchy"/>
    <n v="180400"/>
    <n v="115396"/>
    <n v="0.63966740576496672"/>
    <n v="0.50551920620886137"/>
    <x v="0"/>
    <n v="1748"/>
    <n v="66.016018306636155"/>
    <x v="1"/>
    <s v="USD"/>
    <n v="1508216400"/>
    <n v="1509685200"/>
    <x v="637"/>
    <d v="2017-11-03T05:00:00"/>
    <s v="Tue"/>
    <n v="17"/>
    <b v="0"/>
    <b v="0"/>
    <s v="theater/plays"/>
    <x v="3"/>
    <x v="3"/>
  </r>
  <r>
    <n v="694"/>
    <s v="Mora-Bradley"/>
    <s v="Programmable tangible ability"/>
    <n v="9100"/>
    <n v="7656"/>
    <n v="0.84131868131868137"/>
    <n v="0.50551920620886137"/>
    <x v="0"/>
    <n v="79"/>
    <n v="96.911392405063296"/>
    <x v="1"/>
    <s v="USD"/>
    <n v="1511762400"/>
    <n v="1514959200"/>
    <x v="638"/>
    <d v="2018-01-03T06:00:00"/>
    <s v="Mon"/>
    <n v="37"/>
    <b v="0"/>
    <b v="0"/>
    <s v="theater/plays"/>
    <x v="3"/>
    <x v="3"/>
  </r>
  <r>
    <n v="695"/>
    <s v="Cardenas, Thompson and Carey"/>
    <s v="Configurable full-range emulation"/>
    <n v="9200"/>
    <n v="12322"/>
    <n v="1.3393478260869565"/>
    <n v="2.1230434782608696"/>
    <x v="1"/>
    <n v="196"/>
    <n v="62.867346938775512"/>
    <x v="6"/>
    <s v="EUR"/>
    <n v="1447480800"/>
    <n v="1448863200"/>
    <x v="639"/>
    <d v="2015-11-30T06:00:00"/>
    <s v="Sat"/>
    <n v="16"/>
    <b v="1"/>
    <b v="0"/>
    <s v="music/rock"/>
    <x v="1"/>
    <x v="1"/>
  </r>
  <r>
    <n v="696"/>
    <s v="Lopez, Reid and Johnson"/>
    <s v="Total real-time hardware"/>
    <n v="164100"/>
    <n v="96888"/>
    <n v="0.59042047531992692"/>
    <n v="0.50551920620886137"/>
    <x v="0"/>
    <n v="889"/>
    <n v="108.98537682789652"/>
    <x v="1"/>
    <s v="USD"/>
    <n v="1429506000"/>
    <n v="1429592400"/>
    <x v="640"/>
    <d v="2015-04-21T05:00:00"/>
    <s v="Mon"/>
    <n v="1"/>
    <b v="0"/>
    <b v="1"/>
    <s v="theater/plays"/>
    <x v="3"/>
    <x v="3"/>
  </r>
  <r>
    <n v="697"/>
    <s v="Fox-Williams"/>
    <s v="Profound system-worthy functionalities"/>
    <n v="128900"/>
    <n v="196960"/>
    <n v="1.5280062063615205"/>
    <n v="2.1230434782608696"/>
    <x v="1"/>
    <n v="7295"/>
    <n v="26.999314599040439"/>
    <x v="1"/>
    <s v="USD"/>
    <n v="1522472400"/>
    <n v="1522645200"/>
    <x v="641"/>
    <d v="2018-04-02T05:00:00"/>
    <s v="Sat"/>
    <n v="2"/>
    <b v="0"/>
    <b v="0"/>
    <s v="music/electric music"/>
    <x v="1"/>
    <x v="5"/>
  </r>
  <r>
    <n v="698"/>
    <s v="Taylor, Wood and Taylor"/>
    <s v="Cloned hybrid focus group"/>
    <n v="42100"/>
    <n v="188057"/>
    <n v="4.466912114014252"/>
    <n v="2.1230434782608696"/>
    <x v="1"/>
    <n v="2893"/>
    <n v="65.004147943311438"/>
    <x v="0"/>
    <s v="CAD"/>
    <n v="1322114400"/>
    <n v="1323324000"/>
    <x v="642"/>
    <d v="2011-12-08T06:00:00"/>
    <s v="Thu"/>
    <n v="14"/>
    <b v="0"/>
    <b v="0"/>
    <s v="technology/wearables"/>
    <x v="2"/>
    <x v="8"/>
  </r>
  <r>
    <n v="699"/>
    <s v="King Inc"/>
    <s v="Ergonomic dedicated focus group"/>
    <n v="7400"/>
    <n v="6245"/>
    <n v="0.8439189189189189"/>
    <n v="0.50551920620886137"/>
    <x v="0"/>
    <n v="56"/>
    <n v="111.51785714285714"/>
    <x v="1"/>
    <s v="USD"/>
    <n v="1561438800"/>
    <n v="1561525200"/>
    <x v="230"/>
    <d v="2019-06-26T05:00:00"/>
    <s v="Tue"/>
    <n v="1"/>
    <b v="0"/>
    <b v="0"/>
    <s v="film &amp; video/drama"/>
    <x v="4"/>
    <x v="6"/>
  </r>
  <r>
    <n v="700"/>
    <s v="Cole, Petty and Cameron"/>
    <s v="Realigned zero administration paradigm"/>
    <n v="100"/>
    <n v="3"/>
    <n v="0.03"/>
    <n v="0.50551920620886137"/>
    <x v="0"/>
    <n v="1"/>
    <n v="3"/>
    <x v="1"/>
    <s v="USD"/>
    <n v="1264399200"/>
    <n v="1265695200"/>
    <x v="67"/>
    <d v="2010-02-09T06:00:00"/>
    <s v="Mon"/>
    <n v="15"/>
    <b v="0"/>
    <b v="0"/>
    <s v="technology/wearables"/>
    <x v="2"/>
    <x v="8"/>
  </r>
  <r>
    <n v="701"/>
    <s v="Mcclain LLC"/>
    <s v="Open-source multi-tasking methodology"/>
    <n v="52000"/>
    <n v="91014"/>
    <n v="1.7502692307692307"/>
    <n v="2.1230434782608696"/>
    <x v="1"/>
    <n v="820"/>
    <n v="110.99268292682927"/>
    <x v="1"/>
    <s v="USD"/>
    <n v="1301202000"/>
    <n v="1301806800"/>
    <x v="643"/>
    <d v="2011-04-03T05:00:00"/>
    <s v="Sun"/>
    <n v="7"/>
    <b v="1"/>
    <b v="0"/>
    <s v="theater/plays"/>
    <x v="3"/>
    <x v="3"/>
  </r>
  <r>
    <n v="702"/>
    <s v="Sims-Gross"/>
    <s v="Object-based attitude-oriented analyzer"/>
    <n v="8700"/>
    <n v="4710"/>
    <n v="0.54137931034482756"/>
    <n v="0.50551920620886137"/>
    <x v="0"/>
    <n v="83"/>
    <n v="56.746987951807228"/>
    <x v="1"/>
    <s v="USD"/>
    <n v="1374469200"/>
    <n v="1374901200"/>
    <x v="644"/>
    <d v="2013-07-27T05:00:00"/>
    <s v="Mon"/>
    <n v="5"/>
    <b v="0"/>
    <b v="0"/>
    <s v="technology/wearables"/>
    <x v="2"/>
    <x v="8"/>
  </r>
  <r>
    <n v="703"/>
    <s v="Perez Group"/>
    <s v="Cross-platform tertiary hub"/>
    <n v="63400"/>
    <n v="197728"/>
    <n v="3.1187381703470032"/>
    <n v="2.1230434782608696"/>
    <x v="1"/>
    <n v="2038"/>
    <n v="97.020608439646708"/>
    <x v="1"/>
    <s v="USD"/>
    <n v="1334984400"/>
    <n v="1336453200"/>
    <x v="645"/>
    <d v="2012-05-08T05:00:00"/>
    <s v="Sat"/>
    <n v="17"/>
    <b v="1"/>
    <b v="1"/>
    <s v="publishing/translations"/>
    <x v="5"/>
    <x v="18"/>
  </r>
  <r>
    <n v="704"/>
    <s v="Haynes-Williams"/>
    <s v="Seamless clear-thinking artificial intelligence"/>
    <n v="8700"/>
    <n v="10682"/>
    <n v="1.2278160919540231"/>
    <n v="2.1230434782608696"/>
    <x v="1"/>
    <n v="116"/>
    <n v="92.08620689655173"/>
    <x v="1"/>
    <s v="USD"/>
    <n v="1467608400"/>
    <n v="1468904400"/>
    <x v="646"/>
    <d v="2016-07-19T05:00:00"/>
    <s v="Mon"/>
    <n v="15"/>
    <b v="0"/>
    <b v="0"/>
    <s v="film &amp; video/animation"/>
    <x v="4"/>
    <x v="10"/>
  </r>
  <r>
    <n v="705"/>
    <s v="Ford LLC"/>
    <s v="Centralized tangible success"/>
    <n v="169700"/>
    <n v="168048"/>
    <n v="0.99026517383618151"/>
    <n v="0.50551920620886137"/>
    <x v="0"/>
    <n v="2025"/>
    <n v="82.986666666666665"/>
    <x v="4"/>
    <s v="GBP"/>
    <n v="1386741600"/>
    <n v="1387087200"/>
    <x v="626"/>
    <d v="2013-12-15T06:00:00"/>
    <s v="Wed"/>
    <n v="4"/>
    <b v="0"/>
    <b v="0"/>
    <s v="publishing/nonfiction"/>
    <x v="5"/>
    <x v="9"/>
  </r>
  <r>
    <n v="706"/>
    <s v="Moreno Ltd"/>
    <s v="Customer-focused multimedia methodology"/>
    <n v="108400"/>
    <n v="138586"/>
    <n v="1.278468634686347"/>
    <n v="2.1230434782608696"/>
    <x v="1"/>
    <n v="1345"/>
    <n v="103.03791821561339"/>
    <x v="2"/>
    <s v="AUD"/>
    <n v="1546754400"/>
    <n v="1547445600"/>
    <x v="647"/>
    <d v="2019-01-14T06:00:00"/>
    <s v="Sun"/>
    <n v="8"/>
    <b v="0"/>
    <b v="1"/>
    <s v="technology/web"/>
    <x v="2"/>
    <x v="2"/>
  </r>
  <r>
    <n v="707"/>
    <s v="Moore, Cook and Wright"/>
    <s v="Visionary maximized Local Area Network"/>
    <n v="7300"/>
    <n v="11579"/>
    <n v="1.5861643835616439"/>
    <n v="2.1230434782608696"/>
    <x v="1"/>
    <n v="168"/>
    <n v="68.922619047619051"/>
    <x v="1"/>
    <s v="USD"/>
    <n v="1544248800"/>
    <n v="1547359200"/>
    <x v="159"/>
    <d v="2019-01-13T06:00:00"/>
    <s v="Sat"/>
    <n v="36"/>
    <b v="0"/>
    <b v="0"/>
    <s v="film &amp; video/drama"/>
    <x v="4"/>
    <x v="6"/>
  </r>
  <r>
    <n v="708"/>
    <s v="Ortega LLC"/>
    <s v="Secured bifurcated intranet"/>
    <n v="1700"/>
    <n v="12020"/>
    <n v="7.0705882352941174"/>
    <n v="2.1230434782608696"/>
    <x v="1"/>
    <n v="137"/>
    <n v="87.737226277372258"/>
    <x v="5"/>
    <s v="CHF"/>
    <n v="1495429200"/>
    <n v="1496293200"/>
    <x v="648"/>
    <d v="2017-06-01T05:00:00"/>
    <s v="Mon"/>
    <n v="10"/>
    <b v="0"/>
    <b v="0"/>
    <s v="theater/plays"/>
    <x v="3"/>
    <x v="3"/>
  </r>
  <r>
    <n v="709"/>
    <s v="Silva, Walker and Martin"/>
    <s v="Grass-roots 4thgeneration product"/>
    <n v="9800"/>
    <n v="13954"/>
    <n v="1.4238775510204082"/>
    <n v="2.1230434782608696"/>
    <x v="1"/>
    <n v="186"/>
    <n v="75.021505376344081"/>
    <x v="6"/>
    <s v="EUR"/>
    <n v="1334811600"/>
    <n v="1335416400"/>
    <x v="267"/>
    <d v="2012-04-26T05:00:00"/>
    <s v="Thu"/>
    <n v="7"/>
    <b v="0"/>
    <b v="0"/>
    <s v="theater/plays"/>
    <x v="3"/>
    <x v="3"/>
  </r>
  <r>
    <n v="710"/>
    <s v="Huynh, Gallegos and Mills"/>
    <s v="Reduced next generation info-mediaries"/>
    <n v="4300"/>
    <n v="6358"/>
    <n v="1.4786046511627906"/>
    <n v="2.1230434782608696"/>
    <x v="1"/>
    <n v="125"/>
    <n v="50.863999999999997"/>
    <x v="1"/>
    <s v="USD"/>
    <n v="1531544400"/>
    <n v="1532149200"/>
    <x v="649"/>
    <d v="2018-07-21T05:00:00"/>
    <s v="Sat"/>
    <n v="7"/>
    <b v="0"/>
    <b v="1"/>
    <s v="theater/plays"/>
    <x v="3"/>
    <x v="3"/>
  </r>
  <r>
    <n v="711"/>
    <s v="Anderson LLC"/>
    <s v="Customizable full-range artificial intelligence"/>
    <n v="6200"/>
    <n v="1260"/>
    <n v="0.20322580645161289"/>
    <n v="0.50551920620886137"/>
    <x v="0"/>
    <n v="14"/>
    <n v="90"/>
    <x v="6"/>
    <s v="EUR"/>
    <n v="1453615200"/>
    <n v="1453788000"/>
    <x v="248"/>
    <d v="2016-01-26T06:00:00"/>
    <s v="Sun"/>
    <n v="2"/>
    <b v="1"/>
    <b v="1"/>
    <s v="theater/plays"/>
    <x v="3"/>
    <x v="3"/>
  </r>
  <r>
    <n v="712"/>
    <s v="Garza-Bryant"/>
    <s v="Programmable leadingedge contingency"/>
    <n v="800"/>
    <n v="14725"/>
    <n v="18.40625"/>
    <n v="2.1230434782608696"/>
    <x v="1"/>
    <n v="202"/>
    <n v="72.896039603960389"/>
    <x v="1"/>
    <s v="USD"/>
    <n v="1467954000"/>
    <n v="1471496400"/>
    <x v="571"/>
    <d v="2016-08-18T05:00:00"/>
    <s v="Fri"/>
    <n v="41"/>
    <b v="0"/>
    <b v="0"/>
    <s v="theater/plays"/>
    <x v="3"/>
    <x v="3"/>
  </r>
  <r>
    <n v="713"/>
    <s v="Mays LLC"/>
    <s v="Multi-layered global groupware"/>
    <n v="6900"/>
    <n v="11174"/>
    <n v="1.6194202898550725"/>
    <n v="2.1230434782608696"/>
    <x v="1"/>
    <n v="103"/>
    <n v="108.48543689320388"/>
    <x v="1"/>
    <s v="USD"/>
    <n v="1471842000"/>
    <n v="1472878800"/>
    <x v="650"/>
    <d v="2016-09-03T05:00:00"/>
    <s v="Mon"/>
    <n v="12"/>
    <b v="0"/>
    <b v="0"/>
    <s v="publishing/radio &amp; podcasts"/>
    <x v="5"/>
    <x v="15"/>
  </r>
  <r>
    <n v="714"/>
    <s v="Evans-Jones"/>
    <s v="Switchable methodical superstructure"/>
    <n v="38500"/>
    <n v="182036"/>
    <n v="4.7282077922077921"/>
    <n v="2.1230434782608696"/>
    <x v="1"/>
    <n v="1785"/>
    <n v="101.98095238095237"/>
    <x v="1"/>
    <s v="USD"/>
    <n v="1408424400"/>
    <n v="1408510800"/>
    <x v="1"/>
    <d v="2014-08-20T05:00:00"/>
    <s v="Tue"/>
    <n v="1"/>
    <b v="0"/>
    <b v="0"/>
    <s v="music/rock"/>
    <x v="1"/>
    <x v="1"/>
  </r>
  <r>
    <n v="715"/>
    <s v="Fischer, Torres and Walker"/>
    <s v="Expanded even-keeled portal"/>
    <n v="118000"/>
    <n v="28870"/>
    <n v="0.24466101694915254"/>
    <n v="0.50551920620886137"/>
    <x v="0"/>
    <n v="656"/>
    <n v="44.009146341463413"/>
    <x v="1"/>
    <s v="USD"/>
    <n v="1281157200"/>
    <n v="1281589200"/>
    <x v="651"/>
    <d v="2010-08-12T05:00:00"/>
    <s v="Sat"/>
    <n v="5"/>
    <b v="0"/>
    <b v="0"/>
    <s v="games/mobile games"/>
    <x v="6"/>
    <x v="20"/>
  </r>
  <r>
    <n v="716"/>
    <s v="Tapia, Kramer and Hicks"/>
    <s v="Advanced modular moderator"/>
    <n v="2000"/>
    <n v="10353"/>
    <n v="5.1764999999999999"/>
    <n v="2.1230434782608696"/>
    <x v="1"/>
    <n v="157"/>
    <n v="65.942675159235662"/>
    <x v="1"/>
    <s v="USD"/>
    <n v="1373432400"/>
    <n v="1375851600"/>
    <x v="652"/>
    <d v="2013-08-07T05:00:00"/>
    <s v="Wed"/>
    <n v="28"/>
    <b v="0"/>
    <b v="1"/>
    <s v="theater/plays"/>
    <x v="3"/>
    <x v="3"/>
  </r>
  <r>
    <n v="717"/>
    <s v="Barnes, Wilcox and Riley"/>
    <s v="Reverse-engineered well-modulated ability"/>
    <n v="5600"/>
    <n v="13868"/>
    <n v="2.4764285714285714"/>
    <n v="2.1230434782608696"/>
    <x v="1"/>
    <n v="555"/>
    <n v="24.987387387387386"/>
    <x v="1"/>
    <s v="USD"/>
    <n v="1313989200"/>
    <n v="1315803600"/>
    <x v="653"/>
    <d v="2011-09-12T05:00:00"/>
    <s v="Mon"/>
    <n v="21"/>
    <b v="0"/>
    <b v="0"/>
    <s v="film &amp; video/documentary"/>
    <x v="4"/>
    <x v="4"/>
  </r>
  <r>
    <n v="718"/>
    <s v="Reyes PLC"/>
    <s v="Expanded optimal pricing structure"/>
    <n v="8300"/>
    <n v="8317"/>
    <n v="1.0020481927710843"/>
    <n v="2.1230434782608696"/>
    <x v="1"/>
    <n v="297"/>
    <n v="28.003367003367003"/>
    <x v="1"/>
    <s v="USD"/>
    <n v="1371445200"/>
    <n v="1373691600"/>
    <x v="654"/>
    <d v="2013-07-13T05:00:00"/>
    <s v="Mon"/>
    <n v="26"/>
    <b v="0"/>
    <b v="0"/>
    <s v="technology/wearables"/>
    <x v="2"/>
    <x v="8"/>
  </r>
  <r>
    <n v="719"/>
    <s v="Pace, Simpson and Watkins"/>
    <s v="Down-sized uniform ability"/>
    <n v="6900"/>
    <n v="10557"/>
    <n v="1.53"/>
    <n v="2.1230434782608696"/>
    <x v="1"/>
    <n v="123"/>
    <n v="85.829268292682926"/>
    <x v="1"/>
    <s v="USD"/>
    <n v="1338267600"/>
    <n v="1339218000"/>
    <x v="655"/>
    <d v="2012-06-09T05:00:00"/>
    <s v="Tue"/>
    <n v="11"/>
    <b v="0"/>
    <b v="0"/>
    <s v="publishing/fiction"/>
    <x v="5"/>
    <x v="13"/>
  </r>
  <r>
    <n v="720"/>
    <s v="Valenzuela, Davidson and Castro"/>
    <s v="Multi-layered upward-trending conglomeration"/>
    <n v="8700"/>
    <n v="3227"/>
    <n v="0.37091954022988505"/>
    <n v="0.43241247264770238"/>
    <x v="3"/>
    <n v="38"/>
    <n v="84.921052631578945"/>
    <x v="3"/>
    <s v="DKK"/>
    <n v="1519192800"/>
    <n v="1520402400"/>
    <x v="656"/>
    <d v="2018-03-07T06:00:00"/>
    <s v="Wed"/>
    <n v="14"/>
    <b v="0"/>
    <b v="1"/>
    <s v="theater/plays"/>
    <x v="3"/>
    <x v="3"/>
  </r>
  <r>
    <n v="721"/>
    <s v="Dominguez-Owens"/>
    <s v="Open-architected systematic intranet"/>
    <n v="123600"/>
    <n v="5429"/>
    <n v="4.3923948220064728E-2"/>
    <n v="0.43241247264770238"/>
    <x v="3"/>
    <n v="60"/>
    <n v="90.483333333333334"/>
    <x v="1"/>
    <s v="USD"/>
    <n v="1522818000"/>
    <n v="1523336400"/>
    <x v="657"/>
    <d v="2018-04-10T05:00:00"/>
    <s v="Wed"/>
    <n v="6"/>
    <b v="0"/>
    <b v="0"/>
    <s v="music/rock"/>
    <x v="1"/>
    <x v="1"/>
  </r>
  <r>
    <n v="722"/>
    <s v="Thomas-Simmons"/>
    <s v="Proactive 24hour frame"/>
    <n v="48500"/>
    <n v="75906"/>
    <n v="1.5650721649484536"/>
    <n v="2.1230434782608696"/>
    <x v="1"/>
    <n v="3036"/>
    <n v="25.00197628458498"/>
    <x v="1"/>
    <s v="USD"/>
    <n v="1509948000"/>
    <n v="1512280800"/>
    <x v="265"/>
    <d v="2017-12-03T06:00:00"/>
    <s v="Mon"/>
    <n v="27"/>
    <b v="0"/>
    <b v="0"/>
    <s v="film &amp; video/documentary"/>
    <x v="4"/>
    <x v="4"/>
  </r>
  <r>
    <n v="723"/>
    <s v="Beck-Knight"/>
    <s v="Exclusive fresh-thinking model"/>
    <n v="4900"/>
    <n v="13250"/>
    <n v="2.704081632653061"/>
    <n v="2.1230434782608696"/>
    <x v="1"/>
    <n v="144"/>
    <n v="92.013888888888886"/>
    <x v="2"/>
    <s v="AUD"/>
    <n v="1456898400"/>
    <n v="1458709200"/>
    <x v="658"/>
    <d v="2016-03-23T05:00:00"/>
    <s v="Wed"/>
    <n v="21"/>
    <b v="0"/>
    <b v="0"/>
    <s v="theater/plays"/>
    <x v="3"/>
    <x v="3"/>
  </r>
  <r>
    <n v="724"/>
    <s v="Mccoy Ltd"/>
    <s v="Business-focused encompassing intranet"/>
    <n v="8400"/>
    <n v="11261"/>
    <n v="1.3405952380952382"/>
    <n v="2.1230434782608696"/>
    <x v="1"/>
    <n v="121"/>
    <n v="93.066115702479337"/>
    <x v="4"/>
    <s v="GBP"/>
    <n v="1413954000"/>
    <n v="1414126800"/>
    <x v="659"/>
    <d v="2014-10-24T05:00:00"/>
    <s v="Wed"/>
    <n v="2"/>
    <b v="0"/>
    <b v="1"/>
    <s v="theater/plays"/>
    <x v="3"/>
    <x v="3"/>
  </r>
  <r>
    <n v="725"/>
    <s v="Dawson-Tyler"/>
    <s v="Optional 6thgeneration access"/>
    <n v="193200"/>
    <n v="97369"/>
    <n v="0.50398033126293995"/>
    <n v="0.50551920620886137"/>
    <x v="0"/>
    <n v="1596"/>
    <n v="61.008145363408524"/>
    <x v="1"/>
    <s v="USD"/>
    <n v="1416031200"/>
    <n v="1416204000"/>
    <x v="660"/>
    <d v="2014-11-17T06:00:00"/>
    <s v="Sat"/>
    <n v="2"/>
    <b v="0"/>
    <b v="0"/>
    <s v="games/mobile games"/>
    <x v="6"/>
    <x v="20"/>
  </r>
  <r>
    <n v="726"/>
    <s v="Johns-Thomas"/>
    <s v="Realigned web-enabled functionalities"/>
    <n v="54300"/>
    <n v="48227"/>
    <n v="0.88815837937384901"/>
    <n v="0.43241247264770238"/>
    <x v="3"/>
    <n v="524"/>
    <n v="92.036259541984734"/>
    <x v="1"/>
    <s v="USD"/>
    <n v="1287982800"/>
    <n v="1288501200"/>
    <x v="661"/>
    <d v="2010-10-31T05:00:00"/>
    <s v="Mon"/>
    <n v="6"/>
    <b v="0"/>
    <b v="1"/>
    <s v="theater/plays"/>
    <x v="3"/>
    <x v="3"/>
  </r>
  <r>
    <n v="727"/>
    <s v="Quinn, Cruz and Schmidt"/>
    <s v="Enterprise-wide multimedia software"/>
    <n v="8900"/>
    <n v="14685"/>
    <n v="1.65"/>
    <n v="2.1230434782608696"/>
    <x v="1"/>
    <n v="181"/>
    <n v="81.132596685082873"/>
    <x v="1"/>
    <s v="USD"/>
    <n v="1547964000"/>
    <n v="1552971600"/>
    <x v="4"/>
    <d v="2019-03-19T05:00:00"/>
    <s v="Sun"/>
    <n v="58"/>
    <b v="0"/>
    <b v="0"/>
    <s v="technology/web"/>
    <x v="2"/>
    <x v="2"/>
  </r>
  <r>
    <n v="728"/>
    <s v="Stewart Inc"/>
    <s v="Versatile mission-critical knowledgebase"/>
    <n v="4200"/>
    <n v="735"/>
    <n v="0.17499999999999999"/>
    <n v="0.50551920620886137"/>
    <x v="0"/>
    <n v="10"/>
    <n v="73.5"/>
    <x v="1"/>
    <s v="USD"/>
    <n v="1464152400"/>
    <n v="1465102800"/>
    <x v="662"/>
    <d v="2016-06-05T05:00:00"/>
    <s v="Wed"/>
    <n v="11"/>
    <b v="0"/>
    <b v="0"/>
    <s v="theater/plays"/>
    <x v="3"/>
    <x v="3"/>
  </r>
  <r>
    <n v="729"/>
    <s v="Moore Group"/>
    <s v="Multi-lateral object-oriented open system"/>
    <n v="5600"/>
    <n v="10397"/>
    <n v="1.8566071428571429"/>
    <n v="2.1230434782608696"/>
    <x v="1"/>
    <n v="122"/>
    <n v="85.221311475409834"/>
    <x v="1"/>
    <s v="USD"/>
    <n v="1359957600"/>
    <n v="1360130400"/>
    <x v="663"/>
    <d v="2013-02-06T06:00:00"/>
    <s v="Mon"/>
    <n v="2"/>
    <b v="0"/>
    <b v="0"/>
    <s v="film &amp; video/drama"/>
    <x v="4"/>
    <x v="6"/>
  </r>
  <r>
    <n v="730"/>
    <s v="Carson PLC"/>
    <s v="Visionary system-worthy attitude"/>
    <n v="28800"/>
    <n v="118847"/>
    <n v="4.1266319444444441"/>
    <n v="2.1230434782608696"/>
    <x v="1"/>
    <n v="1071"/>
    <n v="110.96825396825396"/>
    <x v="0"/>
    <s v="CAD"/>
    <n v="1432357200"/>
    <n v="1432875600"/>
    <x v="664"/>
    <d v="2015-05-29T05:00:00"/>
    <s v="Sat"/>
    <n v="6"/>
    <b v="0"/>
    <b v="0"/>
    <s v="technology/wearables"/>
    <x v="2"/>
    <x v="8"/>
  </r>
  <r>
    <n v="731"/>
    <s v="Cruz, Hall and Mason"/>
    <s v="Synergized content-based hierarchy"/>
    <n v="8000"/>
    <n v="7220"/>
    <n v="0.90249999999999997"/>
    <n v="0.43241247264770238"/>
    <x v="3"/>
    <n v="219"/>
    <n v="32.968036529680369"/>
    <x v="1"/>
    <s v="USD"/>
    <n v="1500786000"/>
    <n v="1500872400"/>
    <x v="665"/>
    <d v="2017-07-24T05:00:00"/>
    <s v="Sun"/>
    <n v="1"/>
    <b v="0"/>
    <b v="0"/>
    <s v="technology/web"/>
    <x v="2"/>
    <x v="2"/>
  </r>
  <r>
    <n v="732"/>
    <s v="Glass, Baker and Jones"/>
    <s v="Business-focused 24hour access"/>
    <n v="117000"/>
    <n v="107622"/>
    <n v="0.91984615384615387"/>
    <n v="0.50551920620886137"/>
    <x v="0"/>
    <n v="1121"/>
    <n v="96.005352363960753"/>
    <x v="1"/>
    <s v="USD"/>
    <n v="1490158800"/>
    <n v="1492146000"/>
    <x v="666"/>
    <d v="2017-04-14T05:00:00"/>
    <s v="Wed"/>
    <n v="23"/>
    <b v="0"/>
    <b v="1"/>
    <s v="music/rock"/>
    <x v="1"/>
    <x v="1"/>
  </r>
  <r>
    <n v="733"/>
    <s v="Marquez-Kerr"/>
    <s v="Automated hybrid orchestration"/>
    <n v="15800"/>
    <n v="83267"/>
    <n v="5.2700632911392402"/>
    <n v="2.1230434782608696"/>
    <x v="1"/>
    <n v="980"/>
    <n v="84.96632653061225"/>
    <x v="1"/>
    <s v="USD"/>
    <n v="1406178000"/>
    <n v="1407301200"/>
    <x v="43"/>
    <d v="2014-08-06T05:00:00"/>
    <s v="Thu"/>
    <n v="13"/>
    <b v="0"/>
    <b v="0"/>
    <s v="music/metal"/>
    <x v="1"/>
    <x v="16"/>
  </r>
  <r>
    <n v="734"/>
    <s v="Stone PLC"/>
    <s v="Exclusive 5thgeneration leverage"/>
    <n v="4200"/>
    <n v="13404"/>
    <n v="3.1914285714285713"/>
    <n v="2.1230434782608696"/>
    <x v="1"/>
    <n v="536"/>
    <n v="25.007462686567163"/>
    <x v="1"/>
    <s v="USD"/>
    <n v="1485583200"/>
    <n v="1486620000"/>
    <x v="667"/>
    <d v="2017-02-09T06:00:00"/>
    <s v="Sat"/>
    <n v="12"/>
    <b v="0"/>
    <b v="1"/>
    <s v="theater/plays"/>
    <x v="3"/>
    <x v="3"/>
  </r>
  <r>
    <n v="735"/>
    <s v="Caldwell PLC"/>
    <s v="Grass-roots zero administration alliance"/>
    <n v="37100"/>
    <n v="131404"/>
    <n v="3.5418867924528303"/>
    <n v="2.1230434782608696"/>
    <x v="1"/>
    <n v="1991"/>
    <n v="65.998995479658461"/>
    <x v="1"/>
    <s v="USD"/>
    <n v="1459314000"/>
    <n v="1459918800"/>
    <x v="668"/>
    <d v="2016-04-06T05:00:00"/>
    <s v="Wed"/>
    <n v="7"/>
    <b v="0"/>
    <b v="0"/>
    <s v="photography/photography books"/>
    <x v="7"/>
    <x v="14"/>
  </r>
  <r>
    <n v="736"/>
    <s v="Silva-Hawkins"/>
    <s v="Proactive heuristic orchestration"/>
    <n v="7700"/>
    <n v="2533"/>
    <n v="0.32896103896103895"/>
    <n v="0.43241247264770238"/>
    <x v="3"/>
    <n v="29"/>
    <n v="87.34482758620689"/>
    <x v="1"/>
    <s v="USD"/>
    <n v="1424412000"/>
    <n v="1424757600"/>
    <x v="669"/>
    <d v="2015-02-24T06:00:00"/>
    <s v="Fri"/>
    <n v="4"/>
    <b v="0"/>
    <b v="0"/>
    <s v="publishing/nonfiction"/>
    <x v="5"/>
    <x v="9"/>
  </r>
  <r>
    <n v="737"/>
    <s v="Gardner Inc"/>
    <s v="Function-based systematic Graphical User Interface"/>
    <n v="3700"/>
    <n v="5028"/>
    <n v="1.358918918918919"/>
    <n v="2.1230434782608696"/>
    <x v="1"/>
    <n v="180"/>
    <n v="27.933333333333334"/>
    <x v="1"/>
    <s v="USD"/>
    <n v="1478844000"/>
    <n v="1479880800"/>
    <x v="670"/>
    <d v="2016-11-23T06:00:00"/>
    <s v="Fri"/>
    <n v="12"/>
    <b v="0"/>
    <b v="0"/>
    <s v="music/indie rock"/>
    <x v="1"/>
    <x v="7"/>
  </r>
  <r>
    <n v="738"/>
    <s v="Garcia Group"/>
    <s v="Extended zero administration software"/>
    <n v="74700"/>
    <n v="1557"/>
    <n v="2.0843373493975904E-2"/>
    <n v="0.50551920620886137"/>
    <x v="0"/>
    <n v="15"/>
    <n v="103.8"/>
    <x v="1"/>
    <s v="USD"/>
    <n v="1416117600"/>
    <n v="1418018400"/>
    <x v="671"/>
    <d v="2014-12-08T06:00:00"/>
    <s v="Sun"/>
    <n v="22"/>
    <b v="0"/>
    <b v="1"/>
    <s v="theater/plays"/>
    <x v="3"/>
    <x v="3"/>
  </r>
  <r>
    <n v="739"/>
    <s v="Meyer-Avila"/>
    <s v="Multi-tiered discrete support"/>
    <n v="10000"/>
    <n v="6100"/>
    <n v="0.61"/>
    <n v="0.50551920620886137"/>
    <x v="0"/>
    <n v="191"/>
    <n v="31.937172774869111"/>
    <x v="1"/>
    <s v="USD"/>
    <n v="1340946000"/>
    <n v="1341032400"/>
    <x v="672"/>
    <d v="2012-06-30T05:00:00"/>
    <s v="Fri"/>
    <n v="1"/>
    <b v="0"/>
    <b v="0"/>
    <s v="music/indie rock"/>
    <x v="1"/>
    <x v="7"/>
  </r>
  <r>
    <n v="740"/>
    <s v="Nelson, Smith and Graham"/>
    <s v="Phased system-worthy conglomeration"/>
    <n v="5300"/>
    <n v="1592"/>
    <n v="0.30037735849056602"/>
    <n v="0.50551920620886137"/>
    <x v="0"/>
    <n v="16"/>
    <n v="99.5"/>
    <x v="1"/>
    <s v="USD"/>
    <n v="1486101600"/>
    <n v="1486360800"/>
    <x v="673"/>
    <d v="2017-02-06T06:00:00"/>
    <s v="Fri"/>
    <n v="3"/>
    <b v="0"/>
    <b v="0"/>
    <s v="theater/plays"/>
    <x v="3"/>
    <x v="3"/>
  </r>
  <r>
    <n v="741"/>
    <s v="Garcia Ltd"/>
    <s v="Balanced mobile alliance"/>
    <n v="1200"/>
    <n v="14150"/>
    <n v="11.791666666666666"/>
    <n v="2.1230434782608696"/>
    <x v="1"/>
    <n v="130"/>
    <n v="108.84615384615384"/>
    <x v="1"/>
    <s v="USD"/>
    <n v="1274590800"/>
    <n v="1274677200"/>
    <x v="674"/>
    <d v="2010-05-24T05:00:00"/>
    <s v="Sun"/>
    <n v="1"/>
    <b v="0"/>
    <b v="0"/>
    <s v="theater/plays"/>
    <x v="3"/>
    <x v="3"/>
  </r>
  <r>
    <n v="742"/>
    <s v="West-Stevens"/>
    <s v="Reactive solution-oriented groupware"/>
    <n v="1200"/>
    <n v="13513"/>
    <n v="11.260833333333334"/>
    <n v="2.1230434782608696"/>
    <x v="1"/>
    <n v="122"/>
    <n v="110.76229508196721"/>
    <x v="1"/>
    <s v="USD"/>
    <n v="1263880800"/>
    <n v="1267509600"/>
    <x v="675"/>
    <d v="2010-03-02T06:00:00"/>
    <s v="Tue"/>
    <n v="42"/>
    <b v="0"/>
    <b v="0"/>
    <s v="music/electric music"/>
    <x v="1"/>
    <x v="5"/>
  </r>
  <r>
    <n v="743"/>
    <s v="Clark-Conrad"/>
    <s v="Exclusive bandwidth-monitored orchestration"/>
    <n v="3900"/>
    <n v="504"/>
    <n v="0.12923076923076923"/>
    <n v="0.50551920620886137"/>
    <x v="0"/>
    <n v="17"/>
    <n v="29.647058823529413"/>
    <x v="1"/>
    <s v="USD"/>
    <n v="1445403600"/>
    <n v="1445922000"/>
    <x v="676"/>
    <d v="2015-10-27T05:00:00"/>
    <s v="Wed"/>
    <n v="6"/>
    <b v="0"/>
    <b v="1"/>
    <s v="theater/plays"/>
    <x v="3"/>
    <x v="3"/>
  </r>
  <r>
    <n v="744"/>
    <s v="Fitzgerald Group"/>
    <s v="Intuitive exuding initiative"/>
    <n v="2000"/>
    <n v="14240"/>
    <n v="7.12"/>
    <n v="2.1230434782608696"/>
    <x v="1"/>
    <n v="140"/>
    <n v="101.71428571428571"/>
    <x v="1"/>
    <s v="USD"/>
    <n v="1533877200"/>
    <n v="1534050000"/>
    <x v="342"/>
    <d v="2018-08-12T05:00:00"/>
    <s v="Fri"/>
    <n v="2"/>
    <b v="0"/>
    <b v="1"/>
    <s v="theater/plays"/>
    <x v="3"/>
    <x v="3"/>
  </r>
  <r>
    <n v="745"/>
    <s v="Hill, Mccann and Moore"/>
    <s v="Streamlined needs-based knowledge user"/>
    <n v="6900"/>
    <n v="2091"/>
    <n v="0.30304347826086958"/>
    <n v="0.50551920620886137"/>
    <x v="0"/>
    <n v="34"/>
    <n v="61.5"/>
    <x v="1"/>
    <s v="USD"/>
    <n v="1275195600"/>
    <n v="1277528400"/>
    <x v="677"/>
    <d v="2010-06-26T05:00:00"/>
    <s v="Sun"/>
    <n v="27"/>
    <b v="0"/>
    <b v="0"/>
    <s v="technology/wearables"/>
    <x v="2"/>
    <x v="8"/>
  </r>
  <r>
    <n v="746"/>
    <s v="Edwards LLC"/>
    <s v="Automated system-worthy structure"/>
    <n v="55800"/>
    <n v="118580"/>
    <n v="2.1250896057347672"/>
    <n v="2.1230434782608696"/>
    <x v="1"/>
    <n v="3388"/>
    <n v="35"/>
    <x v="1"/>
    <s v="USD"/>
    <n v="1318136400"/>
    <n v="1318568400"/>
    <x v="678"/>
    <d v="2011-10-14T05:00:00"/>
    <s v="Sun"/>
    <n v="5"/>
    <b v="0"/>
    <b v="0"/>
    <s v="technology/web"/>
    <x v="2"/>
    <x v="2"/>
  </r>
  <r>
    <n v="747"/>
    <s v="Greer and Sons"/>
    <s v="Secured clear-thinking intranet"/>
    <n v="4900"/>
    <n v="11214"/>
    <n v="2.2885714285714287"/>
    <n v="2.1230434782608696"/>
    <x v="1"/>
    <n v="280"/>
    <n v="40.049999999999997"/>
    <x v="1"/>
    <s v="USD"/>
    <n v="1283403600"/>
    <n v="1284354000"/>
    <x v="679"/>
    <d v="2010-09-13T05:00:00"/>
    <s v="Thu"/>
    <n v="11"/>
    <b v="0"/>
    <b v="0"/>
    <s v="theater/plays"/>
    <x v="3"/>
    <x v="3"/>
  </r>
  <r>
    <n v="748"/>
    <s v="Martinez PLC"/>
    <s v="Cloned actuating architecture"/>
    <n v="194900"/>
    <n v="68137"/>
    <n v="0.34959979476654696"/>
    <n v="0.43241247264770238"/>
    <x v="3"/>
    <n v="614"/>
    <n v="110.97231270358306"/>
    <x v="1"/>
    <s v="USD"/>
    <n v="1267423200"/>
    <n v="1269579600"/>
    <x v="680"/>
    <d v="2010-03-26T05:00:00"/>
    <s v="Mon"/>
    <n v="25"/>
    <b v="0"/>
    <b v="1"/>
    <s v="film &amp; video/animation"/>
    <x v="4"/>
    <x v="10"/>
  </r>
  <r>
    <n v="749"/>
    <s v="Hunter-Logan"/>
    <s v="Down-sized needs-based task-force"/>
    <n v="8600"/>
    <n v="13527"/>
    <n v="1.5729069767441861"/>
    <n v="2.1230434782608696"/>
    <x v="1"/>
    <n v="366"/>
    <n v="36.959016393442624"/>
    <x v="6"/>
    <s v="EUR"/>
    <n v="1412744400"/>
    <n v="1413781200"/>
    <x v="681"/>
    <d v="2014-10-20T05:00:00"/>
    <s v="Wed"/>
    <n v="12"/>
    <b v="0"/>
    <b v="1"/>
    <s v="technology/wearables"/>
    <x v="2"/>
    <x v="8"/>
  </r>
  <r>
    <n v="750"/>
    <s v="Ramos and Sons"/>
    <s v="Extended responsive Internet solution"/>
    <n v="100"/>
    <n v="1"/>
    <n v="0.01"/>
    <n v="0.50551920620886137"/>
    <x v="0"/>
    <n v="1"/>
    <n v="1"/>
    <x v="4"/>
    <s v="GBP"/>
    <n v="1277960400"/>
    <n v="1280120400"/>
    <x v="682"/>
    <d v="2010-07-26T05:00:00"/>
    <s v="Thu"/>
    <n v="25"/>
    <b v="0"/>
    <b v="0"/>
    <s v="music/electric music"/>
    <x v="1"/>
    <x v="5"/>
  </r>
  <r>
    <n v="751"/>
    <s v="Lane-Barber"/>
    <s v="Universal value-added moderator"/>
    <n v="3600"/>
    <n v="8363"/>
    <n v="2.3230555555555554"/>
    <n v="2.1230434782608696"/>
    <x v="1"/>
    <n v="270"/>
    <n v="30.974074074074075"/>
    <x v="1"/>
    <s v="USD"/>
    <n v="1458190800"/>
    <n v="1459486800"/>
    <x v="683"/>
    <d v="2016-04-01T05:00:00"/>
    <s v="Thu"/>
    <n v="15"/>
    <b v="1"/>
    <b v="1"/>
    <s v="publishing/nonfiction"/>
    <x v="5"/>
    <x v="9"/>
  </r>
  <r>
    <n v="752"/>
    <s v="Lowery Group"/>
    <s v="Sharable motivating emulation"/>
    <n v="5800"/>
    <n v="5362"/>
    <n v="0.92448275862068963"/>
    <n v="0.43241247264770238"/>
    <x v="3"/>
    <n v="114"/>
    <n v="47.035087719298247"/>
    <x v="1"/>
    <s v="USD"/>
    <n v="1280984400"/>
    <n v="1282539600"/>
    <x v="684"/>
    <d v="2010-08-23T05:00:00"/>
    <s v="Thu"/>
    <n v="18"/>
    <b v="0"/>
    <b v="1"/>
    <s v="theater/plays"/>
    <x v="3"/>
    <x v="3"/>
  </r>
  <r>
    <n v="753"/>
    <s v="Guerrero-Griffin"/>
    <s v="Networked web-enabled product"/>
    <n v="4700"/>
    <n v="12065"/>
    <n v="2.5670212765957445"/>
    <n v="2.1230434782608696"/>
    <x v="1"/>
    <n v="137"/>
    <n v="88.065693430656935"/>
    <x v="1"/>
    <s v="USD"/>
    <n v="1274590800"/>
    <n v="1275886800"/>
    <x v="674"/>
    <d v="2010-06-07T05:00:00"/>
    <s v="Sun"/>
    <n v="15"/>
    <b v="0"/>
    <b v="0"/>
    <s v="photography/photography books"/>
    <x v="7"/>
    <x v="14"/>
  </r>
  <r>
    <n v="754"/>
    <s v="Perez, Reed and Lee"/>
    <s v="Advanced dedicated encoding"/>
    <n v="70400"/>
    <n v="118603"/>
    <n v="1.6847017045454546"/>
    <n v="2.1230434782608696"/>
    <x v="1"/>
    <n v="3205"/>
    <n v="37.005616224648989"/>
    <x v="1"/>
    <s v="USD"/>
    <n v="1351400400"/>
    <n v="1355983200"/>
    <x v="685"/>
    <d v="2012-12-20T06:00:00"/>
    <s v="Sun"/>
    <n v="53"/>
    <b v="0"/>
    <b v="0"/>
    <s v="theater/plays"/>
    <x v="3"/>
    <x v="3"/>
  </r>
  <r>
    <n v="755"/>
    <s v="Chen, Pollard and Clarke"/>
    <s v="Stand-alone multi-state project"/>
    <n v="4500"/>
    <n v="7496"/>
    <n v="1.6657777777777778"/>
    <n v="2.1230434782608696"/>
    <x v="1"/>
    <n v="288"/>
    <n v="26.027777777777779"/>
    <x v="3"/>
    <s v="DKK"/>
    <n v="1514354400"/>
    <n v="1515391200"/>
    <x v="605"/>
    <d v="2018-01-08T06:00:00"/>
    <s v="Wed"/>
    <n v="12"/>
    <b v="0"/>
    <b v="1"/>
    <s v="theater/plays"/>
    <x v="3"/>
    <x v="3"/>
  </r>
  <r>
    <n v="756"/>
    <s v="Serrano, Gallagher and Griffith"/>
    <s v="Customizable bi-directional monitoring"/>
    <n v="1300"/>
    <n v="10037"/>
    <n v="7.7207692307692311"/>
    <n v="2.1230434782608696"/>
    <x v="1"/>
    <n v="148"/>
    <n v="67.817567567567565"/>
    <x v="1"/>
    <s v="USD"/>
    <n v="1421733600"/>
    <n v="1422252000"/>
    <x v="686"/>
    <d v="2015-01-26T06:00:00"/>
    <s v="Tue"/>
    <n v="6"/>
    <b v="0"/>
    <b v="0"/>
    <s v="theater/plays"/>
    <x v="3"/>
    <x v="3"/>
  </r>
  <r>
    <n v="757"/>
    <s v="Callahan-Gilbert"/>
    <s v="Profit-focused motivating function"/>
    <n v="1400"/>
    <n v="5696"/>
    <n v="4.0685714285714285"/>
    <n v="2.1230434782608696"/>
    <x v="1"/>
    <n v="114"/>
    <n v="49.964912280701753"/>
    <x v="1"/>
    <s v="USD"/>
    <n v="1305176400"/>
    <n v="1305522000"/>
    <x v="687"/>
    <d v="2011-05-16T05:00:00"/>
    <s v="Thu"/>
    <n v="4"/>
    <b v="0"/>
    <b v="0"/>
    <s v="film &amp; video/drama"/>
    <x v="4"/>
    <x v="6"/>
  </r>
  <r>
    <n v="758"/>
    <s v="Logan-Miranda"/>
    <s v="Proactive systemic firmware"/>
    <n v="29600"/>
    <n v="167005"/>
    <n v="5.6420608108108112"/>
    <n v="2.1230434782608696"/>
    <x v="1"/>
    <n v="1518"/>
    <n v="110.01646903820817"/>
    <x v="0"/>
    <s v="CAD"/>
    <n v="1414126800"/>
    <n v="1414904400"/>
    <x v="688"/>
    <d v="2014-11-02T05:00:00"/>
    <s v="Fri"/>
    <n v="9"/>
    <b v="0"/>
    <b v="0"/>
    <s v="music/rock"/>
    <x v="1"/>
    <x v="1"/>
  </r>
  <r>
    <n v="759"/>
    <s v="Rodriguez PLC"/>
    <s v="Grass-roots upward-trending installation"/>
    <n v="167500"/>
    <n v="114615"/>
    <n v="0.6842686567164179"/>
    <n v="0.50551920620886137"/>
    <x v="0"/>
    <n v="1274"/>
    <n v="89.964678178963894"/>
    <x v="1"/>
    <s v="USD"/>
    <n v="1517810400"/>
    <n v="1520402400"/>
    <x v="689"/>
    <d v="2018-03-07T06:00:00"/>
    <s v="Mon"/>
    <n v="30"/>
    <b v="0"/>
    <b v="0"/>
    <s v="music/electric music"/>
    <x v="1"/>
    <x v="5"/>
  </r>
  <r>
    <n v="760"/>
    <s v="Smith-Kennedy"/>
    <s v="Virtual heuristic hub"/>
    <n v="48300"/>
    <n v="16592"/>
    <n v="0.34351966873706002"/>
    <n v="0.50551920620886137"/>
    <x v="0"/>
    <n v="210"/>
    <n v="79.009523809523813"/>
    <x v="6"/>
    <s v="EUR"/>
    <n v="1564635600"/>
    <n v="1567141200"/>
    <x v="690"/>
    <d v="2019-08-30T05:00:00"/>
    <s v="Thu"/>
    <n v="29"/>
    <b v="0"/>
    <b v="1"/>
    <s v="games/video games"/>
    <x v="6"/>
    <x v="11"/>
  </r>
  <r>
    <n v="761"/>
    <s v="Mitchell-Lee"/>
    <s v="Customizable leadingedge model"/>
    <n v="2200"/>
    <n v="14420"/>
    <n v="6.5545454545454547"/>
    <n v="2.1230434782608696"/>
    <x v="1"/>
    <n v="166"/>
    <n v="86.867469879518069"/>
    <x v="1"/>
    <s v="USD"/>
    <n v="1500699600"/>
    <n v="1501131600"/>
    <x v="691"/>
    <d v="2017-07-27T05:00:00"/>
    <s v="Sat"/>
    <n v="5"/>
    <b v="0"/>
    <b v="0"/>
    <s v="music/rock"/>
    <x v="1"/>
    <x v="1"/>
  </r>
  <r>
    <n v="762"/>
    <s v="Davis Ltd"/>
    <s v="Upgradable uniform service-desk"/>
    <n v="3500"/>
    <n v="6204"/>
    <n v="1.7725714285714285"/>
    <n v="2.1230434782608696"/>
    <x v="1"/>
    <n v="100"/>
    <n v="62.04"/>
    <x v="2"/>
    <s v="AUD"/>
    <n v="1354082400"/>
    <n v="1355032800"/>
    <x v="692"/>
    <d v="2012-12-09T06:00:00"/>
    <s v="Wed"/>
    <n v="11"/>
    <b v="0"/>
    <b v="0"/>
    <s v="music/jazz"/>
    <x v="1"/>
    <x v="17"/>
  </r>
  <r>
    <n v="763"/>
    <s v="Rowland PLC"/>
    <s v="Inverse client-driven product"/>
    <n v="5600"/>
    <n v="6338"/>
    <n v="1.1317857142857144"/>
    <n v="2.1230434782608696"/>
    <x v="1"/>
    <n v="235"/>
    <n v="26.970212765957445"/>
    <x v="1"/>
    <s v="USD"/>
    <n v="1336453200"/>
    <n v="1339477200"/>
    <x v="693"/>
    <d v="2012-06-12T05:00:00"/>
    <s v="Tue"/>
    <n v="35"/>
    <b v="0"/>
    <b v="1"/>
    <s v="theater/plays"/>
    <x v="3"/>
    <x v="3"/>
  </r>
  <r>
    <n v="764"/>
    <s v="Shaffer-Mason"/>
    <s v="Managed bandwidth-monitored system engine"/>
    <n v="1100"/>
    <n v="8010"/>
    <n v="7.2818181818181822"/>
    <n v="2.1230434782608696"/>
    <x v="1"/>
    <n v="148"/>
    <n v="54.121621621621621"/>
    <x v="1"/>
    <s v="USD"/>
    <n v="1305262800"/>
    <n v="1305954000"/>
    <x v="694"/>
    <d v="2011-05-21T05:00:00"/>
    <s v="Fri"/>
    <n v="8"/>
    <b v="0"/>
    <b v="0"/>
    <s v="music/rock"/>
    <x v="1"/>
    <x v="1"/>
  </r>
  <r>
    <n v="765"/>
    <s v="Matthews LLC"/>
    <s v="Advanced transitional help-desk"/>
    <n v="3900"/>
    <n v="8125"/>
    <n v="2.0833333333333335"/>
    <n v="2.1230434782608696"/>
    <x v="1"/>
    <n v="198"/>
    <n v="41.035353535353536"/>
    <x v="1"/>
    <s v="USD"/>
    <n v="1492232400"/>
    <n v="1494392400"/>
    <x v="695"/>
    <d v="2017-05-10T05:00:00"/>
    <s v="Sat"/>
    <n v="25"/>
    <b v="1"/>
    <b v="1"/>
    <s v="music/indie rock"/>
    <x v="1"/>
    <x v="7"/>
  </r>
  <r>
    <n v="766"/>
    <s v="Montgomery-Castro"/>
    <s v="De-engineered disintermediate encryption"/>
    <n v="43800"/>
    <n v="13653"/>
    <n v="0.31171232876712329"/>
    <n v="0.50551920620886137"/>
    <x v="0"/>
    <n v="248"/>
    <n v="55.052419354838712"/>
    <x v="2"/>
    <s v="AUD"/>
    <n v="1537333200"/>
    <n v="1537419600"/>
    <x v="123"/>
    <d v="2018-09-20T05:00:00"/>
    <s v="Wed"/>
    <n v="1"/>
    <b v="0"/>
    <b v="0"/>
    <s v="film &amp; video/science fiction"/>
    <x v="4"/>
    <x v="22"/>
  </r>
  <r>
    <n v="767"/>
    <s v="Hale, Pearson and Jenkins"/>
    <s v="Upgradable attitude-oriented project"/>
    <n v="97200"/>
    <n v="55372"/>
    <n v="0.56967078189300413"/>
    <n v="0.50551920620886137"/>
    <x v="0"/>
    <n v="513"/>
    <n v="107.93762183235867"/>
    <x v="1"/>
    <s v="USD"/>
    <n v="1444107600"/>
    <n v="1447999200"/>
    <x v="696"/>
    <d v="2015-11-20T06:00:00"/>
    <s v="Tue"/>
    <n v="45"/>
    <b v="0"/>
    <b v="0"/>
    <s v="publishing/translations"/>
    <x v="5"/>
    <x v="18"/>
  </r>
  <r>
    <n v="768"/>
    <s v="Ramirez-Calderon"/>
    <s v="Fundamental zero tolerance alliance"/>
    <n v="4800"/>
    <n v="11088"/>
    <n v="2.31"/>
    <n v="2.1230434782608696"/>
    <x v="1"/>
    <n v="150"/>
    <n v="73.92"/>
    <x v="1"/>
    <s v="USD"/>
    <n v="1386741600"/>
    <n v="1388037600"/>
    <x v="626"/>
    <d v="2013-12-26T06:00:00"/>
    <s v="Wed"/>
    <n v="15"/>
    <b v="0"/>
    <b v="0"/>
    <s v="theater/plays"/>
    <x v="3"/>
    <x v="3"/>
  </r>
  <r>
    <n v="769"/>
    <s v="Johnson-Morales"/>
    <s v="Devolved 24hour forecast"/>
    <n v="125600"/>
    <n v="109106"/>
    <n v="0.86867834394904464"/>
    <n v="0.50551920620886137"/>
    <x v="0"/>
    <n v="3410"/>
    <n v="31.995894428152493"/>
    <x v="1"/>
    <s v="USD"/>
    <n v="1376542800"/>
    <n v="1378789200"/>
    <x v="697"/>
    <d v="2013-09-10T05:00:00"/>
    <s v="Thu"/>
    <n v="26"/>
    <b v="0"/>
    <b v="0"/>
    <s v="games/video games"/>
    <x v="6"/>
    <x v="11"/>
  </r>
  <r>
    <n v="770"/>
    <s v="Mathis-Rodriguez"/>
    <s v="User-centric attitude-oriented intranet"/>
    <n v="4300"/>
    <n v="11642"/>
    <n v="2.7074418604651163"/>
    <n v="2.1230434782608696"/>
    <x v="1"/>
    <n v="216"/>
    <n v="53.898148148148145"/>
    <x v="6"/>
    <s v="EUR"/>
    <n v="1397451600"/>
    <n v="1398056400"/>
    <x v="698"/>
    <d v="2014-04-21T05:00:00"/>
    <s v="Mon"/>
    <n v="7"/>
    <b v="0"/>
    <b v="1"/>
    <s v="theater/plays"/>
    <x v="3"/>
    <x v="3"/>
  </r>
  <r>
    <n v="771"/>
    <s v="Smith, Mack and Williams"/>
    <s v="Self-enabling 5thgeneration paradigm"/>
    <n v="5600"/>
    <n v="2769"/>
    <n v="0.49446428571428569"/>
    <n v="0.43241247264770238"/>
    <x v="3"/>
    <n v="26"/>
    <n v="106.5"/>
    <x v="1"/>
    <s v="USD"/>
    <n v="1548482400"/>
    <n v="1550815200"/>
    <x v="699"/>
    <d v="2019-02-22T06:00:00"/>
    <s v="Sat"/>
    <n v="27"/>
    <b v="0"/>
    <b v="0"/>
    <s v="theater/plays"/>
    <x v="3"/>
    <x v="3"/>
  </r>
  <r>
    <n v="772"/>
    <s v="Johnson-Pace"/>
    <s v="Persistent 3rdgeneration moratorium"/>
    <n v="149600"/>
    <n v="169586"/>
    <n v="1.1335962566844919"/>
    <n v="2.1230434782608696"/>
    <x v="1"/>
    <n v="5139"/>
    <n v="32.999805409612762"/>
    <x v="1"/>
    <s v="USD"/>
    <n v="1549692000"/>
    <n v="1550037600"/>
    <x v="700"/>
    <d v="2019-02-13T06:00:00"/>
    <s v="Sat"/>
    <n v="4"/>
    <b v="0"/>
    <b v="0"/>
    <s v="music/indie rock"/>
    <x v="1"/>
    <x v="7"/>
  </r>
  <r>
    <n v="773"/>
    <s v="Meza, Kirby and Patel"/>
    <s v="Cross-platform empowering project"/>
    <n v="53100"/>
    <n v="101185"/>
    <n v="1.9055555555555554"/>
    <n v="2.1230434782608696"/>
    <x v="1"/>
    <n v="2353"/>
    <n v="43.00254993625159"/>
    <x v="1"/>
    <s v="USD"/>
    <n v="1492059600"/>
    <n v="1492923600"/>
    <x v="701"/>
    <d v="2017-04-23T05:00:00"/>
    <s v="Thu"/>
    <n v="10"/>
    <b v="0"/>
    <b v="0"/>
    <s v="theater/plays"/>
    <x v="3"/>
    <x v="3"/>
  </r>
  <r>
    <n v="774"/>
    <s v="Gonzalez-Snow"/>
    <s v="Polarized user-facing interface"/>
    <n v="5000"/>
    <n v="6775"/>
    <n v="1.355"/>
    <n v="2.1230434782608696"/>
    <x v="1"/>
    <n v="78"/>
    <n v="86.858974358974365"/>
    <x v="6"/>
    <s v="EUR"/>
    <n v="1463979600"/>
    <n v="1467522000"/>
    <x v="702"/>
    <d v="2016-07-03T05:00:00"/>
    <s v="Mon"/>
    <n v="41"/>
    <b v="0"/>
    <b v="0"/>
    <s v="technology/web"/>
    <x v="2"/>
    <x v="2"/>
  </r>
  <r>
    <n v="775"/>
    <s v="Murphy LLC"/>
    <s v="Customer-focused non-volatile framework"/>
    <n v="9400"/>
    <n v="968"/>
    <n v="0.10297872340425532"/>
    <n v="0.50551920620886137"/>
    <x v="0"/>
    <n v="10"/>
    <n v="96.8"/>
    <x v="1"/>
    <s v="USD"/>
    <n v="1415253600"/>
    <n v="1416117600"/>
    <x v="703"/>
    <d v="2014-11-16T06:00:00"/>
    <s v="Thu"/>
    <n v="10"/>
    <b v="0"/>
    <b v="0"/>
    <s v="music/rock"/>
    <x v="1"/>
    <x v="1"/>
  </r>
  <r>
    <n v="776"/>
    <s v="Taylor-Rowe"/>
    <s v="Synchronized multimedia frame"/>
    <n v="110800"/>
    <n v="72623"/>
    <n v="0.65544223826714798"/>
    <n v="0.50551920620886137"/>
    <x v="0"/>
    <n v="2201"/>
    <n v="32.995456610631528"/>
    <x v="1"/>
    <s v="USD"/>
    <n v="1562216400"/>
    <n v="1563771600"/>
    <x v="704"/>
    <d v="2019-07-22T05:00:00"/>
    <s v="Thu"/>
    <n v="18"/>
    <b v="0"/>
    <b v="0"/>
    <s v="theater/plays"/>
    <x v="3"/>
    <x v="3"/>
  </r>
  <r>
    <n v="777"/>
    <s v="Henderson Ltd"/>
    <s v="Open-architected stable algorithm"/>
    <n v="93800"/>
    <n v="45987"/>
    <n v="0.49026652452025588"/>
    <n v="0.50551920620886137"/>
    <x v="0"/>
    <n v="676"/>
    <n v="68.028106508875737"/>
    <x v="1"/>
    <s v="USD"/>
    <n v="1316754000"/>
    <n v="1319259600"/>
    <x v="431"/>
    <d v="2011-10-22T05:00:00"/>
    <s v="Fri"/>
    <n v="29"/>
    <b v="0"/>
    <b v="0"/>
    <s v="theater/plays"/>
    <x v="3"/>
    <x v="3"/>
  </r>
  <r>
    <n v="778"/>
    <s v="Moss-Guzman"/>
    <s v="Cross-platform optimizing website"/>
    <n v="1300"/>
    <n v="10243"/>
    <n v="7.8792307692307695"/>
    <n v="2.1230434782608696"/>
    <x v="1"/>
    <n v="174"/>
    <n v="58.867816091954026"/>
    <x v="5"/>
    <s v="CHF"/>
    <n v="1313211600"/>
    <n v="1313643600"/>
    <x v="705"/>
    <d v="2011-08-18T05:00:00"/>
    <s v="Sat"/>
    <n v="5"/>
    <b v="0"/>
    <b v="0"/>
    <s v="film &amp; video/animation"/>
    <x v="4"/>
    <x v="10"/>
  </r>
  <r>
    <n v="779"/>
    <s v="Webb Group"/>
    <s v="Public-key actuating projection"/>
    <n v="108700"/>
    <n v="87293"/>
    <n v="0.80306347746090156"/>
    <n v="0.50551920620886137"/>
    <x v="0"/>
    <n v="831"/>
    <n v="105.04572803850782"/>
    <x v="1"/>
    <s v="USD"/>
    <n v="1439528400"/>
    <n v="1440306000"/>
    <x v="706"/>
    <d v="2015-08-23T05:00:00"/>
    <s v="Fri"/>
    <n v="9"/>
    <b v="0"/>
    <b v="1"/>
    <s v="theater/plays"/>
    <x v="3"/>
    <x v="3"/>
  </r>
  <r>
    <n v="780"/>
    <s v="Brooks-Rodriguez"/>
    <s v="Implemented intangible instruction set"/>
    <n v="5100"/>
    <n v="5421"/>
    <n v="1.0629411764705883"/>
    <n v="2.1230434782608696"/>
    <x v="1"/>
    <n v="164"/>
    <n v="33.054878048780488"/>
    <x v="1"/>
    <s v="USD"/>
    <n v="1469163600"/>
    <n v="1470805200"/>
    <x v="707"/>
    <d v="2016-08-10T05:00:00"/>
    <s v="Fri"/>
    <n v="19"/>
    <b v="0"/>
    <b v="1"/>
    <s v="film &amp; video/drama"/>
    <x v="4"/>
    <x v="6"/>
  </r>
  <r>
    <n v="781"/>
    <s v="Thomas Ltd"/>
    <s v="Cross-group interactive architecture"/>
    <n v="8700"/>
    <n v="4414"/>
    <n v="0.50735632183908042"/>
    <n v="0.43241247264770238"/>
    <x v="3"/>
    <n v="56"/>
    <n v="78.821428571428569"/>
    <x v="5"/>
    <s v="CHF"/>
    <n v="1288501200"/>
    <n v="1292911200"/>
    <x v="708"/>
    <d v="2010-12-21T06:00:00"/>
    <s v="Sun"/>
    <n v="51"/>
    <b v="0"/>
    <b v="0"/>
    <s v="theater/plays"/>
    <x v="3"/>
    <x v="3"/>
  </r>
  <r>
    <n v="782"/>
    <s v="Williams and Sons"/>
    <s v="Centralized asymmetric framework"/>
    <n v="5100"/>
    <n v="10981"/>
    <n v="2.153137254901961"/>
    <n v="2.1230434782608696"/>
    <x v="1"/>
    <n v="161"/>
    <n v="68.204968944099377"/>
    <x v="1"/>
    <s v="USD"/>
    <n v="1298959200"/>
    <n v="1301374800"/>
    <x v="709"/>
    <d v="2011-03-29T05:00:00"/>
    <s v="Tue"/>
    <n v="28"/>
    <b v="0"/>
    <b v="1"/>
    <s v="film &amp; video/animation"/>
    <x v="4"/>
    <x v="10"/>
  </r>
  <r>
    <n v="783"/>
    <s v="Vega, Chan and Carney"/>
    <s v="Down-sized systematic utilization"/>
    <n v="7400"/>
    <n v="10451"/>
    <n v="1.4122972972972974"/>
    <n v="2.1230434782608696"/>
    <x v="1"/>
    <n v="138"/>
    <n v="75.731884057971016"/>
    <x v="1"/>
    <s v="USD"/>
    <n v="1387260000"/>
    <n v="1387864800"/>
    <x v="710"/>
    <d v="2013-12-24T06:00:00"/>
    <s v="Tue"/>
    <n v="7"/>
    <b v="0"/>
    <b v="0"/>
    <s v="music/rock"/>
    <x v="1"/>
    <x v="1"/>
  </r>
  <r>
    <n v="784"/>
    <s v="Byrd Group"/>
    <s v="Profound fault-tolerant model"/>
    <n v="88900"/>
    <n v="102535"/>
    <n v="1.1533745781777278"/>
    <n v="2.1230434782608696"/>
    <x v="1"/>
    <n v="3308"/>
    <n v="30.996070133010882"/>
    <x v="1"/>
    <s v="USD"/>
    <n v="1457244000"/>
    <n v="1458190800"/>
    <x v="711"/>
    <d v="2016-03-17T05:00:00"/>
    <s v="Sun"/>
    <n v="11"/>
    <b v="0"/>
    <b v="0"/>
    <s v="technology/web"/>
    <x v="2"/>
    <x v="2"/>
  </r>
  <r>
    <n v="785"/>
    <s v="Peterson, Fletcher and Sanchez"/>
    <s v="Multi-channeled bi-directional moratorium"/>
    <n v="6700"/>
    <n v="12939"/>
    <n v="1.9311940298507462"/>
    <n v="2.1230434782608696"/>
    <x v="1"/>
    <n v="127"/>
    <n v="101.88188976377953"/>
    <x v="2"/>
    <s v="AUD"/>
    <n v="1556341200"/>
    <n v="1559278800"/>
    <x v="157"/>
    <d v="2019-05-31T05:00:00"/>
    <s v="Sat"/>
    <n v="34"/>
    <b v="0"/>
    <b v="1"/>
    <s v="film &amp; video/animation"/>
    <x v="4"/>
    <x v="10"/>
  </r>
  <r>
    <n v="786"/>
    <s v="Smith-Brown"/>
    <s v="Object-based content-based ability"/>
    <n v="1500"/>
    <n v="10946"/>
    <n v="7.2973333333333334"/>
    <n v="2.1230434782608696"/>
    <x v="1"/>
    <n v="207"/>
    <n v="52.879227053140099"/>
    <x v="6"/>
    <s v="EUR"/>
    <n v="1522126800"/>
    <n v="1522731600"/>
    <x v="630"/>
    <d v="2018-04-03T05:00:00"/>
    <s v="Tue"/>
    <n v="7"/>
    <b v="0"/>
    <b v="1"/>
    <s v="music/jazz"/>
    <x v="1"/>
    <x v="17"/>
  </r>
  <r>
    <n v="787"/>
    <s v="Vance-Glover"/>
    <s v="Progressive coherent secured line"/>
    <n v="61200"/>
    <n v="60994"/>
    <n v="0.99663398692810456"/>
    <n v="0.50551920620886137"/>
    <x v="0"/>
    <n v="859"/>
    <n v="71.005820721769496"/>
    <x v="0"/>
    <s v="CAD"/>
    <n v="1305954000"/>
    <n v="1306731600"/>
    <x v="712"/>
    <d v="2011-05-30T05:00:00"/>
    <s v="Sat"/>
    <n v="9"/>
    <b v="0"/>
    <b v="0"/>
    <s v="music/rock"/>
    <x v="1"/>
    <x v="1"/>
  </r>
  <r>
    <n v="788"/>
    <s v="Joyce PLC"/>
    <s v="Synchronized directional capability"/>
    <n v="3600"/>
    <n v="3174"/>
    <n v="0.88166666666666671"/>
    <n v="0.49522981646937392"/>
    <x v="2"/>
    <n v="31"/>
    <n v="102.38709677419355"/>
    <x v="1"/>
    <s v="USD"/>
    <n v="1350709200"/>
    <n v="1352527200"/>
    <x v="93"/>
    <d v="2012-11-10T06:00:00"/>
    <s v="Sat"/>
    <n v="21"/>
    <b v="0"/>
    <b v="0"/>
    <s v="film &amp; video/animation"/>
    <x v="4"/>
    <x v="10"/>
  </r>
  <r>
    <n v="789"/>
    <s v="Kennedy-Miller"/>
    <s v="Cross-platform composite migration"/>
    <n v="9000"/>
    <n v="3351"/>
    <n v="0.37233333333333335"/>
    <n v="0.50551920620886137"/>
    <x v="0"/>
    <n v="45"/>
    <n v="74.466666666666669"/>
    <x v="1"/>
    <s v="USD"/>
    <n v="1401166800"/>
    <n v="1404363600"/>
    <x v="713"/>
    <d v="2014-07-03T05:00:00"/>
    <s v="Tue"/>
    <n v="37"/>
    <b v="0"/>
    <b v="0"/>
    <s v="theater/plays"/>
    <x v="3"/>
    <x v="3"/>
  </r>
  <r>
    <n v="790"/>
    <s v="White-Obrien"/>
    <s v="Operative local pricing structure"/>
    <n v="185900"/>
    <n v="56774"/>
    <n v="0.30540075309306081"/>
    <n v="0.43241247264770238"/>
    <x v="3"/>
    <n v="1113"/>
    <n v="51.009883198562441"/>
    <x v="1"/>
    <s v="USD"/>
    <n v="1266127200"/>
    <n v="1266645600"/>
    <x v="714"/>
    <d v="2010-02-20T06:00:00"/>
    <s v="Sun"/>
    <n v="6"/>
    <b v="0"/>
    <b v="0"/>
    <s v="theater/plays"/>
    <x v="3"/>
    <x v="3"/>
  </r>
  <r>
    <n v="791"/>
    <s v="Stafford, Hess and Raymond"/>
    <s v="Optional web-enabled extranet"/>
    <n v="2100"/>
    <n v="540"/>
    <n v="0.25714285714285712"/>
    <n v="0.50551920620886137"/>
    <x v="0"/>
    <n v="6"/>
    <n v="90"/>
    <x v="1"/>
    <s v="USD"/>
    <n v="1481436000"/>
    <n v="1482818400"/>
    <x v="715"/>
    <d v="2016-12-27T06:00:00"/>
    <s v="Sun"/>
    <n v="16"/>
    <b v="0"/>
    <b v="0"/>
    <s v="food/food trucks"/>
    <x v="0"/>
    <x v="0"/>
  </r>
  <r>
    <n v="792"/>
    <s v="Jordan, Schneider and Hall"/>
    <s v="Reduced 6thgeneration intranet"/>
    <n v="2000"/>
    <n v="680"/>
    <n v="0.34"/>
    <n v="0.50551920620886137"/>
    <x v="0"/>
    <n v="7"/>
    <n v="97.142857142857139"/>
    <x v="1"/>
    <s v="USD"/>
    <n v="1372222800"/>
    <n v="1374642000"/>
    <x v="716"/>
    <d v="2013-07-24T05:00:00"/>
    <s v="Wed"/>
    <n v="28"/>
    <b v="0"/>
    <b v="1"/>
    <s v="theater/plays"/>
    <x v="3"/>
    <x v="3"/>
  </r>
  <r>
    <n v="793"/>
    <s v="Rodriguez, Cox and Rodriguez"/>
    <s v="Networked disintermediate leverage"/>
    <n v="1100"/>
    <n v="13045"/>
    <n v="11.859090909090909"/>
    <n v="2.1230434782608696"/>
    <x v="1"/>
    <n v="181"/>
    <n v="72.071823204419886"/>
    <x v="5"/>
    <s v="CHF"/>
    <n v="1372136400"/>
    <n v="1372482000"/>
    <x v="448"/>
    <d v="2013-06-29T05:00:00"/>
    <s v="Tue"/>
    <n v="4"/>
    <b v="0"/>
    <b v="0"/>
    <s v="publishing/nonfiction"/>
    <x v="5"/>
    <x v="9"/>
  </r>
  <r>
    <n v="794"/>
    <s v="Welch Inc"/>
    <s v="Optional optimal website"/>
    <n v="6600"/>
    <n v="8276"/>
    <n v="1.2539393939393939"/>
    <n v="2.1230434782608696"/>
    <x v="1"/>
    <n v="110"/>
    <n v="75.236363636363635"/>
    <x v="1"/>
    <s v="USD"/>
    <n v="1513922400"/>
    <n v="1514959200"/>
    <x v="717"/>
    <d v="2018-01-03T06:00:00"/>
    <s v="Fri"/>
    <n v="12"/>
    <b v="0"/>
    <b v="0"/>
    <s v="music/rock"/>
    <x v="1"/>
    <x v="1"/>
  </r>
  <r>
    <n v="795"/>
    <s v="Vasquez Inc"/>
    <s v="Stand-alone asynchronous functionalities"/>
    <n v="7100"/>
    <n v="1022"/>
    <n v="0.14394366197183098"/>
    <n v="0.50551920620886137"/>
    <x v="0"/>
    <n v="31"/>
    <n v="32.967741935483872"/>
    <x v="1"/>
    <s v="USD"/>
    <n v="1477976400"/>
    <n v="1478235600"/>
    <x v="718"/>
    <d v="2016-11-04T05:00:00"/>
    <s v="Tue"/>
    <n v="3"/>
    <b v="0"/>
    <b v="0"/>
    <s v="film &amp; video/drama"/>
    <x v="4"/>
    <x v="6"/>
  </r>
  <r>
    <n v="796"/>
    <s v="Freeman-Ferguson"/>
    <s v="Profound full-range open system"/>
    <n v="7800"/>
    <n v="4275"/>
    <n v="0.54807692307692313"/>
    <n v="0.50551920620886137"/>
    <x v="0"/>
    <n v="78"/>
    <n v="54.807692307692307"/>
    <x v="1"/>
    <s v="USD"/>
    <n v="1407474000"/>
    <n v="1408078800"/>
    <x v="719"/>
    <d v="2014-08-15T05:00:00"/>
    <s v="Fri"/>
    <n v="7"/>
    <b v="0"/>
    <b v="1"/>
    <s v="games/mobile games"/>
    <x v="6"/>
    <x v="20"/>
  </r>
  <r>
    <n v="797"/>
    <s v="Houston, Moore and Rogers"/>
    <s v="Optional tangible utilization"/>
    <n v="7600"/>
    <n v="8332"/>
    <n v="1.0963157894736841"/>
    <n v="2.1230434782608696"/>
    <x v="1"/>
    <n v="185"/>
    <n v="45.037837837837834"/>
    <x v="1"/>
    <s v="USD"/>
    <n v="1546149600"/>
    <n v="1548136800"/>
    <x v="720"/>
    <d v="2019-01-22T06:00:00"/>
    <s v="Sun"/>
    <n v="23"/>
    <b v="0"/>
    <b v="0"/>
    <s v="technology/web"/>
    <x v="2"/>
    <x v="2"/>
  </r>
  <r>
    <n v="798"/>
    <s v="Small-Fuentes"/>
    <s v="Seamless maximized product"/>
    <n v="3400"/>
    <n v="6408"/>
    <n v="1.8847058823529412"/>
    <n v="2.1230434782608696"/>
    <x v="1"/>
    <n v="121"/>
    <n v="52.958677685950413"/>
    <x v="1"/>
    <s v="USD"/>
    <n v="1338440400"/>
    <n v="1340859600"/>
    <x v="721"/>
    <d v="2012-06-28T05:00:00"/>
    <s v="Thu"/>
    <n v="28"/>
    <b v="0"/>
    <b v="1"/>
    <s v="theater/plays"/>
    <x v="3"/>
    <x v="3"/>
  </r>
  <r>
    <n v="799"/>
    <s v="Reid-Day"/>
    <s v="Devolved tertiary time-frame"/>
    <n v="84500"/>
    <n v="73522"/>
    <n v="0.87008284023668636"/>
    <n v="0.50551920620886137"/>
    <x v="0"/>
    <n v="1225"/>
    <n v="60.017959183673469"/>
    <x v="4"/>
    <s v="GBP"/>
    <n v="1454133600"/>
    <n v="1454479200"/>
    <x v="722"/>
    <d v="2016-02-03T06:00:00"/>
    <s v="Sat"/>
    <n v="4"/>
    <b v="0"/>
    <b v="0"/>
    <s v="theater/plays"/>
    <x v="3"/>
    <x v="3"/>
  </r>
  <r>
    <n v="800"/>
    <s v="Wallace LLC"/>
    <s v="Centralized regional function"/>
    <n v="100"/>
    <n v="1"/>
    <n v="0.01"/>
    <n v="0.50551920620886137"/>
    <x v="0"/>
    <n v="1"/>
    <n v="1"/>
    <x v="5"/>
    <s v="CHF"/>
    <n v="1434085200"/>
    <n v="1434430800"/>
    <x v="139"/>
    <d v="2015-06-16T05:00:00"/>
    <s v="Fri"/>
    <n v="4"/>
    <b v="0"/>
    <b v="0"/>
    <s v="music/rock"/>
    <x v="1"/>
    <x v="1"/>
  </r>
  <r>
    <n v="801"/>
    <s v="Olson-Bishop"/>
    <s v="User-friendly high-level initiative"/>
    <n v="2300"/>
    <n v="4667"/>
    <n v="2.0291304347826089"/>
    <n v="2.1230434782608696"/>
    <x v="1"/>
    <n v="106"/>
    <n v="44.028301886792455"/>
    <x v="1"/>
    <s v="USD"/>
    <n v="1577772000"/>
    <n v="1579672800"/>
    <x v="723"/>
    <d v="2020-01-22T06:00:00"/>
    <s v="Tue"/>
    <n v="22"/>
    <b v="0"/>
    <b v="1"/>
    <s v="photography/photography books"/>
    <x v="7"/>
    <x v="14"/>
  </r>
  <r>
    <n v="802"/>
    <s v="Rodriguez, Anderson and Porter"/>
    <s v="Reverse-engineered zero-defect infrastructure"/>
    <n v="6200"/>
    <n v="12216"/>
    <n v="1.9703225806451612"/>
    <n v="2.1230434782608696"/>
    <x v="1"/>
    <n v="142"/>
    <n v="86.028169014084511"/>
    <x v="1"/>
    <s v="USD"/>
    <n v="1562216400"/>
    <n v="1562389200"/>
    <x v="704"/>
    <d v="2019-07-06T05:00:00"/>
    <s v="Thu"/>
    <n v="2"/>
    <b v="0"/>
    <b v="0"/>
    <s v="photography/photography books"/>
    <x v="7"/>
    <x v="14"/>
  </r>
  <r>
    <n v="803"/>
    <s v="Perez, Brown and Meyers"/>
    <s v="Stand-alone background customer loyalty"/>
    <n v="6100"/>
    <n v="6527"/>
    <n v="1.07"/>
    <n v="2.1230434782608696"/>
    <x v="1"/>
    <n v="233"/>
    <n v="28.012875536480685"/>
    <x v="1"/>
    <s v="USD"/>
    <n v="1548568800"/>
    <n v="1551506400"/>
    <x v="724"/>
    <d v="2019-03-02T06:00:00"/>
    <s v="Sun"/>
    <n v="34"/>
    <b v="0"/>
    <b v="0"/>
    <s v="theater/plays"/>
    <x v="3"/>
    <x v="3"/>
  </r>
  <r>
    <n v="804"/>
    <s v="English-Mccullough"/>
    <s v="Business-focused discrete software"/>
    <n v="2600"/>
    <n v="6987"/>
    <n v="2.6873076923076922"/>
    <n v="2.1230434782608696"/>
    <x v="1"/>
    <n v="218"/>
    <n v="32.050458715596328"/>
    <x v="1"/>
    <s v="USD"/>
    <n v="1514872800"/>
    <n v="1516600800"/>
    <x v="725"/>
    <d v="2018-01-22T06:00:00"/>
    <s v="Tue"/>
    <n v="20"/>
    <b v="0"/>
    <b v="0"/>
    <s v="music/rock"/>
    <x v="1"/>
    <x v="1"/>
  </r>
  <r>
    <n v="805"/>
    <s v="Smith-Nguyen"/>
    <s v="Advanced intermediate Graphic Interface"/>
    <n v="9700"/>
    <n v="4932"/>
    <n v="0.50845360824742269"/>
    <n v="0.50551920620886137"/>
    <x v="0"/>
    <n v="67"/>
    <n v="73.611940298507463"/>
    <x v="2"/>
    <s v="AUD"/>
    <n v="1416031200"/>
    <n v="1420437600"/>
    <x v="660"/>
    <d v="2015-01-05T06:00:00"/>
    <s v="Sat"/>
    <n v="51"/>
    <b v="0"/>
    <b v="0"/>
    <s v="film &amp; video/documentary"/>
    <x v="4"/>
    <x v="4"/>
  </r>
  <r>
    <n v="806"/>
    <s v="Harmon-Madden"/>
    <s v="Adaptive holistic hub"/>
    <n v="700"/>
    <n v="8262"/>
    <n v="11.802857142857142"/>
    <n v="2.1230434782608696"/>
    <x v="1"/>
    <n v="76"/>
    <n v="108.71052631578948"/>
    <x v="1"/>
    <s v="USD"/>
    <n v="1330927200"/>
    <n v="1332997200"/>
    <x v="726"/>
    <d v="2012-03-29T05:00:00"/>
    <s v="Mon"/>
    <n v="24"/>
    <b v="0"/>
    <b v="1"/>
    <s v="film &amp; video/drama"/>
    <x v="4"/>
    <x v="6"/>
  </r>
  <r>
    <n v="807"/>
    <s v="Walker-Taylor"/>
    <s v="Automated uniform concept"/>
    <n v="700"/>
    <n v="1848"/>
    <n v="2.64"/>
    <n v="2.1230434782608696"/>
    <x v="1"/>
    <n v="43"/>
    <n v="42.97674418604651"/>
    <x v="1"/>
    <s v="USD"/>
    <n v="1571115600"/>
    <n v="1574920800"/>
    <x v="727"/>
    <d v="2019-11-28T06:00:00"/>
    <s v="Tue"/>
    <n v="44"/>
    <b v="0"/>
    <b v="1"/>
    <s v="theater/plays"/>
    <x v="3"/>
    <x v="3"/>
  </r>
  <r>
    <n v="808"/>
    <s v="Harris, Medina and Mitchell"/>
    <s v="Enhanced regional flexibility"/>
    <n v="5200"/>
    <n v="1583"/>
    <n v="0.30442307692307691"/>
    <n v="0.50551920620886137"/>
    <x v="0"/>
    <n v="19"/>
    <n v="83.315789473684205"/>
    <x v="1"/>
    <s v="USD"/>
    <n v="1463461200"/>
    <n v="1464930000"/>
    <x v="728"/>
    <d v="2016-06-03T05:00:00"/>
    <s v="Tue"/>
    <n v="17"/>
    <b v="0"/>
    <b v="0"/>
    <s v="food/food trucks"/>
    <x v="0"/>
    <x v="0"/>
  </r>
  <r>
    <n v="809"/>
    <s v="Williams and Sons"/>
    <s v="Public-key bottom-line algorithm"/>
    <n v="140800"/>
    <n v="88536"/>
    <n v="0.62880681818181816"/>
    <n v="0.50551920620886137"/>
    <x v="0"/>
    <n v="2108"/>
    <n v="42"/>
    <x v="5"/>
    <s v="CHF"/>
    <n v="1344920400"/>
    <n v="1345006800"/>
    <x v="729"/>
    <d v="2012-08-15T05:00:00"/>
    <s v="Tue"/>
    <n v="1"/>
    <b v="0"/>
    <b v="0"/>
    <s v="film &amp; video/documentary"/>
    <x v="4"/>
    <x v="4"/>
  </r>
  <r>
    <n v="810"/>
    <s v="Ball-Fisher"/>
    <s v="Multi-layered intangible instruction set"/>
    <n v="6400"/>
    <n v="12360"/>
    <n v="1.9312499999999999"/>
    <n v="2.1230434782608696"/>
    <x v="1"/>
    <n v="221"/>
    <n v="55.927601809954751"/>
    <x v="1"/>
    <s v="USD"/>
    <n v="1511848800"/>
    <n v="1512712800"/>
    <x v="730"/>
    <d v="2017-12-08T06:00:00"/>
    <s v="Tue"/>
    <n v="10"/>
    <b v="0"/>
    <b v="1"/>
    <s v="theater/plays"/>
    <x v="3"/>
    <x v="3"/>
  </r>
  <r>
    <n v="811"/>
    <s v="Page, Holt and Mack"/>
    <s v="Fundamental methodical emulation"/>
    <n v="92500"/>
    <n v="71320"/>
    <n v="0.77102702702702708"/>
    <n v="0.50551920620886137"/>
    <x v="0"/>
    <n v="679"/>
    <n v="105.03681885125184"/>
    <x v="1"/>
    <s v="USD"/>
    <n v="1452319200"/>
    <n v="1452492000"/>
    <x v="731"/>
    <d v="2016-01-11T06:00:00"/>
    <s v="Sat"/>
    <n v="2"/>
    <b v="0"/>
    <b v="1"/>
    <s v="games/video games"/>
    <x v="6"/>
    <x v="11"/>
  </r>
  <r>
    <n v="812"/>
    <s v="Landry Group"/>
    <s v="Expanded value-added hardware"/>
    <n v="59700"/>
    <n v="134640"/>
    <n v="2.2552763819095478"/>
    <n v="2.1230434782608696"/>
    <x v="1"/>
    <n v="2805"/>
    <n v="48"/>
    <x v="0"/>
    <s v="CAD"/>
    <n v="1523854800"/>
    <n v="1524286800"/>
    <x v="78"/>
    <d v="2018-04-21T05:00:00"/>
    <s v="Mon"/>
    <n v="5"/>
    <b v="0"/>
    <b v="0"/>
    <s v="publishing/nonfiction"/>
    <x v="5"/>
    <x v="9"/>
  </r>
  <r>
    <n v="813"/>
    <s v="Buckley Group"/>
    <s v="Diverse high-level attitude"/>
    <n v="3200"/>
    <n v="7661"/>
    <n v="2.3940625"/>
    <n v="2.1230434782608696"/>
    <x v="1"/>
    <n v="68"/>
    <n v="112.66176470588235"/>
    <x v="1"/>
    <s v="USD"/>
    <n v="1346043600"/>
    <n v="1346907600"/>
    <x v="732"/>
    <d v="2012-09-06T05:00:00"/>
    <s v="Mon"/>
    <n v="10"/>
    <b v="0"/>
    <b v="0"/>
    <s v="games/video games"/>
    <x v="6"/>
    <x v="11"/>
  </r>
  <r>
    <n v="814"/>
    <s v="Vincent PLC"/>
    <s v="Visionary 24hour analyzer"/>
    <n v="3200"/>
    <n v="2950"/>
    <n v="0.921875"/>
    <n v="0.50551920620886137"/>
    <x v="0"/>
    <n v="36"/>
    <n v="81.944444444444443"/>
    <x v="3"/>
    <s v="DKK"/>
    <n v="1464325200"/>
    <n v="1464498000"/>
    <x v="733"/>
    <d v="2016-05-29T05:00:00"/>
    <s v="Fri"/>
    <n v="2"/>
    <b v="0"/>
    <b v="1"/>
    <s v="music/rock"/>
    <x v="1"/>
    <x v="1"/>
  </r>
  <r>
    <n v="815"/>
    <s v="Watson-Douglas"/>
    <s v="Centralized bandwidth-monitored leverage"/>
    <n v="9000"/>
    <n v="11721"/>
    <n v="1.3023333333333333"/>
    <n v="2.1230434782608696"/>
    <x v="1"/>
    <n v="183"/>
    <n v="64.049180327868854"/>
    <x v="0"/>
    <s v="CAD"/>
    <n v="1511935200"/>
    <n v="1514181600"/>
    <x v="734"/>
    <d v="2017-12-25T06:00:00"/>
    <s v="Wed"/>
    <n v="26"/>
    <b v="0"/>
    <b v="0"/>
    <s v="music/rock"/>
    <x v="1"/>
    <x v="1"/>
  </r>
  <r>
    <n v="816"/>
    <s v="Jones, Casey and Jones"/>
    <s v="Ergonomic mission-critical moratorium"/>
    <n v="2300"/>
    <n v="14150"/>
    <n v="6.1521739130434785"/>
    <n v="2.1230434782608696"/>
    <x v="1"/>
    <n v="133"/>
    <n v="106.39097744360902"/>
    <x v="1"/>
    <s v="USD"/>
    <n v="1392012000"/>
    <n v="1392184800"/>
    <x v="406"/>
    <d v="2014-02-12T06:00:00"/>
    <s v="Mon"/>
    <n v="2"/>
    <b v="1"/>
    <b v="1"/>
    <s v="theater/plays"/>
    <x v="3"/>
    <x v="3"/>
  </r>
  <r>
    <n v="817"/>
    <s v="Alvarez-Bauer"/>
    <s v="Front-line intermediate moderator"/>
    <n v="51300"/>
    <n v="189192"/>
    <n v="3.687953216374269"/>
    <n v="2.1230434782608696"/>
    <x v="1"/>
    <n v="2489"/>
    <n v="76.011249497790274"/>
    <x v="6"/>
    <s v="EUR"/>
    <n v="1556946000"/>
    <n v="1559365200"/>
    <x v="735"/>
    <d v="2019-06-01T05:00:00"/>
    <s v="Sat"/>
    <n v="28"/>
    <b v="0"/>
    <b v="1"/>
    <s v="publishing/nonfiction"/>
    <x v="5"/>
    <x v="9"/>
  </r>
  <r>
    <n v="818"/>
    <s v="Martinez LLC"/>
    <s v="Automated local secured line"/>
    <n v="700"/>
    <n v="7664"/>
    <n v="10.948571428571428"/>
    <n v="2.1230434782608696"/>
    <x v="1"/>
    <n v="69"/>
    <n v="111.07246376811594"/>
    <x v="1"/>
    <s v="USD"/>
    <n v="1548050400"/>
    <n v="1549173600"/>
    <x v="736"/>
    <d v="2019-02-03T06:00:00"/>
    <s v="Mon"/>
    <n v="13"/>
    <b v="0"/>
    <b v="1"/>
    <s v="theater/plays"/>
    <x v="3"/>
    <x v="3"/>
  </r>
  <r>
    <n v="819"/>
    <s v="Buck-Khan"/>
    <s v="Integrated bandwidth-monitored alliance"/>
    <n v="8900"/>
    <n v="4509"/>
    <n v="0.50662921348314605"/>
    <n v="0.50551920620886137"/>
    <x v="0"/>
    <n v="47"/>
    <n v="95.936170212765958"/>
    <x v="1"/>
    <s v="USD"/>
    <n v="1353736800"/>
    <n v="1355032800"/>
    <x v="737"/>
    <d v="2012-12-09T06:00:00"/>
    <s v="Sat"/>
    <n v="15"/>
    <b v="1"/>
    <b v="0"/>
    <s v="games/video games"/>
    <x v="6"/>
    <x v="11"/>
  </r>
  <r>
    <n v="820"/>
    <s v="Valdez, Williams and Meyer"/>
    <s v="Cross-group heuristic forecast"/>
    <n v="1500"/>
    <n v="12009"/>
    <n v="8.0060000000000002"/>
    <n v="2.1230434782608696"/>
    <x v="1"/>
    <n v="279"/>
    <n v="43.043010752688176"/>
    <x v="4"/>
    <s v="GBP"/>
    <n v="1532840400"/>
    <n v="1533963600"/>
    <x v="192"/>
    <d v="2018-08-11T05:00:00"/>
    <s v="Sun"/>
    <n v="13"/>
    <b v="0"/>
    <b v="1"/>
    <s v="music/rock"/>
    <x v="1"/>
    <x v="1"/>
  </r>
  <r>
    <n v="821"/>
    <s v="Alvarez-Andrews"/>
    <s v="Extended impactful secured line"/>
    <n v="4900"/>
    <n v="14273"/>
    <n v="2.9128571428571428"/>
    <n v="2.1230434782608696"/>
    <x v="1"/>
    <n v="210"/>
    <n v="67.966666666666669"/>
    <x v="1"/>
    <s v="USD"/>
    <n v="1488261600"/>
    <n v="1489381200"/>
    <x v="738"/>
    <d v="2017-03-13T05:00:00"/>
    <s v="Tue"/>
    <n v="13"/>
    <b v="0"/>
    <b v="0"/>
    <s v="film &amp; video/documentary"/>
    <x v="4"/>
    <x v="4"/>
  </r>
  <r>
    <n v="822"/>
    <s v="Stewart and Sons"/>
    <s v="Distributed optimizing protocol"/>
    <n v="54000"/>
    <n v="188982"/>
    <n v="3.4996666666666667"/>
    <n v="2.1230434782608696"/>
    <x v="1"/>
    <n v="2100"/>
    <n v="89.991428571428571"/>
    <x v="1"/>
    <s v="USD"/>
    <n v="1393567200"/>
    <n v="1395032400"/>
    <x v="739"/>
    <d v="2014-03-17T05:00:00"/>
    <s v="Fri"/>
    <n v="17"/>
    <b v="0"/>
    <b v="0"/>
    <s v="music/rock"/>
    <x v="1"/>
    <x v="1"/>
  </r>
  <r>
    <n v="823"/>
    <s v="Dyer Inc"/>
    <s v="Secured well-modulated system engine"/>
    <n v="4100"/>
    <n v="14640"/>
    <n v="3.5707317073170732"/>
    <n v="2.1230434782608696"/>
    <x v="1"/>
    <n v="252"/>
    <n v="58.095238095238095"/>
    <x v="1"/>
    <s v="USD"/>
    <n v="1410325200"/>
    <n v="1412485200"/>
    <x v="613"/>
    <d v="2014-10-05T05:00:00"/>
    <s v="Wed"/>
    <n v="25"/>
    <b v="1"/>
    <b v="1"/>
    <s v="music/rock"/>
    <x v="1"/>
    <x v="1"/>
  </r>
  <r>
    <n v="824"/>
    <s v="Anderson, Williams and Cox"/>
    <s v="Streamlined national benchmark"/>
    <n v="85000"/>
    <n v="107516"/>
    <n v="1.2648941176470587"/>
    <n v="2.1230434782608696"/>
    <x v="1"/>
    <n v="1280"/>
    <n v="83.996875000000003"/>
    <x v="1"/>
    <s v="USD"/>
    <n v="1276923600"/>
    <n v="1279688400"/>
    <x v="740"/>
    <d v="2010-07-21T05:00:00"/>
    <s v="Sat"/>
    <n v="32"/>
    <b v="0"/>
    <b v="1"/>
    <s v="publishing/nonfiction"/>
    <x v="5"/>
    <x v="9"/>
  </r>
  <r>
    <n v="825"/>
    <s v="Solomon PLC"/>
    <s v="Open-architected 24/7 infrastructure"/>
    <n v="3600"/>
    <n v="13950"/>
    <n v="3.875"/>
    <n v="2.1230434782608696"/>
    <x v="1"/>
    <n v="157"/>
    <n v="88.853503184713375"/>
    <x v="4"/>
    <s v="GBP"/>
    <n v="1500958800"/>
    <n v="1501995600"/>
    <x v="145"/>
    <d v="2017-08-06T05:00:00"/>
    <s v="Tue"/>
    <n v="12"/>
    <b v="0"/>
    <b v="0"/>
    <s v="film &amp; video/shorts"/>
    <x v="4"/>
    <x v="12"/>
  </r>
  <r>
    <n v="826"/>
    <s v="Miller-Hubbard"/>
    <s v="Digitized 6thgeneration Local Area Network"/>
    <n v="2800"/>
    <n v="12797"/>
    <n v="4.5703571428571426"/>
    <n v="2.1230434782608696"/>
    <x v="1"/>
    <n v="194"/>
    <n v="65.963917525773198"/>
    <x v="1"/>
    <s v="USD"/>
    <n v="1292220000"/>
    <n v="1294639200"/>
    <x v="741"/>
    <d v="2011-01-10T06:00:00"/>
    <s v="Mon"/>
    <n v="28"/>
    <b v="0"/>
    <b v="1"/>
    <s v="theater/plays"/>
    <x v="3"/>
    <x v="3"/>
  </r>
  <r>
    <n v="827"/>
    <s v="Miranda, Martinez and Lowery"/>
    <s v="Innovative actuating artificial intelligence"/>
    <n v="2300"/>
    <n v="6134"/>
    <n v="2.6669565217391304"/>
    <n v="2.1230434782608696"/>
    <x v="1"/>
    <n v="82"/>
    <n v="74.804878048780495"/>
    <x v="2"/>
    <s v="AUD"/>
    <n v="1304398800"/>
    <n v="1305435600"/>
    <x v="742"/>
    <d v="2011-05-15T05:00:00"/>
    <s v="Tue"/>
    <n v="12"/>
    <b v="0"/>
    <b v="1"/>
    <s v="film &amp; video/drama"/>
    <x v="4"/>
    <x v="6"/>
  </r>
  <r>
    <n v="828"/>
    <s v="Munoz, Cherry and Bell"/>
    <s v="Cross-platform reciprocal budgetary management"/>
    <n v="7100"/>
    <n v="4899"/>
    <n v="0.69"/>
    <n v="0.50551920620886137"/>
    <x v="0"/>
    <n v="70"/>
    <n v="69.98571428571428"/>
    <x v="1"/>
    <s v="USD"/>
    <n v="1535432400"/>
    <n v="1537592400"/>
    <x v="202"/>
    <d v="2018-09-22T05:00:00"/>
    <s v="Tue"/>
    <n v="25"/>
    <b v="0"/>
    <b v="0"/>
    <s v="theater/plays"/>
    <x v="3"/>
    <x v="3"/>
  </r>
  <r>
    <n v="829"/>
    <s v="Baker-Higgins"/>
    <s v="Vision-oriented scalable portal"/>
    <n v="9600"/>
    <n v="4929"/>
    <n v="0.51343749999999999"/>
    <n v="0.50551920620886137"/>
    <x v="0"/>
    <n v="154"/>
    <n v="32.006493506493506"/>
    <x v="1"/>
    <s v="USD"/>
    <n v="1433826000"/>
    <n v="1435122000"/>
    <x v="743"/>
    <d v="2015-06-24T05:00:00"/>
    <s v="Tue"/>
    <n v="15"/>
    <b v="0"/>
    <b v="0"/>
    <s v="theater/plays"/>
    <x v="3"/>
    <x v="3"/>
  </r>
  <r>
    <n v="830"/>
    <s v="Johnson, Turner and Carroll"/>
    <s v="Persevering zero administration knowledge user"/>
    <n v="121600"/>
    <n v="1424"/>
    <n v="1.1710526315789473E-2"/>
    <n v="0.50551920620886137"/>
    <x v="0"/>
    <n v="22"/>
    <n v="64.727272727272734"/>
    <x v="1"/>
    <s v="USD"/>
    <n v="1514959200"/>
    <n v="1520056800"/>
    <x v="744"/>
    <d v="2018-03-03T06:00:00"/>
    <s v="Wed"/>
    <n v="59"/>
    <b v="0"/>
    <b v="0"/>
    <s v="theater/plays"/>
    <x v="3"/>
    <x v="3"/>
  </r>
  <r>
    <n v="831"/>
    <s v="Ward PLC"/>
    <s v="Front-line bottom-line Graphic Interface"/>
    <n v="97100"/>
    <n v="105817"/>
    <n v="1.089773429454171"/>
    <n v="2.1230434782608696"/>
    <x v="1"/>
    <n v="4233"/>
    <n v="24.998110087408456"/>
    <x v="1"/>
    <s v="USD"/>
    <n v="1332738000"/>
    <n v="1335675600"/>
    <x v="745"/>
    <d v="2012-04-29T05:00:00"/>
    <s v="Mon"/>
    <n v="34"/>
    <b v="0"/>
    <b v="0"/>
    <s v="photography/photography books"/>
    <x v="7"/>
    <x v="14"/>
  </r>
  <r>
    <n v="832"/>
    <s v="Bradley, Beck and Mayo"/>
    <s v="Synergized fault-tolerant hierarchy"/>
    <n v="43200"/>
    <n v="136156"/>
    <n v="3.1517592592592591"/>
    <n v="2.1230434782608696"/>
    <x v="1"/>
    <n v="1297"/>
    <n v="104.97764070932922"/>
    <x v="3"/>
    <s v="DKK"/>
    <n v="1445490000"/>
    <n v="1448431200"/>
    <x v="746"/>
    <d v="2015-11-25T06:00:00"/>
    <s v="Thu"/>
    <n v="34"/>
    <b v="1"/>
    <b v="0"/>
    <s v="publishing/translations"/>
    <x v="5"/>
    <x v="18"/>
  </r>
  <r>
    <n v="833"/>
    <s v="Levine, Martin and Hernandez"/>
    <s v="Expanded asynchronous groupware"/>
    <n v="6800"/>
    <n v="10723"/>
    <n v="1.5769117647058823"/>
    <n v="2.1230434782608696"/>
    <x v="1"/>
    <n v="165"/>
    <n v="64.987878787878785"/>
    <x v="3"/>
    <s v="DKK"/>
    <n v="1297663200"/>
    <n v="1298613600"/>
    <x v="747"/>
    <d v="2011-02-25T06:00:00"/>
    <s v="Mon"/>
    <n v="11"/>
    <b v="0"/>
    <b v="0"/>
    <s v="publishing/translations"/>
    <x v="5"/>
    <x v="18"/>
  </r>
  <r>
    <n v="834"/>
    <s v="Gallegos, Wagner and Gaines"/>
    <s v="Expanded fault-tolerant emulation"/>
    <n v="7300"/>
    <n v="11228"/>
    <n v="1.5380821917808218"/>
    <n v="2.1230434782608696"/>
    <x v="1"/>
    <n v="119"/>
    <n v="94.352941176470594"/>
    <x v="1"/>
    <s v="USD"/>
    <n v="1371963600"/>
    <n v="1372482000"/>
    <x v="362"/>
    <d v="2013-06-29T05:00:00"/>
    <s v="Sun"/>
    <n v="6"/>
    <b v="0"/>
    <b v="0"/>
    <s v="theater/plays"/>
    <x v="3"/>
    <x v="3"/>
  </r>
  <r>
    <n v="835"/>
    <s v="Hodges, Smith and Kelly"/>
    <s v="Future-proofed 24hour model"/>
    <n v="86200"/>
    <n v="77355"/>
    <n v="0.89738979118329465"/>
    <n v="0.50551920620886137"/>
    <x v="0"/>
    <n v="1758"/>
    <n v="44.001706484641637"/>
    <x v="1"/>
    <s v="USD"/>
    <n v="1425103200"/>
    <n v="1425621600"/>
    <x v="748"/>
    <d v="2015-03-06T06:00:00"/>
    <s v="Sat"/>
    <n v="6"/>
    <b v="0"/>
    <b v="0"/>
    <s v="technology/web"/>
    <x v="2"/>
    <x v="2"/>
  </r>
  <r>
    <n v="836"/>
    <s v="Macias Inc"/>
    <s v="Optimized didactic intranet"/>
    <n v="8100"/>
    <n v="6086"/>
    <n v="0.75135802469135804"/>
    <n v="0.50551920620886137"/>
    <x v="0"/>
    <n v="94"/>
    <n v="64.744680851063833"/>
    <x v="1"/>
    <s v="USD"/>
    <n v="1265349600"/>
    <n v="1266300000"/>
    <x v="749"/>
    <d v="2010-02-16T06:00:00"/>
    <s v="Fri"/>
    <n v="11"/>
    <b v="0"/>
    <b v="0"/>
    <s v="music/indie rock"/>
    <x v="1"/>
    <x v="7"/>
  </r>
  <r>
    <n v="837"/>
    <s v="Cook-Ortiz"/>
    <s v="Right-sized dedicated standardization"/>
    <n v="17700"/>
    <n v="150960"/>
    <n v="8.5288135593220336"/>
    <n v="2.1230434782608696"/>
    <x v="1"/>
    <n v="1797"/>
    <n v="84.00667779632721"/>
    <x v="1"/>
    <s v="USD"/>
    <n v="1301202000"/>
    <n v="1305867600"/>
    <x v="643"/>
    <d v="2011-05-20T05:00:00"/>
    <s v="Sun"/>
    <n v="54"/>
    <b v="0"/>
    <b v="0"/>
    <s v="music/jazz"/>
    <x v="1"/>
    <x v="17"/>
  </r>
  <r>
    <n v="838"/>
    <s v="Jordan-Fischer"/>
    <s v="Vision-oriented high-level extranet"/>
    <n v="6400"/>
    <n v="8890"/>
    <n v="1.3890625000000001"/>
    <n v="2.1230434782608696"/>
    <x v="1"/>
    <n v="261"/>
    <n v="34.061302681992338"/>
    <x v="1"/>
    <s v="USD"/>
    <n v="1538024400"/>
    <n v="1538802000"/>
    <x v="750"/>
    <d v="2018-10-06T05:00:00"/>
    <s v="Thu"/>
    <n v="9"/>
    <b v="0"/>
    <b v="0"/>
    <s v="theater/plays"/>
    <x v="3"/>
    <x v="3"/>
  </r>
  <r>
    <n v="839"/>
    <s v="Pierce-Ramirez"/>
    <s v="Organized scalable initiative"/>
    <n v="7700"/>
    <n v="14644"/>
    <n v="1.9018181818181819"/>
    <n v="2.1230434782608696"/>
    <x v="1"/>
    <n v="157"/>
    <n v="93.273885350318466"/>
    <x v="1"/>
    <s v="USD"/>
    <n v="1395032400"/>
    <n v="1398920400"/>
    <x v="751"/>
    <d v="2014-05-01T05:00:00"/>
    <s v="Mon"/>
    <n v="45"/>
    <b v="0"/>
    <b v="1"/>
    <s v="film &amp; video/documentary"/>
    <x v="4"/>
    <x v="4"/>
  </r>
  <r>
    <n v="840"/>
    <s v="Howell and Sons"/>
    <s v="Enhanced regional moderator"/>
    <n v="116300"/>
    <n v="116583"/>
    <n v="1.0024333619948409"/>
    <n v="2.1230434782608696"/>
    <x v="1"/>
    <n v="3533"/>
    <n v="32.998301726577978"/>
    <x v="1"/>
    <s v="USD"/>
    <n v="1405486800"/>
    <n v="1405659600"/>
    <x v="752"/>
    <d v="2014-07-18T05:00:00"/>
    <s v="Wed"/>
    <n v="2"/>
    <b v="0"/>
    <b v="1"/>
    <s v="theater/plays"/>
    <x v="3"/>
    <x v="3"/>
  </r>
  <r>
    <n v="841"/>
    <s v="Garcia, Dunn and Richardson"/>
    <s v="Automated even-keeled emulation"/>
    <n v="9100"/>
    <n v="12991"/>
    <n v="1.4275824175824177"/>
    <n v="2.1230434782608696"/>
    <x v="1"/>
    <n v="155"/>
    <n v="83.812903225806451"/>
    <x v="1"/>
    <s v="USD"/>
    <n v="1455861600"/>
    <n v="1457244000"/>
    <x v="753"/>
    <d v="2016-03-06T06:00:00"/>
    <s v="Fri"/>
    <n v="16"/>
    <b v="0"/>
    <b v="0"/>
    <s v="technology/web"/>
    <x v="2"/>
    <x v="2"/>
  </r>
  <r>
    <n v="842"/>
    <s v="Lawson and Sons"/>
    <s v="Reverse-engineered multi-tasking product"/>
    <n v="1500"/>
    <n v="8447"/>
    <n v="5.6313333333333331"/>
    <n v="2.1230434782608696"/>
    <x v="1"/>
    <n v="132"/>
    <n v="63.992424242424242"/>
    <x v="6"/>
    <s v="EUR"/>
    <n v="1529038800"/>
    <n v="1529298000"/>
    <x v="754"/>
    <d v="2018-06-18T05:00:00"/>
    <s v="Fri"/>
    <n v="3"/>
    <b v="0"/>
    <b v="0"/>
    <s v="technology/wearables"/>
    <x v="2"/>
    <x v="8"/>
  </r>
  <r>
    <n v="843"/>
    <s v="Porter-Hicks"/>
    <s v="De-engineered next generation parallelism"/>
    <n v="8800"/>
    <n v="2703"/>
    <n v="0.30715909090909088"/>
    <n v="0.50551920620886137"/>
    <x v="0"/>
    <n v="33"/>
    <n v="81.909090909090907"/>
    <x v="1"/>
    <s v="USD"/>
    <n v="1535259600"/>
    <n v="1535778000"/>
    <x v="755"/>
    <d v="2018-09-01T05:00:00"/>
    <s v="Sun"/>
    <n v="6"/>
    <b v="0"/>
    <b v="0"/>
    <s v="photography/photography books"/>
    <x v="7"/>
    <x v="14"/>
  </r>
  <r>
    <n v="844"/>
    <s v="Rodriguez-Hansen"/>
    <s v="Intuitive cohesive groupware"/>
    <n v="8800"/>
    <n v="8747"/>
    <n v="0.99397727272727276"/>
    <n v="0.43241247264770238"/>
    <x v="3"/>
    <n v="94"/>
    <n v="93.053191489361708"/>
    <x v="1"/>
    <s v="USD"/>
    <n v="1327212000"/>
    <n v="1327471200"/>
    <x v="756"/>
    <d v="2012-01-25T06:00:00"/>
    <s v="Sun"/>
    <n v="3"/>
    <b v="0"/>
    <b v="0"/>
    <s v="film &amp; video/documentary"/>
    <x v="4"/>
    <x v="4"/>
  </r>
  <r>
    <n v="845"/>
    <s v="Williams LLC"/>
    <s v="Up-sized high-level access"/>
    <n v="69900"/>
    <n v="138087"/>
    <n v="1.9754935622317598"/>
    <n v="2.1230434782608696"/>
    <x v="1"/>
    <n v="1354"/>
    <n v="101.98449039881831"/>
    <x v="4"/>
    <s v="GBP"/>
    <n v="1526360400"/>
    <n v="1529557200"/>
    <x v="757"/>
    <d v="2018-06-21T05:00:00"/>
    <s v="Tue"/>
    <n v="37"/>
    <b v="0"/>
    <b v="0"/>
    <s v="technology/web"/>
    <x v="2"/>
    <x v="2"/>
  </r>
  <r>
    <n v="846"/>
    <s v="Cooper, Stanley and Bryant"/>
    <s v="Phased empowering success"/>
    <n v="1000"/>
    <n v="5085"/>
    <n v="5.085"/>
    <n v="2.1230434782608696"/>
    <x v="1"/>
    <n v="48"/>
    <n v="105.9375"/>
    <x v="1"/>
    <s v="USD"/>
    <n v="1532149200"/>
    <n v="1535259600"/>
    <x v="758"/>
    <d v="2018-08-26T05:00:00"/>
    <s v="Sat"/>
    <n v="36"/>
    <b v="1"/>
    <b v="1"/>
    <s v="technology/web"/>
    <x v="2"/>
    <x v="2"/>
  </r>
  <r>
    <n v="847"/>
    <s v="Miller, Glenn and Adams"/>
    <s v="Distributed actuating project"/>
    <n v="4700"/>
    <n v="11174"/>
    <n v="2.3774468085106384"/>
    <n v="2.1230434782608696"/>
    <x v="1"/>
    <n v="110"/>
    <n v="101.58181818181818"/>
    <x v="1"/>
    <s v="USD"/>
    <n v="1515304800"/>
    <n v="1515564000"/>
    <x v="759"/>
    <d v="2018-01-10T06:00:00"/>
    <s v="Sun"/>
    <n v="3"/>
    <b v="0"/>
    <b v="0"/>
    <s v="food/food trucks"/>
    <x v="0"/>
    <x v="0"/>
  </r>
  <r>
    <n v="848"/>
    <s v="Cole, Salazar and Moreno"/>
    <s v="Robust motivating orchestration"/>
    <n v="3200"/>
    <n v="10831"/>
    <n v="3.3846875000000001"/>
    <n v="2.1230434782608696"/>
    <x v="1"/>
    <n v="172"/>
    <n v="62.970930232558139"/>
    <x v="1"/>
    <s v="USD"/>
    <n v="1276318800"/>
    <n v="1277096400"/>
    <x v="760"/>
    <d v="2010-06-21T05:00:00"/>
    <s v="Sat"/>
    <n v="9"/>
    <b v="0"/>
    <b v="0"/>
    <s v="film &amp; video/drama"/>
    <x v="4"/>
    <x v="6"/>
  </r>
  <r>
    <n v="849"/>
    <s v="Jones-Ryan"/>
    <s v="Vision-oriented uniform instruction set"/>
    <n v="6700"/>
    <n v="8917"/>
    <n v="1.3308955223880596"/>
    <n v="2.1230434782608696"/>
    <x v="1"/>
    <n v="307"/>
    <n v="29.045602605863191"/>
    <x v="1"/>
    <s v="USD"/>
    <n v="1328767200"/>
    <n v="1329026400"/>
    <x v="761"/>
    <d v="2012-02-12T06:00:00"/>
    <s v="Thu"/>
    <n v="3"/>
    <b v="0"/>
    <b v="1"/>
    <s v="music/indie rock"/>
    <x v="1"/>
    <x v="7"/>
  </r>
  <r>
    <n v="850"/>
    <s v="Hood, Perez and Meadows"/>
    <s v="Cross-group upward-trending hierarchy"/>
    <n v="100"/>
    <n v="1"/>
    <n v="0.01"/>
    <n v="0.50551920620886137"/>
    <x v="0"/>
    <n v="1"/>
    <n v="1"/>
    <x v="1"/>
    <s v="USD"/>
    <n v="1321682400"/>
    <n v="1322978400"/>
    <x v="762"/>
    <d v="2011-12-04T06:00:00"/>
    <s v="Sat"/>
    <n v="15"/>
    <b v="1"/>
    <b v="0"/>
    <s v="music/rock"/>
    <x v="1"/>
    <x v="1"/>
  </r>
  <r>
    <n v="851"/>
    <s v="Bright and Sons"/>
    <s v="Object-based needs-based info-mediaries"/>
    <n v="6000"/>
    <n v="12468"/>
    <n v="2.0779999999999998"/>
    <n v="2.1230434782608696"/>
    <x v="1"/>
    <n v="160"/>
    <n v="77.924999999999997"/>
    <x v="1"/>
    <s v="USD"/>
    <n v="1335934800"/>
    <n v="1338786000"/>
    <x v="444"/>
    <d v="2012-06-04T05:00:00"/>
    <s v="Wed"/>
    <n v="33"/>
    <b v="0"/>
    <b v="0"/>
    <s v="music/electric music"/>
    <x v="1"/>
    <x v="5"/>
  </r>
  <r>
    <n v="852"/>
    <s v="Brady Ltd"/>
    <s v="Open-source reciprocal standardization"/>
    <n v="4900"/>
    <n v="2505"/>
    <n v="0.51122448979591839"/>
    <n v="0.50551920620886137"/>
    <x v="0"/>
    <n v="31"/>
    <n v="80.806451612903231"/>
    <x v="1"/>
    <s v="USD"/>
    <n v="1310792400"/>
    <n v="1311656400"/>
    <x v="763"/>
    <d v="2011-07-26T05:00:00"/>
    <s v="Sat"/>
    <n v="10"/>
    <b v="0"/>
    <b v="1"/>
    <s v="games/video games"/>
    <x v="6"/>
    <x v="11"/>
  </r>
  <r>
    <n v="853"/>
    <s v="Collier LLC"/>
    <s v="Secured well-modulated projection"/>
    <n v="17100"/>
    <n v="111502"/>
    <n v="6.5205847953216374"/>
    <n v="2.1230434782608696"/>
    <x v="1"/>
    <n v="1467"/>
    <n v="76.006816632583508"/>
    <x v="0"/>
    <s v="CAD"/>
    <n v="1308546000"/>
    <n v="1308978000"/>
    <x v="764"/>
    <d v="2011-06-25T05:00:00"/>
    <s v="Mon"/>
    <n v="5"/>
    <b v="0"/>
    <b v="1"/>
    <s v="music/indie rock"/>
    <x v="1"/>
    <x v="7"/>
  </r>
  <r>
    <n v="854"/>
    <s v="Campbell, Thomas and Obrien"/>
    <s v="Multi-channeled secondary middleware"/>
    <n v="171000"/>
    <n v="194309"/>
    <n v="1.1363099415204678"/>
    <n v="2.1230434782608696"/>
    <x v="1"/>
    <n v="2662"/>
    <n v="72.993613824192337"/>
    <x v="0"/>
    <s v="CAD"/>
    <n v="1574056800"/>
    <n v="1576389600"/>
    <x v="765"/>
    <d v="2019-12-15T06:00:00"/>
    <s v="Mon"/>
    <n v="27"/>
    <b v="0"/>
    <b v="0"/>
    <s v="publishing/fiction"/>
    <x v="5"/>
    <x v="13"/>
  </r>
  <r>
    <n v="855"/>
    <s v="Moses-Terry"/>
    <s v="Horizontal clear-thinking framework"/>
    <n v="23400"/>
    <n v="23956"/>
    <n v="1.0237606837606839"/>
    <n v="2.1230434782608696"/>
    <x v="1"/>
    <n v="452"/>
    <n v="53"/>
    <x v="2"/>
    <s v="AUD"/>
    <n v="1308373200"/>
    <n v="1311051600"/>
    <x v="766"/>
    <d v="2011-07-19T05:00:00"/>
    <s v="Sat"/>
    <n v="31"/>
    <b v="0"/>
    <b v="0"/>
    <s v="theater/plays"/>
    <x v="3"/>
    <x v="3"/>
  </r>
  <r>
    <n v="856"/>
    <s v="Williams and Sons"/>
    <s v="Profound composite core"/>
    <n v="2400"/>
    <n v="8558"/>
    <n v="3.5658333333333334"/>
    <n v="2.1230434782608696"/>
    <x v="1"/>
    <n v="158"/>
    <n v="54.164556962025316"/>
    <x v="1"/>
    <s v="USD"/>
    <n v="1335243600"/>
    <n v="1336712400"/>
    <x v="767"/>
    <d v="2012-05-11T05:00:00"/>
    <s v="Tue"/>
    <n v="17"/>
    <b v="0"/>
    <b v="0"/>
    <s v="food/food trucks"/>
    <x v="0"/>
    <x v="0"/>
  </r>
  <r>
    <n v="857"/>
    <s v="Miranda, Gray and Hale"/>
    <s v="Programmable disintermediate matrices"/>
    <n v="5300"/>
    <n v="7413"/>
    <n v="1.3986792452830188"/>
    <n v="2.1230434782608696"/>
    <x v="1"/>
    <n v="225"/>
    <n v="32.946666666666665"/>
    <x v="5"/>
    <s v="CHF"/>
    <n v="1328421600"/>
    <n v="1330408800"/>
    <x v="768"/>
    <d v="2012-02-28T06:00:00"/>
    <s v="Sun"/>
    <n v="23"/>
    <b v="1"/>
    <b v="0"/>
    <s v="film &amp; video/shorts"/>
    <x v="4"/>
    <x v="12"/>
  </r>
  <r>
    <n v="858"/>
    <s v="Ayala, Crawford and Taylor"/>
    <s v="Realigned 5thgeneration knowledge user"/>
    <n v="4000"/>
    <n v="2778"/>
    <n v="0.69450000000000001"/>
    <n v="0.50551920620886137"/>
    <x v="0"/>
    <n v="35"/>
    <n v="79.371428571428567"/>
    <x v="1"/>
    <s v="USD"/>
    <n v="1524286800"/>
    <n v="1524891600"/>
    <x v="769"/>
    <d v="2018-04-28T05:00:00"/>
    <s v="Sat"/>
    <n v="7"/>
    <b v="1"/>
    <b v="0"/>
    <s v="food/food trucks"/>
    <x v="0"/>
    <x v="0"/>
  </r>
  <r>
    <n v="859"/>
    <s v="Martinez Ltd"/>
    <s v="Multi-layered upward-trending groupware"/>
    <n v="7300"/>
    <n v="2594"/>
    <n v="0.35534246575342465"/>
    <n v="0.50551920620886137"/>
    <x v="0"/>
    <n v="63"/>
    <n v="41.174603174603178"/>
    <x v="1"/>
    <s v="USD"/>
    <n v="1362117600"/>
    <n v="1363669200"/>
    <x v="770"/>
    <d v="2013-03-19T05:00:00"/>
    <s v="Fri"/>
    <n v="18"/>
    <b v="0"/>
    <b v="1"/>
    <s v="theater/plays"/>
    <x v="3"/>
    <x v="3"/>
  </r>
  <r>
    <n v="860"/>
    <s v="Lee PLC"/>
    <s v="Re-contextualized leadingedge firmware"/>
    <n v="2000"/>
    <n v="5033"/>
    <n v="2.5165000000000002"/>
    <n v="2.1230434782608696"/>
    <x v="1"/>
    <n v="65"/>
    <n v="77.430769230769229"/>
    <x v="1"/>
    <s v="USD"/>
    <n v="1550556000"/>
    <n v="1551420000"/>
    <x v="771"/>
    <d v="2019-03-01T06:00:00"/>
    <s v="Tue"/>
    <n v="10"/>
    <b v="0"/>
    <b v="1"/>
    <s v="technology/wearables"/>
    <x v="2"/>
    <x v="8"/>
  </r>
  <r>
    <n v="861"/>
    <s v="Young, Ramsey and Powell"/>
    <s v="Devolved disintermediate analyzer"/>
    <n v="8800"/>
    <n v="9317"/>
    <n v="1.0587500000000001"/>
    <n v="2.1230434782608696"/>
    <x v="1"/>
    <n v="163"/>
    <n v="57.159509202453989"/>
    <x v="1"/>
    <s v="USD"/>
    <n v="1269147600"/>
    <n v="1269838800"/>
    <x v="772"/>
    <d v="2010-03-29T05:00:00"/>
    <s v="Sun"/>
    <n v="8"/>
    <b v="0"/>
    <b v="0"/>
    <s v="theater/plays"/>
    <x v="3"/>
    <x v="3"/>
  </r>
  <r>
    <n v="862"/>
    <s v="Lewis and Sons"/>
    <s v="Profound disintermediate open system"/>
    <n v="3500"/>
    <n v="6560"/>
    <n v="1.8742857142857143"/>
    <n v="2.1230434782608696"/>
    <x v="1"/>
    <n v="85"/>
    <n v="77.17647058823529"/>
    <x v="1"/>
    <s v="USD"/>
    <n v="1312174800"/>
    <n v="1312520400"/>
    <x v="773"/>
    <d v="2011-08-05T05:00:00"/>
    <s v="Mon"/>
    <n v="4"/>
    <b v="0"/>
    <b v="0"/>
    <s v="theater/plays"/>
    <x v="3"/>
    <x v="3"/>
  </r>
  <r>
    <n v="863"/>
    <s v="Davis-Johnson"/>
    <s v="Automated reciprocal protocol"/>
    <n v="1400"/>
    <n v="5415"/>
    <n v="3.8678571428571429"/>
    <n v="2.1230434782608696"/>
    <x v="1"/>
    <n v="217"/>
    <n v="24.953917050691246"/>
    <x v="1"/>
    <s v="USD"/>
    <n v="1434517200"/>
    <n v="1436504400"/>
    <x v="774"/>
    <d v="2015-07-10T05:00:00"/>
    <s v="Wed"/>
    <n v="23"/>
    <b v="0"/>
    <b v="1"/>
    <s v="film &amp; video/television"/>
    <x v="4"/>
    <x v="19"/>
  </r>
  <r>
    <n v="864"/>
    <s v="Stevenson-Thompson"/>
    <s v="Automated static workforce"/>
    <n v="4200"/>
    <n v="14577"/>
    <n v="3.4707142857142856"/>
    <n v="2.1230434782608696"/>
    <x v="1"/>
    <n v="150"/>
    <n v="97.18"/>
    <x v="1"/>
    <s v="USD"/>
    <n v="1471582800"/>
    <n v="1472014800"/>
    <x v="775"/>
    <d v="2016-08-24T05:00:00"/>
    <s v="Fri"/>
    <n v="5"/>
    <b v="0"/>
    <b v="0"/>
    <s v="film &amp; video/shorts"/>
    <x v="4"/>
    <x v="12"/>
  </r>
  <r>
    <n v="865"/>
    <s v="Ellis, Smith and Armstrong"/>
    <s v="Horizontal attitude-oriented help-desk"/>
    <n v="81000"/>
    <n v="150515"/>
    <n v="1.8582098765432098"/>
    <n v="2.1230434782608696"/>
    <x v="1"/>
    <n v="3272"/>
    <n v="46.000916870415651"/>
    <x v="1"/>
    <s v="USD"/>
    <n v="1410757200"/>
    <n v="1411534800"/>
    <x v="776"/>
    <d v="2014-09-24T05:00:00"/>
    <s v="Mon"/>
    <n v="9"/>
    <b v="0"/>
    <b v="0"/>
    <s v="theater/plays"/>
    <x v="3"/>
    <x v="3"/>
  </r>
  <r>
    <n v="866"/>
    <s v="Jackson-Brown"/>
    <s v="Versatile 5thgeneration matrices"/>
    <n v="182800"/>
    <n v="79045"/>
    <n v="0.43241247264770238"/>
    <n v="0.43241247264770238"/>
    <x v="3"/>
    <n v="898"/>
    <n v="88.023385300668153"/>
    <x v="1"/>
    <s v="USD"/>
    <n v="1304830800"/>
    <n v="1304917200"/>
    <x v="777"/>
    <d v="2011-05-09T05:00:00"/>
    <s v="Sun"/>
    <n v="1"/>
    <b v="0"/>
    <b v="0"/>
    <s v="photography/photography books"/>
    <x v="7"/>
    <x v="14"/>
  </r>
  <r>
    <n v="867"/>
    <s v="Kane, Pruitt and Rivera"/>
    <s v="Cross-platform next generation service-desk"/>
    <n v="4800"/>
    <n v="7797"/>
    <n v="1.6243749999999999"/>
    <n v="2.1230434782608696"/>
    <x v="1"/>
    <n v="300"/>
    <n v="25.99"/>
    <x v="1"/>
    <s v="USD"/>
    <n v="1539061200"/>
    <n v="1539579600"/>
    <x v="778"/>
    <d v="2018-10-15T05:00:00"/>
    <s v="Tue"/>
    <n v="6"/>
    <b v="0"/>
    <b v="0"/>
    <s v="food/food trucks"/>
    <x v="0"/>
    <x v="0"/>
  </r>
  <r>
    <n v="868"/>
    <s v="Wood, Buckley and Meza"/>
    <s v="Front-line web-enabled installation"/>
    <n v="7000"/>
    <n v="12939"/>
    <n v="1.8484285714285715"/>
    <n v="2.1230434782608696"/>
    <x v="1"/>
    <n v="126"/>
    <n v="102.69047619047619"/>
    <x v="1"/>
    <s v="USD"/>
    <n v="1381554000"/>
    <n v="1382504400"/>
    <x v="779"/>
    <d v="2013-10-23T05:00:00"/>
    <s v="Sat"/>
    <n v="11"/>
    <b v="0"/>
    <b v="0"/>
    <s v="theater/plays"/>
    <x v="3"/>
    <x v="3"/>
  </r>
  <r>
    <n v="869"/>
    <s v="Brown-Williams"/>
    <s v="Multi-channeled responsive product"/>
    <n v="161900"/>
    <n v="38376"/>
    <n v="0.23703520691785052"/>
    <n v="0.50551920620886137"/>
    <x v="0"/>
    <n v="526"/>
    <n v="72.958174904942965"/>
    <x v="1"/>
    <s v="USD"/>
    <n v="1277096400"/>
    <n v="1278306000"/>
    <x v="780"/>
    <d v="2010-07-05T05:00:00"/>
    <s v="Mon"/>
    <n v="14"/>
    <b v="0"/>
    <b v="0"/>
    <s v="film &amp; video/drama"/>
    <x v="4"/>
    <x v="6"/>
  </r>
  <r>
    <n v="870"/>
    <s v="Hansen-Austin"/>
    <s v="Adaptive demand-driven encryption"/>
    <n v="7700"/>
    <n v="6920"/>
    <n v="0.89870129870129867"/>
    <n v="0.50551920620886137"/>
    <x v="0"/>
    <n v="121"/>
    <n v="57.190082644628099"/>
    <x v="1"/>
    <s v="USD"/>
    <n v="1440392400"/>
    <n v="1442552400"/>
    <x v="335"/>
    <d v="2015-09-18T05:00:00"/>
    <s v="Mon"/>
    <n v="25"/>
    <b v="0"/>
    <b v="0"/>
    <s v="theater/plays"/>
    <x v="3"/>
    <x v="3"/>
  </r>
  <r>
    <n v="871"/>
    <s v="Santana-George"/>
    <s v="Re-engineered client-driven knowledge user"/>
    <n v="71500"/>
    <n v="194912"/>
    <n v="2.7260419580419581"/>
    <n v="2.1230434782608696"/>
    <x v="1"/>
    <n v="2320"/>
    <n v="84.013793103448279"/>
    <x v="1"/>
    <s v="USD"/>
    <n v="1509512400"/>
    <n v="1511071200"/>
    <x v="535"/>
    <d v="2017-11-19T06:00:00"/>
    <s v="Wed"/>
    <n v="18"/>
    <b v="0"/>
    <b v="1"/>
    <s v="theater/plays"/>
    <x v="3"/>
    <x v="3"/>
  </r>
  <r>
    <n v="872"/>
    <s v="Davis LLC"/>
    <s v="Compatible logistical paradigm"/>
    <n v="4700"/>
    <n v="7992"/>
    <n v="1.7004255319148935"/>
    <n v="2.1230434782608696"/>
    <x v="1"/>
    <n v="81"/>
    <n v="98.666666666666671"/>
    <x v="2"/>
    <s v="AUD"/>
    <n v="1535950800"/>
    <n v="1536382800"/>
    <x v="270"/>
    <d v="2018-09-08T05:00:00"/>
    <s v="Mon"/>
    <n v="5"/>
    <b v="0"/>
    <b v="0"/>
    <s v="film &amp; video/science fiction"/>
    <x v="4"/>
    <x v="22"/>
  </r>
  <r>
    <n v="873"/>
    <s v="Vazquez, Ochoa and Clark"/>
    <s v="Intuitive value-added installation"/>
    <n v="42100"/>
    <n v="79268"/>
    <n v="1.8828503562945369"/>
    <n v="2.1230434782608696"/>
    <x v="1"/>
    <n v="1887"/>
    <n v="42.007419183889773"/>
    <x v="1"/>
    <s v="USD"/>
    <n v="1389160800"/>
    <n v="1389592800"/>
    <x v="781"/>
    <d v="2014-01-13T06:00:00"/>
    <s v="Wed"/>
    <n v="5"/>
    <b v="0"/>
    <b v="0"/>
    <s v="photography/photography books"/>
    <x v="7"/>
    <x v="14"/>
  </r>
  <r>
    <n v="874"/>
    <s v="Chung-Nguyen"/>
    <s v="Managed discrete parallelism"/>
    <n v="40200"/>
    <n v="139468"/>
    <n v="3.4693532338308457"/>
    <n v="2.1230434782608696"/>
    <x v="1"/>
    <n v="4358"/>
    <n v="32.002753556677376"/>
    <x v="1"/>
    <s v="USD"/>
    <n v="1271998800"/>
    <n v="1275282000"/>
    <x v="782"/>
    <d v="2010-05-31T05:00:00"/>
    <s v="Fri"/>
    <n v="38"/>
    <b v="0"/>
    <b v="1"/>
    <s v="photography/photography books"/>
    <x v="7"/>
    <x v="14"/>
  </r>
  <r>
    <n v="875"/>
    <s v="Mueller-Harmon"/>
    <s v="Implemented tangible approach"/>
    <n v="7900"/>
    <n v="5465"/>
    <n v="0.6917721518987342"/>
    <n v="0.50551920620886137"/>
    <x v="0"/>
    <n v="67"/>
    <n v="81.567164179104481"/>
    <x v="1"/>
    <s v="USD"/>
    <n v="1294898400"/>
    <n v="1294984800"/>
    <x v="783"/>
    <d v="2011-01-14T06:00:00"/>
    <s v="Thu"/>
    <n v="1"/>
    <b v="0"/>
    <b v="0"/>
    <s v="music/rock"/>
    <x v="1"/>
    <x v="1"/>
  </r>
  <r>
    <n v="876"/>
    <s v="Dixon, Perez and Banks"/>
    <s v="Re-engineered encompassing definition"/>
    <n v="8300"/>
    <n v="2111"/>
    <n v="0.25433734939759034"/>
    <n v="0.50551920620886137"/>
    <x v="0"/>
    <n v="57"/>
    <n v="37.035087719298247"/>
    <x v="0"/>
    <s v="CAD"/>
    <n v="1559970000"/>
    <n v="1562043600"/>
    <x v="784"/>
    <d v="2019-07-02T05:00:00"/>
    <s v="Sat"/>
    <n v="24"/>
    <b v="0"/>
    <b v="0"/>
    <s v="photography/photography books"/>
    <x v="7"/>
    <x v="14"/>
  </r>
  <r>
    <n v="877"/>
    <s v="Estrada Group"/>
    <s v="Multi-lateral uniform collaboration"/>
    <n v="163600"/>
    <n v="126628"/>
    <n v="0.77400977995110021"/>
    <n v="0.50551920620886137"/>
    <x v="0"/>
    <n v="1229"/>
    <n v="103.033360455655"/>
    <x v="1"/>
    <s v="USD"/>
    <n v="1469509200"/>
    <n v="1469595600"/>
    <x v="785"/>
    <d v="2016-07-27T05:00:00"/>
    <s v="Tue"/>
    <n v="1"/>
    <b v="0"/>
    <b v="0"/>
    <s v="food/food trucks"/>
    <x v="0"/>
    <x v="0"/>
  </r>
  <r>
    <n v="878"/>
    <s v="Lutz Group"/>
    <s v="Enterprise-wide foreground paradigm"/>
    <n v="2700"/>
    <n v="1012"/>
    <n v="0.37481481481481482"/>
    <n v="0.50551920620886137"/>
    <x v="0"/>
    <n v="12"/>
    <n v="84.333333333333329"/>
    <x v="6"/>
    <s v="EUR"/>
    <n v="1579068000"/>
    <n v="1581141600"/>
    <x v="786"/>
    <d v="2020-02-08T06:00:00"/>
    <s v="Wed"/>
    <n v="24"/>
    <b v="0"/>
    <b v="0"/>
    <s v="music/metal"/>
    <x v="1"/>
    <x v="16"/>
  </r>
  <r>
    <n v="879"/>
    <s v="Ortiz Inc"/>
    <s v="Stand-alone incremental parallelism"/>
    <n v="1000"/>
    <n v="5438"/>
    <n v="5.4379999999999997"/>
    <n v="2.1230434782608696"/>
    <x v="1"/>
    <n v="53"/>
    <n v="102.60377358490567"/>
    <x v="1"/>
    <s v="USD"/>
    <n v="1487743200"/>
    <n v="1488520800"/>
    <x v="787"/>
    <d v="2017-03-03T06:00:00"/>
    <s v="Wed"/>
    <n v="9"/>
    <b v="0"/>
    <b v="0"/>
    <s v="publishing/nonfiction"/>
    <x v="5"/>
    <x v="9"/>
  </r>
  <r>
    <n v="880"/>
    <s v="Craig, Ellis and Miller"/>
    <s v="Persevering 5thgeneration throughput"/>
    <n v="84500"/>
    <n v="193101"/>
    <n v="2.2852189349112426"/>
    <n v="2.1230434782608696"/>
    <x v="1"/>
    <n v="2414"/>
    <n v="79.992129246064621"/>
    <x v="1"/>
    <s v="USD"/>
    <n v="1563685200"/>
    <n v="1563858000"/>
    <x v="788"/>
    <d v="2019-07-23T05:00:00"/>
    <s v="Sun"/>
    <n v="2"/>
    <b v="0"/>
    <b v="0"/>
    <s v="music/electric music"/>
    <x v="1"/>
    <x v="5"/>
  </r>
  <r>
    <n v="881"/>
    <s v="Charles Inc"/>
    <s v="Implemented object-oriented synergy"/>
    <n v="81300"/>
    <n v="31665"/>
    <n v="0.38948339483394834"/>
    <n v="0.50551920620886137"/>
    <x v="0"/>
    <n v="452"/>
    <n v="70.055309734513273"/>
    <x v="1"/>
    <s v="USD"/>
    <n v="1436418000"/>
    <n v="1438923600"/>
    <x v="330"/>
    <d v="2015-08-07T05:00:00"/>
    <s v="Thu"/>
    <n v="29"/>
    <b v="0"/>
    <b v="1"/>
    <s v="theater/plays"/>
    <x v="3"/>
    <x v="3"/>
  </r>
  <r>
    <n v="882"/>
    <s v="White-Rosario"/>
    <s v="Balanced demand-driven definition"/>
    <n v="800"/>
    <n v="2960"/>
    <n v="3.7"/>
    <n v="2.1230434782608696"/>
    <x v="1"/>
    <n v="80"/>
    <n v="37"/>
    <x v="1"/>
    <s v="USD"/>
    <n v="1421820000"/>
    <n v="1422165600"/>
    <x v="789"/>
    <d v="2015-01-25T06:00:00"/>
    <s v="Wed"/>
    <n v="4"/>
    <b v="0"/>
    <b v="0"/>
    <s v="theater/plays"/>
    <x v="3"/>
    <x v="3"/>
  </r>
  <r>
    <n v="883"/>
    <s v="Simmons-Villarreal"/>
    <s v="Customer-focused mobile Graphic Interface"/>
    <n v="3400"/>
    <n v="8089"/>
    <n v="2.3791176470588233"/>
    <n v="2.1230434782608696"/>
    <x v="1"/>
    <n v="193"/>
    <n v="41.911917098445599"/>
    <x v="1"/>
    <s v="USD"/>
    <n v="1274763600"/>
    <n v="1277874000"/>
    <x v="790"/>
    <d v="2010-06-30T05:00:00"/>
    <s v="Tue"/>
    <n v="36"/>
    <b v="0"/>
    <b v="0"/>
    <s v="film &amp; video/shorts"/>
    <x v="4"/>
    <x v="12"/>
  </r>
  <r>
    <n v="884"/>
    <s v="Strickland Group"/>
    <s v="Horizontal secondary interface"/>
    <n v="170800"/>
    <n v="109374"/>
    <n v="0.64036299765807958"/>
    <n v="0.50551920620886137"/>
    <x v="0"/>
    <n v="1886"/>
    <n v="57.992576882290564"/>
    <x v="1"/>
    <s v="USD"/>
    <n v="1399179600"/>
    <n v="1399352400"/>
    <x v="791"/>
    <d v="2014-05-06T05:00:00"/>
    <s v="Sun"/>
    <n v="2"/>
    <b v="0"/>
    <b v="1"/>
    <s v="theater/plays"/>
    <x v="3"/>
    <x v="3"/>
  </r>
  <r>
    <n v="885"/>
    <s v="Lynch Ltd"/>
    <s v="Virtual analyzing collaboration"/>
    <n v="1800"/>
    <n v="2129"/>
    <n v="1.1827777777777777"/>
    <n v="2.1230434782608696"/>
    <x v="1"/>
    <n v="52"/>
    <n v="40.942307692307693"/>
    <x v="1"/>
    <s v="USD"/>
    <n v="1275800400"/>
    <n v="1279083600"/>
    <x v="792"/>
    <d v="2010-07-14T05:00:00"/>
    <s v="Sun"/>
    <n v="38"/>
    <b v="0"/>
    <b v="0"/>
    <s v="theater/plays"/>
    <x v="3"/>
    <x v="3"/>
  </r>
  <r>
    <n v="886"/>
    <s v="Sanders LLC"/>
    <s v="Multi-tiered explicit focus group"/>
    <n v="150600"/>
    <n v="127745"/>
    <n v="0.84824037184594958"/>
    <n v="0.50551920620886137"/>
    <x v="0"/>
    <n v="1825"/>
    <n v="69.9972602739726"/>
    <x v="1"/>
    <s v="USD"/>
    <n v="1282798800"/>
    <n v="1284354000"/>
    <x v="793"/>
    <d v="2010-09-13T05:00:00"/>
    <s v="Thu"/>
    <n v="18"/>
    <b v="0"/>
    <b v="0"/>
    <s v="music/indie rock"/>
    <x v="1"/>
    <x v="7"/>
  </r>
  <r>
    <n v="887"/>
    <s v="Cooper LLC"/>
    <s v="Multi-layered systematic knowledgebase"/>
    <n v="7800"/>
    <n v="2289"/>
    <n v="0.29346153846153844"/>
    <n v="0.50551920620886137"/>
    <x v="0"/>
    <n v="31"/>
    <n v="73.838709677419359"/>
    <x v="1"/>
    <s v="USD"/>
    <n v="1437109200"/>
    <n v="1441170000"/>
    <x v="794"/>
    <d v="2015-09-02T05:00:00"/>
    <s v="Fri"/>
    <n v="47"/>
    <b v="0"/>
    <b v="1"/>
    <s v="theater/plays"/>
    <x v="3"/>
    <x v="3"/>
  </r>
  <r>
    <n v="888"/>
    <s v="Palmer Ltd"/>
    <s v="Reverse-engineered uniform knowledge user"/>
    <n v="5800"/>
    <n v="12174"/>
    <n v="2.0989655172413793"/>
    <n v="2.1230434782608696"/>
    <x v="1"/>
    <n v="290"/>
    <n v="41.979310344827589"/>
    <x v="1"/>
    <s v="USD"/>
    <n v="1491886800"/>
    <n v="1493528400"/>
    <x v="795"/>
    <d v="2017-04-30T05:00:00"/>
    <s v="Tue"/>
    <n v="19"/>
    <b v="0"/>
    <b v="0"/>
    <s v="theater/plays"/>
    <x v="3"/>
    <x v="3"/>
  </r>
  <r>
    <n v="889"/>
    <s v="Santos Group"/>
    <s v="Secured dynamic capacity"/>
    <n v="5600"/>
    <n v="9508"/>
    <n v="1.697857142857143"/>
    <n v="2.1230434782608696"/>
    <x v="1"/>
    <n v="122"/>
    <n v="77.93442622950819"/>
    <x v="1"/>
    <s v="USD"/>
    <n v="1394600400"/>
    <n v="1395205200"/>
    <x v="796"/>
    <d v="2014-03-19T05:00:00"/>
    <s v="Wed"/>
    <n v="7"/>
    <b v="0"/>
    <b v="1"/>
    <s v="music/electric music"/>
    <x v="1"/>
    <x v="5"/>
  </r>
  <r>
    <n v="890"/>
    <s v="Christian, Kim and Jimenez"/>
    <s v="Devolved foreground throughput"/>
    <n v="134400"/>
    <n v="155849"/>
    <n v="1.1595907738095239"/>
    <n v="2.1230434782608696"/>
    <x v="1"/>
    <n v="1470"/>
    <n v="106.01972789115646"/>
    <x v="1"/>
    <s v="USD"/>
    <n v="1561352400"/>
    <n v="1561438800"/>
    <x v="797"/>
    <d v="2019-06-25T05:00:00"/>
    <s v="Mon"/>
    <n v="1"/>
    <b v="0"/>
    <b v="0"/>
    <s v="music/indie rock"/>
    <x v="1"/>
    <x v="7"/>
  </r>
  <r>
    <n v="891"/>
    <s v="Williams, Price and Hurley"/>
    <s v="Synchronized demand-driven infrastructure"/>
    <n v="3000"/>
    <n v="7758"/>
    <n v="2.5859999999999999"/>
    <n v="2.1230434782608696"/>
    <x v="1"/>
    <n v="165"/>
    <n v="47.018181818181816"/>
    <x v="0"/>
    <s v="CAD"/>
    <n v="1322892000"/>
    <n v="1326693600"/>
    <x v="798"/>
    <d v="2012-01-16T06:00:00"/>
    <s v="Sat"/>
    <n v="44"/>
    <b v="0"/>
    <b v="0"/>
    <s v="film &amp; video/documentary"/>
    <x v="4"/>
    <x v="4"/>
  </r>
  <r>
    <n v="892"/>
    <s v="Anderson, Parks and Estrada"/>
    <s v="Realigned discrete structure"/>
    <n v="6000"/>
    <n v="13835"/>
    <n v="2.3058333333333332"/>
    <n v="2.1230434782608696"/>
    <x v="1"/>
    <n v="182"/>
    <n v="76.016483516483518"/>
    <x v="1"/>
    <s v="USD"/>
    <n v="1274418000"/>
    <n v="1277960400"/>
    <x v="799"/>
    <d v="2010-07-01T05:00:00"/>
    <s v="Fri"/>
    <n v="41"/>
    <b v="0"/>
    <b v="0"/>
    <s v="publishing/translations"/>
    <x v="5"/>
    <x v="18"/>
  </r>
  <r>
    <n v="893"/>
    <s v="Collins-Martinez"/>
    <s v="Progressive grid-enabled website"/>
    <n v="8400"/>
    <n v="10770"/>
    <n v="1.2821428571428573"/>
    <n v="2.1230434782608696"/>
    <x v="1"/>
    <n v="199"/>
    <n v="54.120603015075375"/>
    <x v="6"/>
    <s v="EUR"/>
    <n v="1434344400"/>
    <n v="1434690000"/>
    <x v="800"/>
    <d v="2015-06-19T05:00:00"/>
    <s v="Mon"/>
    <n v="4"/>
    <b v="0"/>
    <b v="1"/>
    <s v="film &amp; video/documentary"/>
    <x v="4"/>
    <x v="4"/>
  </r>
  <r>
    <n v="894"/>
    <s v="Barrett Inc"/>
    <s v="Organic cohesive neural-net"/>
    <n v="1700"/>
    <n v="3208"/>
    <n v="1.8870588235294117"/>
    <n v="2.1230434782608696"/>
    <x v="1"/>
    <n v="56"/>
    <n v="57.285714285714285"/>
    <x v="4"/>
    <s v="GBP"/>
    <n v="1373518800"/>
    <n v="1376110800"/>
    <x v="801"/>
    <d v="2013-08-10T05:00:00"/>
    <s v="Thu"/>
    <n v="30"/>
    <b v="0"/>
    <b v="1"/>
    <s v="film &amp; video/television"/>
    <x v="4"/>
    <x v="19"/>
  </r>
  <r>
    <n v="895"/>
    <s v="Adams-Rollins"/>
    <s v="Integrated demand-driven info-mediaries"/>
    <n v="159800"/>
    <n v="11108"/>
    <n v="6.9511889862327911E-2"/>
    <n v="0.50551920620886137"/>
    <x v="0"/>
    <n v="107"/>
    <n v="103.81308411214954"/>
    <x v="1"/>
    <s v="USD"/>
    <n v="1517637600"/>
    <n v="1518415200"/>
    <x v="802"/>
    <d v="2018-02-12T06:00:00"/>
    <s v="Sat"/>
    <n v="9"/>
    <b v="0"/>
    <b v="0"/>
    <s v="theater/plays"/>
    <x v="3"/>
    <x v="3"/>
  </r>
  <r>
    <n v="896"/>
    <s v="Wright-Bryant"/>
    <s v="Reverse-engineered client-server extranet"/>
    <n v="19800"/>
    <n v="153338"/>
    <n v="7.7443434343434348"/>
    <n v="2.1230434782608696"/>
    <x v="1"/>
    <n v="1460"/>
    <n v="105.02602739726028"/>
    <x v="2"/>
    <s v="AUD"/>
    <n v="1310619600"/>
    <n v="1310878800"/>
    <x v="803"/>
    <d v="2011-07-17T05:00:00"/>
    <s v="Thu"/>
    <n v="3"/>
    <b v="0"/>
    <b v="1"/>
    <s v="food/food trucks"/>
    <x v="0"/>
    <x v="0"/>
  </r>
  <r>
    <n v="897"/>
    <s v="Berry-Cannon"/>
    <s v="Organized discrete encoding"/>
    <n v="8800"/>
    <n v="2437"/>
    <n v="0.27693181818181817"/>
    <n v="0.50551920620886137"/>
    <x v="0"/>
    <n v="27"/>
    <n v="90.259259259259252"/>
    <x v="1"/>
    <s v="USD"/>
    <n v="1556427600"/>
    <n v="1556600400"/>
    <x v="212"/>
    <d v="2019-04-30T05:00:00"/>
    <s v="Sun"/>
    <n v="2"/>
    <b v="0"/>
    <b v="0"/>
    <s v="theater/plays"/>
    <x v="3"/>
    <x v="3"/>
  </r>
  <r>
    <n v="898"/>
    <s v="Davis-Gonzalez"/>
    <s v="Balanced regional flexibility"/>
    <n v="179100"/>
    <n v="93991"/>
    <n v="0.52479620323841425"/>
    <n v="0.50551920620886137"/>
    <x v="0"/>
    <n v="1221"/>
    <n v="76.978705978705975"/>
    <x v="1"/>
    <s v="USD"/>
    <n v="1576476000"/>
    <n v="1576994400"/>
    <x v="804"/>
    <d v="2019-12-22T06:00:00"/>
    <s v="Mon"/>
    <n v="6"/>
    <b v="0"/>
    <b v="0"/>
    <s v="film &amp; video/documentary"/>
    <x v="4"/>
    <x v="4"/>
  </r>
  <r>
    <n v="899"/>
    <s v="Best-Young"/>
    <s v="Implemented multimedia time-frame"/>
    <n v="3100"/>
    <n v="12620"/>
    <n v="4.0709677419354842"/>
    <n v="2.1230434782608696"/>
    <x v="1"/>
    <n v="123"/>
    <n v="102.60162601626017"/>
    <x v="5"/>
    <s v="CHF"/>
    <n v="1381122000"/>
    <n v="1382677200"/>
    <x v="805"/>
    <d v="2013-10-25T05:00:00"/>
    <s v="Mon"/>
    <n v="18"/>
    <b v="0"/>
    <b v="0"/>
    <s v="music/jazz"/>
    <x v="1"/>
    <x v="17"/>
  </r>
  <r>
    <n v="900"/>
    <s v="Powers, Smith and Deleon"/>
    <s v="Enhanced uniform service-desk"/>
    <n v="100"/>
    <n v="2"/>
    <n v="0.02"/>
    <n v="0.50551920620886137"/>
    <x v="0"/>
    <n v="1"/>
    <n v="2"/>
    <x v="1"/>
    <s v="USD"/>
    <n v="1411102800"/>
    <n v="1411189200"/>
    <x v="806"/>
    <d v="2014-09-20T05:00:00"/>
    <s v="Fri"/>
    <n v="1"/>
    <b v="0"/>
    <b v="1"/>
    <s v="technology/web"/>
    <x v="2"/>
    <x v="2"/>
  </r>
  <r>
    <n v="901"/>
    <s v="Hogan Group"/>
    <s v="Versatile bottom-line definition"/>
    <n v="5600"/>
    <n v="8746"/>
    <n v="1.5617857142857143"/>
    <n v="2.1230434782608696"/>
    <x v="1"/>
    <n v="159"/>
    <n v="55.0062893081761"/>
    <x v="1"/>
    <s v="USD"/>
    <n v="1531803600"/>
    <n v="1534654800"/>
    <x v="807"/>
    <d v="2018-08-19T05:00:00"/>
    <s v="Tue"/>
    <n v="33"/>
    <b v="0"/>
    <b v="1"/>
    <s v="music/rock"/>
    <x v="1"/>
    <x v="1"/>
  </r>
  <r>
    <n v="902"/>
    <s v="Wang, Silva and Byrd"/>
    <s v="Integrated bifurcated software"/>
    <n v="1400"/>
    <n v="3534"/>
    <n v="2.5242857142857145"/>
    <n v="2.1230434782608696"/>
    <x v="1"/>
    <n v="110"/>
    <n v="32.127272727272725"/>
    <x v="1"/>
    <s v="USD"/>
    <n v="1454133600"/>
    <n v="1457762400"/>
    <x v="722"/>
    <d v="2016-03-12T06:00:00"/>
    <s v="Sat"/>
    <n v="42"/>
    <b v="0"/>
    <b v="0"/>
    <s v="technology/web"/>
    <x v="2"/>
    <x v="2"/>
  </r>
  <r>
    <n v="903"/>
    <s v="Parker-Morris"/>
    <s v="Assimilated next generation instruction set"/>
    <n v="41000"/>
    <n v="709"/>
    <n v="1.729268292682927E-2"/>
    <n v="0.49522981646937392"/>
    <x v="2"/>
    <n v="14"/>
    <n v="50.642857142857146"/>
    <x v="1"/>
    <s v="USD"/>
    <n v="1336194000"/>
    <n v="1337490000"/>
    <x v="477"/>
    <d v="2012-05-20T05:00:00"/>
    <s v="Sat"/>
    <n v="15"/>
    <b v="0"/>
    <b v="1"/>
    <s v="publishing/nonfiction"/>
    <x v="5"/>
    <x v="9"/>
  </r>
  <r>
    <n v="904"/>
    <s v="Rodriguez, Johnson and Jackson"/>
    <s v="Digitized foreground array"/>
    <n v="6500"/>
    <n v="795"/>
    <n v="0.12230769230769231"/>
    <n v="0.50551920620886137"/>
    <x v="0"/>
    <n v="16"/>
    <n v="49.6875"/>
    <x v="1"/>
    <s v="USD"/>
    <n v="1349326800"/>
    <n v="1349672400"/>
    <x v="259"/>
    <d v="2012-10-08T05:00:00"/>
    <s v="Thu"/>
    <n v="4"/>
    <b v="0"/>
    <b v="0"/>
    <s v="publishing/radio &amp; podcasts"/>
    <x v="5"/>
    <x v="15"/>
  </r>
  <r>
    <n v="905"/>
    <s v="Haynes PLC"/>
    <s v="Re-engineered clear-thinking project"/>
    <n v="7900"/>
    <n v="12955"/>
    <n v="1.6398734177215191"/>
    <n v="2.1230434782608696"/>
    <x v="1"/>
    <n v="236"/>
    <n v="54.894067796610166"/>
    <x v="1"/>
    <s v="USD"/>
    <n v="1379566800"/>
    <n v="1379826000"/>
    <x v="9"/>
    <d v="2013-09-22T05:00:00"/>
    <s v="Thu"/>
    <n v="3"/>
    <b v="0"/>
    <b v="0"/>
    <s v="theater/plays"/>
    <x v="3"/>
    <x v="3"/>
  </r>
  <r>
    <n v="906"/>
    <s v="Hayes Group"/>
    <s v="Implemented even-keeled standardization"/>
    <n v="5500"/>
    <n v="8964"/>
    <n v="1.6298181818181818"/>
    <n v="2.1230434782608696"/>
    <x v="1"/>
    <n v="191"/>
    <n v="46.931937172774866"/>
    <x v="1"/>
    <s v="USD"/>
    <n v="1494651600"/>
    <n v="1497762000"/>
    <x v="808"/>
    <d v="2017-06-18T05:00:00"/>
    <s v="Sat"/>
    <n v="36"/>
    <b v="1"/>
    <b v="1"/>
    <s v="film &amp; video/documentary"/>
    <x v="4"/>
    <x v="4"/>
  </r>
  <r>
    <n v="907"/>
    <s v="White, Pena and Calhoun"/>
    <s v="Quality-focused asymmetric adapter"/>
    <n v="9100"/>
    <n v="1843"/>
    <n v="0.20252747252747252"/>
    <n v="0.50551920620886137"/>
    <x v="0"/>
    <n v="41"/>
    <n v="44.951219512195124"/>
    <x v="1"/>
    <s v="USD"/>
    <n v="1303880400"/>
    <n v="1304485200"/>
    <x v="809"/>
    <d v="2011-05-04T05:00:00"/>
    <s v="Wed"/>
    <n v="7"/>
    <b v="0"/>
    <b v="0"/>
    <s v="theater/plays"/>
    <x v="3"/>
    <x v="3"/>
  </r>
  <r>
    <n v="908"/>
    <s v="Bryant-Pope"/>
    <s v="Networked intangible help-desk"/>
    <n v="38200"/>
    <n v="121950"/>
    <n v="3.1924083769633507"/>
    <n v="2.1230434782608696"/>
    <x v="1"/>
    <n v="3934"/>
    <n v="30.99898322318251"/>
    <x v="1"/>
    <s v="USD"/>
    <n v="1335934800"/>
    <n v="1336885200"/>
    <x v="444"/>
    <d v="2012-05-13T05:00:00"/>
    <s v="Wed"/>
    <n v="11"/>
    <b v="0"/>
    <b v="0"/>
    <s v="games/video games"/>
    <x v="6"/>
    <x v="11"/>
  </r>
  <r>
    <n v="909"/>
    <s v="Gates, Li and Thompson"/>
    <s v="Synchronized attitude-oriented frame"/>
    <n v="1800"/>
    <n v="8621"/>
    <n v="4.7894444444444444"/>
    <n v="2.1230434782608696"/>
    <x v="1"/>
    <n v="80"/>
    <n v="107.7625"/>
    <x v="0"/>
    <s v="CAD"/>
    <n v="1528088400"/>
    <n v="1530421200"/>
    <x v="384"/>
    <d v="2018-07-01T05:00:00"/>
    <s v="Mon"/>
    <n v="27"/>
    <b v="0"/>
    <b v="1"/>
    <s v="theater/plays"/>
    <x v="3"/>
    <x v="3"/>
  </r>
  <r>
    <n v="910"/>
    <s v="King-Morris"/>
    <s v="Proactive incremental architecture"/>
    <n v="154500"/>
    <n v="30215"/>
    <n v="0.19556634304207121"/>
    <n v="0.43241247264770238"/>
    <x v="3"/>
    <n v="296"/>
    <n v="102.07770270270271"/>
    <x v="1"/>
    <s v="USD"/>
    <n v="1421906400"/>
    <n v="1421992800"/>
    <x v="810"/>
    <d v="2015-01-23T06:00:00"/>
    <s v="Thu"/>
    <n v="1"/>
    <b v="0"/>
    <b v="0"/>
    <s v="theater/plays"/>
    <x v="3"/>
    <x v="3"/>
  </r>
  <r>
    <n v="911"/>
    <s v="Carter, Cole and Curtis"/>
    <s v="Cloned responsive standardization"/>
    <n v="5800"/>
    <n v="11539"/>
    <n v="1.9894827586206896"/>
    <n v="2.1230434782608696"/>
    <x v="1"/>
    <n v="462"/>
    <n v="24.976190476190474"/>
    <x v="1"/>
    <s v="USD"/>
    <n v="1568005200"/>
    <n v="1568178000"/>
    <x v="811"/>
    <d v="2019-09-11T05:00:00"/>
    <s v="Mon"/>
    <n v="2"/>
    <b v="1"/>
    <b v="0"/>
    <s v="technology/web"/>
    <x v="2"/>
    <x v="2"/>
  </r>
  <r>
    <n v="912"/>
    <s v="Sanchez-Parsons"/>
    <s v="Reduced bifurcated pricing structure"/>
    <n v="1800"/>
    <n v="14310"/>
    <n v="7.95"/>
    <n v="2.1230434782608696"/>
    <x v="1"/>
    <n v="179"/>
    <n v="79.944134078212286"/>
    <x v="1"/>
    <s v="USD"/>
    <n v="1346821200"/>
    <n v="1347944400"/>
    <x v="812"/>
    <d v="2012-09-18T05:00:00"/>
    <s v="Wed"/>
    <n v="13"/>
    <b v="1"/>
    <b v="0"/>
    <s v="film &amp; video/drama"/>
    <x v="4"/>
    <x v="6"/>
  </r>
  <r>
    <n v="913"/>
    <s v="Rivera-Pearson"/>
    <s v="Re-engineered asymmetric challenge"/>
    <n v="70200"/>
    <n v="35536"/>
    <n v="0.50621082621082625"/>
    <n v="0.50551920620886137"/>
    <x v="0"/>
    <n v="523"/>
    <n v="67.946462715105156"/>
    <x v="2"/>
    <s v="AUD"/>
    <n v="1557637200"/>
    <n v="1558760400"/>
    <x v="813"/>
    <d v="2019-05-25T05:00:00"/>
    <s v="Sun"/>
    <n v="13"/>
    <b v="0"/>
    <b v="0"/>
    <s v="film &amp; video/drama"/>
    <x v="4"/>
    <x v="6"/>
  </r>
  <r>
    <n v="914"/>
    <s v="Ramirez, Padilla and Barrera"/>
    <s v="Diverse client-driven conglomeration"/>
    <n v="6400"/>
    <n v="3676"/>
    <n v="0.57437499999999997"/>
    <n v="0.50551920620886137"/>
    <x v="0"/>
    <n v="141"/>
    <n v="26.070921985815602"/>
    <x v="4"/>
    <s v="GBP"/>
    <n v="1375592400"/>
    <n v="1376629200"/>
    <x v="814"/>
    <d v="2013-08-16T05:00:00"/>
    <s v="Sun"/>
    <n v="12"/>
    <b v="0"/>
    <b v="0"/>
    <s v="theater/plays"/>
    <x v="3"/>
    <x v="3"/>
  </r>
  <r>
    <n v="915"/>
    <s v="Riggs Group"/>
    <s v="Configurable upward-trending solution"/>
    <n v="125900"/>
    <n v="195936"/>
    <n v="1.5562827640984909"/>
    <n v="2.1230434782608696"/>
    <x v="1"/>
    <n v="1866"/>
    <n v="105.0032154340836"/>
    <x v="4"/>
    <s v="GBP"/>
    <n v="1503982800"/>
    <n v="1504760400"/>
    <x v="80"/>
    <d v="2017-09-07T05:00:00"/>
    <s v="Tue"/>
    <n v="9"/>
    <b v="0"/>
    <b v="0"/>
    <s v="film &amp; video/television"/>
    <x v="4"/>
    <x v="19"/>
  </r>
  <r>
    <n v="916"/>
    <s v="Clements Ltd"/>
    <s v="Persistent bandwidth-monitored framework"/>
    <n v="3700"/>
    <n v="1343"/>
    <n v="0.36297297297297298"/>
    <n v="0.50551920620886137"/>
    <x v="0"/>
    <n v="52"/>
    <n v="25.826923076923077"/>
    <x v="1"/>
    <s v="USD"/>
    <n v="1418882400"/>
    <n v="1419660000"/>
    <x v="815"/>
    <d v="2014-12-27T06:00:00"/>
    <s v="Thu"/>
    <n v="9"/>
    <b v="0"/>
    <b v="0"/>
    <s v="photography/photography books"/>
    <x v="7"/>
    <x v="14"/>
  </r>
  <r>
    <n v="917"/>
    <s v="Cooper Inc"/>
    <s v="Polarized discrete product"/>
    <n v="3600"/>
    <n v="2097"/>
    <n v="0.58250000000000002"/>
    <n v="0.49522981646937392"/>
    <x v="2"/>
    <n v="27"/>
    <n v="77.666666666666671"/>
    <x v="4"/>
    <s v="GBP"/>
    <n v="1309237200"/>
    <n v="1311310800"/>
    <x v="816"/>
    <d v="2011-07-22T05:00:00"/>
    <s v="Tue"/>
    <n v="24"/>
    <b v="0"/>
    <b v="1"/>
    <s v="film &amp; video/shorts"/>
    <x v="4"/>
    <x v="12"/>
  </r>
  <r>
    <n v="918"/>
    <s v="Jones-Gonzalez"/>
    <s v="Seamless dynamic website"/>
    <n v="3800"/>
    <n v="9021"/>
    <n v="2.3739473684210526"/>
    <n v="2.1230434782608696"/>
    <x v="1"/>
    <n v="156"/>
    <n v="57.82692307692308"/>
    <x v="5"/>
    <s v="CHF"/>
    <n v="1343365200"/>
    <n v="1344315600"/>
    <x v="474"/>
    <d v="2012-08-07T05:00:00"/>
    <s v="Fri"/>
    <n v="11"/>
    <b v="0"/>
    <b v="0"/>
    <s v="publishing/radio &amp; podcasts"/>
    <x v="5"/>
    <x v="15"/>
  </r>
  <r>
    <n v="919"/>
    <s v="Fox Ltd"/>
    <s v="Extended multimedia firmware"/>
    <n v="35600"/>
    <n v="20915"/>
    <n v="0.58750000000000002"/>
    <n v="0.50551920620886137"/>
    <x v="0"/>
    <n v="225"/>
    <n v="92.955555555555549"/>
    <x v="2"/>
    <s v="AUD"/>
    <n v="1507957200"/>
    <n v="1510725600"/>
    <x v="817"/>
    <d v="2017-11-15T06:00:00"/>
    <s v="Sat"/>
    <n v="32"/>
    <b v="0"/>
    <b v="1"/>
    <s v="theater/plays"/>
    <x v="3"/>
    <x v="3"/>
  </r>
  <r>
    <n v="920"/>
    <s v="Green, Murphy and Webb"/>
    <s v="Versatile directional project"/>
    <n v="5300"/>
    <n v="9676"/>
    <n v="1.8256603773584905"/>
    <n v="2.1230434782608696"/>
    <x v="1"/>
    <n v="255"/>
    <n v="37.945098039215686"/>
    <x v="1"/>
    <s v="USD"/>
    <n v="1549519200"/>
    <n v="1551247200"/>
    <x v="818"/>
    <d v="2019-02-27T06:00:00"/>
    <s v="Thu"/>
    <n v="20"/>
    <b v="1"/>
    <b v="0"/>
    <s v="film &amp; video/animation"/>
    <x v="4"/>
    <x v="10"/>
  </r>
  <r>
    <n v="921"/>
    <s v="Stevenson PLC"/>
    <s v="Profound directional knowledge user"/>
    <n v="160400"/>
    <n v="1210"/>
    <n v="7.5436408977556111E-3"/>
    <n v="0.50551920620886137"/>
    <x v="0"/>
    <n v="38"/>
    <n v="31.842105263157894"/>
    <x v="1"/>
    <s v="USD"/>
    <n v="1329026400"/>
    <n v="1330236000"/>
    <x v="819"/>
    <d v="2012-02-26T06:00:00"/>
    <s v="Sun"/>
    <n v="14"/>
    <b v="0"/>
    <b v="0"/>
    <s v="technology/web"/>
    <x v="2"/>
    <x v="2"/>
  </r>
  <r>
    <n v="922"/>
    <s v="Soto-Anthony"/>
    <s v="Ameliorated logistical capability"/>
    <n v="51400"/>
    <n v="90440"/>
    <n v="1.7595330739299611"/>
    <n v="2.1230434782608696"/>
    <x v="1"/>
    <n v="2261"/>
    <n v="40"/>
    <x v="1"/>
    <s v="USD"/>
    <n v="1544335200"/>
    <n v="1545112800"/>
    <x v="609"/>
    <d v="2018-12-18T06:00:00"/>
    <s v="Sun"/>
    <n v="9"/>
    <b v="0"/>
    <b v="1"/>
    <s v="music/world music"/>
    <x v="1"/>
    <x v="21"/>
  </r>
  <r>
    <n v="923"/>
    <s v="Wise and Sons"/>
    <s v="Sharable discrete definition"/>
    <n v="1700"/>
    <n v="4044"/>
    <n v="2.3788235294117648"/>
    <n v="2.1230434782608696"/>
    <x v="1"/>
    <n v="40"/>
    <n v="101.1"/>
    <x v="1"/>
    <s v="USD"/>
    <n v="1279083600"/>
    <n v="1279170000"/>
    <x v="547"/>
    <d v="2010-07-15T05:00:00"/>
    <s v="Wed"/>
    <n v="1"/>
    <b v="0"/>
    <b v="0"/>
    <s v="theater/plays"/>
    <x v="3"/>
    <x v="3"/>
  </r>
  <r>
    <n v="924"/>
    <s v="Butler-Barr"/>
    <s v="User-friendly next generation core"/>
    <n v="39400"/>
    <n v="192292"/>
    <n v="4.8805076142131982"/>
    <n v="2.1230434782608696"/>
    <x v="1"/>
    <n v="2289"/>
    <n v="84.006989951944078"/>
    <x v="6"/>
    <s v="EUR"/>
    <n v="1572498000"/>
    <n v="1573452000"/>
    <x v="820"/>
    <d v="2019-11-11T06:00:00"/>
    <s v="Thu"/>
    <n v="11"/>
    <b v="0"/>
    <b v="0"/>
    <s v="theater/plays"/>
    <x v="3"/>
    <x v="3"/>
  </r>
  <r>
    <n v="925"/>
    <s v="Wilson, Jefferson and Anderson"/>
    <s v="Profit-focused empowering system engine"/>
    <n v="3000"/>
    <n v="6722"/>
    <n v="2.2406666666666668"/>
    <n v="2.1230434782608696"/>
    <x v="1"/>
    <n v="65"/>
    <n v="103.41538461538461"/>
    <x v="1"/>
    <s v="USD"/>
    <n v="1506056400"/>
    <n v="1507093200"/>
    <x v="821"/>
    <d v="2017-10-04T05:00:00"/>
    <s v="Fri"/>
    <n v="12"/>
    <b v="0"/>
    <b v="0"/>
    <s v="theater/plays"/>
    <x v="3"/>
    <x v="3"/>
  </r>
  <r>
    <n v="926"/>
    <s v="Brown-Oliver"/>
    <s v="Synchronized cohesive encoding"/>
    <n v="8700"/>
    <n v="1577"/>
    <n v="0.18126436781609195"/>
    <n v="0.50551920620886137"/>
    <x v="0"/>
    <n v="15"/>
    <n v="105.13333333333334"/>
    <x v="1"/>
    <s v="USD"/>
    <n v="1463029200"/>
    <n v="1463374800"/>
    <x v="151"/>
    <d v="2016-05-16T05:00:00"/>
    <s v="Thu"/>
    <n v="4"/>
    <b v="0"/>
    <b v="0"/>
    <s v="food/food trucks"/>
    <x v="0"/>
    <x v="0"/>
  </r>
  <r>
    <n v="927"/>
    <s v="Davis-Gardner"/>
    <s v="Synergistic dynamic utilization"/>
    <n v="7200"/>
    <n v="3301"/>
    <n v="0.45847222222222223"/>
    <n v="0.50551920620886137"/>
    <x v="0"/>
    <n v="37"/>
    <n v="89.21621621621621"/>
    <x v="1"/>
    <s v="USD"/>
    <n v="1342069200"/>
    <n v="1344574800"/>
    <x v="822"/>
    <d v="2012-08-10T05:00:00"/>
    <s v="Thu"/>
    <n v="29"/>
    <b v="0"/>
    <b v="0"/>
    <s v="theater/plays"/>
    <x v="3"/>
    <x v="3"/>
  </r>
  <r>
    <n v="928"/>
    <s v="Dawson Group"/>
    <s v="Triple-buffered bi-directional model"/>
    <n v="167400"/>
    <n v="196386"/>
    <n v="1.1731541218637993"/>
    <n v="2.1230434782608696"/>
    <x v="1"/>
    <n v="3777"/>
    <n v="51.995234312946785"/>
    <x v="6"/>
    <s v="EUR"/>
    <n v="1388296800"/>
    <n v="1389074400"/>
    <x v="823"/>
    <d v="2014-01-07T06:00:00"/>
    <s v="Sun"/>
    <n v="9"/>
    <b v="0"/>
    <b v="0"/>
    <s v="technology/web"/>
    <x v="2"/>
    <x v="2"/>
  </r>
  <r>
    <n v="929"/>
    <s v="Turner-Terrell"/>
    <s v="Polarized tertiary function"/>
    <n v="5500"/>
    <n v="11952"/>
    <n v="2.173090909090909"/>
    <n v="2.1230434782608696"/>
    <x v="1"/>
    <n v="184"/>
    <n v="64.956521739130437"/>
    <x v="4"/>
    <s v="GBP"/>
    <n v="1493787600"/>
    <n v="1494997200"/>
    <x v="824"/>
    <d v="2017-05-17T05:00:00"/>
    <s v="Wed"/>
    <n v="14"/>
    <b v="0"/>
    <b v="0"/>
    <s v="theater/plays"/>
    <x v="3"/>
    <x v="3"/>
  </r>
  <r>
    <n v="930"/>
    <s v="Hall, Buchanan and Benton"/>
    <s v="Configurable fault-tolerant structure"/>
    <n v="3500"/>
    <n v="3930"/>
    <n v="1.1228571428571428"/>
    <n v="2.1230434782608696"/>
    <x v="1"/>
    <n v="85"/>
    <n v="46.235294117647058"/>
    <x v="1"/>
    <s v="USD"/>
    <n v="1424844000"/>
    <n v="1425448800"/>
    <x v="825"/>
    <d v="2015-03-04T06:00:00"/>
    <s v="Wed"/>
    <n v="7"/>
    <b v="0"/>
    <b v="1"/>
    <s v="theater/plays"/>
    <x v="3"/>
    <x v="3"/>
  </r>
  <r>
    <n v="931"/>
    <s v="Lowery, Hayden and Cruz"/>
    <s v="Digitized 24/7 budgetary management"/>
    <n v="7900"/>
    <n v="5729"/>
    <n v="0.72518987341772156"/>
    <n v="0.50551920620886137"/>
    <x v="0"/>
    <n v="112"/>
    <n v="51.151785714285715"/>
    <x v="1"/>
    <s v="USD"/>
    <n v="1403931600"/>
    <n v="1404104400"/>
    <x v="826"/>
    <d v="2014-06-30T05:00:00"/>
    <s v="Sat"/>
    <n v="2"/>
    <b v="0"/>
    <b v="1"/>
    <s v="theater/plays"/>
    <x v="3"/>
    <x v="3"/>
  </r>
  <r>
    <n v="932"/>
    <s v="Mora, Miller and Harper"/>
    <s v="Stand-alone zero tolerance algorithm"/>
    <n v="2300"/>
    <n v="4883"/>
    <n v="2.1230434782608696"/>
    <n v="2.1230434782608696"/>
    <x v="1"/>
    <n v="144"/>
    <n v="33.909722222222221"/>
    <x v="1"/>
    <s v="USD"/>
    <n v="1394514000"/>
    <n v="1394773200"/>
    <x v="827"/>
    <d v="2014-03-14T05:00:00"/>
    <s v="Tue"/>
    <n v="3"/>
    <b v="0"/>
    <b v="0"/>
    <s v="music/rock"/>
    <x v="1"/>
    <x v="1"/>
  </r>
  <r>
    <n v="933"/>
    <s v="Espinoza Group"/>
    <s v="Implemented tangible support"/>
    <n v="73000"/>
    <n v="175015"/>
    <n v="2.3974657534246577"/>
    <n v="2.1230434782608696"/>
    <x v="1"/>
    <n v="1902"/>
    <n v="92.016298633017882"/>
    <x v="1"/>
    <s v="USD"/>
    <n v="1365397200"/>
    <n v="1366520400"/>
    <x v="828"/>
    <d v="2013-04-21T05:00:00"/>
    <s v="Mon"/>
    <n v="13"/>
    <b v="0"/>
    <b v="0"/>
    <s v="theater/plays"/>
    <x v="3"/>
    <x v="3"/>
  </r>
  <r>
    <n v="934"/>
    <s v="Davis, Crawford and Lopez"/>
    <s v="Reactive radical framework"/>
    <n v="6200"/>
    <n v="11280"/>
    <n v="1.8193548387096774"/>
    <n v="2.1230434782608696"/>
    <x v="1"/>
    <n v="105"/>
    <n v="107.42857142857143"/>
    <x v="1"/>
    <s v="USD"/>
    <n v="1456120800"/>
    <n v="1456639200"/>
    <x v="829"/>
    <d v="2016-02-28T06:00:00"/>
    <s v="Mon"/>
    <n v="6"/>
    <b v="0"/>
    <b v="0"/>
    <s v="theater/plays"/>
    <x v="3"/>
    <x v="3"/>
  </r>
  <r>
    <n v="935"/>
    <s v="Richards, Stevens and Fleming"/>
    <s v="Object-based full-range knowledge user"/>
    <n v="6100"/>
    <n v="10012"/>
    <n v="1.6413114754098361"/>
    <n v="2.1230434782608696"/>
    <x v="1"/>
    <n v="132"/>
    <n v="75.848484848484844"/>
    <x v="1"/>
    <s v="USD"/>
    <n v="1437714000"/>
    <n v="1438318800"/>
    <x v="830"/>
    <d v="2015-07-31T05:00:00"/>
    <s v="Fri"/>
    <n v="7"/>
    <b v="0"/>
    <b v="0"/>
    <s v="theater/plays"/>
    <x v="3"/>
    <x v="3"/>
  </r>
  <r>
    <n v="936"/>
    <s v="Brown Ltd"/>
    <s v="Enhanced composite contingency"/>
    <n v="103200"/>
    <n v="1690"/>
    <n v="1.6375968992248063E-2"/>
    <n v="0.50551920620886137"/>
    <x v="0"/>
    <n v="21"/>
    <n v="80.476190476190482"/>
    <x v="1"/>
    <s v="USD"/>
    <n v="1563771600"/>
    <n v="1564030800"/>
    <x v="831"/>
    <d v="2019-07-25T05:00:00"/>
    <s v="Mon"/>
    <n v="3"/>
    <b v="1"/>
    <b v="0"/>
    <s v="theater/plays"/>
    <x v="3"/>
    <x v="3"/>
  </r>
  <r>
    <n v="937"/>
    <s v="Tapia, Sandoval and Hurley"/>
    <s v="Cloned fresh-thinking model"/>
    <n v="171000"/>
    <n v="84891"/>
    <n v="0.49643859649122807"/>
    <n v="0.43241247264770238"/>
    <x v="3"/>
    <n v="976"/>
    <n v="86.978483606557376"/>
    <x v="1"/>
    <s v="USD"/>
    <n v="1448517600"/>
    <n v="1449295200"/>
    <x v="832"/>
    <d v="2015-12-05T06:00:00"/>
    <s v="Thu"/>
    <n v="9"/>
    <b v="0"/>
    <b v="0"/>
    <s v="film &amp; video/documentary"/>
    <x v="4"/>
    <x v="4"/>
  </r>
  <r>
    <n v="938"/>
    <s v="Allen Inc"/>
    <s v="Total dedicated benchmark"/>
    <n v="9200"/>
    <n v="10093"/>
    <n v="1.0970652173913042"/>
    <n v="2.1230434782608696"/>
    <x v="1"/>
    <n v="96"/>
    <n v="105.13541666666667"/>
    <x v="1"/>
    <s v="USD"/>
    <n v="1528779600"/>
    <n v="1531890000"/>
    <x v="833"/>
    <d v="2018-07-18T05:00:00"/>
    <s v="Tue"/>
    <n v="36"/>
    <b v="0"/>
    <b v="1"/>
    <s v="publishing/fiction"/>
    <x v="5"/>
    <x v="13"/>
  </r>
  <r>
    <n v="939"/>
    <s v="Williams, Johnson and Campbell"/>
    <s v="Streamlined human-resource Graphic Interface"/>
    <n v="7800"/>
    <n v="3839"/>
    <n v="0.49217948717948717"/>
    <n v="0.50551920620886137"/>
    <x v="0"/>
    <n v="67"/>
    <n v="57.298507462686565"/>
    <x v="1"/>
    <s v="USD"/>
    <n v="1304744400"/>
    <n v="1306213200"/>
    <x v="834"/>
    <d v="2011-05-24T05:00:00"/>
    <s v="Sat"/>
    <n v="17"/>
    <b v="0"/>
    <b v="1"/>
    <s v="games/video games"/>
    <x v="6"/>
    <x v="11"/>
  </r>
  <r>
    <n v="940"/>
    <s v="Wiggins Ltd"/>
    <s v="Upgradable analyzing core"/>
    <n v="9900"/>
    <n v="6161"/>
    <n v="0.62232323232323228"/>
    <n v="0.49522981646937392"/>
    <x v="2"/>
    <n v="66"/>
    <n v="93.348484848484844"/>
    <x v="0"/>
    <s v="CAD"/>
    <n v="1354341600"/>
    <n v="1356242400"/>
    <x v="835"/>
    <d v="2012-12-23T06:00:00"/>
    <s v="Sat"/>
    <n v="22"/>
    <b v="0"/>
    <b v="0"/>
    <s v="technology/web"/>
    <x v="2"/>
    <x v="2"/>
  </r>
  <r>
    <n v="941"/>
    <s v="Luna-Horne"/>
    <s v="Profound exuding pricing structure"/>
    <n v="43000"/>
    <n v="5615"/>
    <n v="0.1305813953488372"/>
    <n v="0.50551920620886137"/>
    <x v="0"/>
    <n v="78"/>
    <n v="71.987179487179489"/>
    <x v="1"/>
    <s v="USD"/>
    <n v="1294552800"/>
    <n v="1297576800"/>
    <x v="836"/>
    <d v="2011-02-13T06:00:00"/>
    <s v="Sun"/>
    <n v="35"/>
    <b v="1"/>
    <b v="0"/>
    <s v="theater/plays"/>
    <x v="3"/>
    <x v="3"/>
  </r>
  <r>
    <n v="942"/>
    <s v="Allen Inc"/>
    <s v="Horizontal optimizing model"/>
    <n v="9600"/>
    <n v="6205"/>
    <n v="0.64635416666666667"/>
    <n v="0.50551920620886137"/>
    <x v="0"/>
    <n v="67"/>
    <n v="92.611940298507463"/>
    <x v="2"/>
    <s v="AUD"/>
    <n v="1295935200"/>
    <n v="1296194400"/>
    <x v="837"/>
    <d v="2011-01-28T06:00:00"/>
    <s v="Tue"/>
    <n v="3"/>
    <b v="0"/>
    <b v="0"/>
    <s v="theater/plays"/>
    <x v="3"/>
    <x v="3"/>
  </r>
  <r>
    <n v="943"/>
    <s v="Peterson, Gonzalez and Spencer"/>
    <s v="Synchronized fault-tolerant algorithm"/>
    <n v="7500"/>
    <n v="11969"/>
    <n v="1.5958666666666668"/>
    <n v="2.1230434782608696"/>
    <x v="1"/>
    <n v="114"/>
    <n v="104.99122807017544"/>
    <x v="1"/>
    <s v="USD"/>
    <n v="1411534800"/>
    <n v="1414558800"/>
    <x v="219"/>
    <d v="2014-10-29T05:00:00"/>
    <s v="Wed"/>
    <n v="35"/>
    <b v="0"/>
    <b v="0"/>
    <s v="food/food trucks"/>
    <x v="0"/>
    <x v="0"/>
  </r>
  <r>
    <n v="944"/>
    <s v="Walter Inc"/>
    <s v="Streamlined 5thgeneration intranet"/>
    <n v="10000"/>
    <n v="8142"/>
    <n v="0.81420000000000003"/>
    <n v="0.50551920620886137"/>
    <x v="0"/>
    <n v="263"/>
    <n v="30.958174904942965"/>
    <x v="2"/>
    <s v="AUD"/>
    <n v="1486706400"/>
    <n v="1488348000"/>
    <x v="365"/>
    <d v="2017-03-01T06:00:00"/>
    <s v="Fri"/>
    <n v="19"/>
    <b v="0"/>
    <b v="0"/>
    <s v="photography/photography books"/>
    <x v="7"/>
    <x v="14"/>
  </r>
  <r>
    <n v="945"/>
    <s v="Sanders, Farley and Huffman"/>
    <s v="Cross-group clear-thinking task-force"/>
    <n v="172000"/>
    <n v="55805"/>
    <n v="0.32444767441860467"/>
    <n v="0.50551920620886137"/>
    <x v="0"/>
    <n v="1691"/>
    <n v="33.001182732111175"/>
    <x v="1"/>
    <s v="USD"/>
    <n v="1333602000"/>
    <n v="1334898000"/>
    <x v="838"/>
    <d v="2012-04-20T05:00:00"/>
    <s v="Thu"/>
    <n v="15"/>
    <b v="1"/>
    <b v="0"/>
    <s v="photography/photography books"/>
    <x v="7"/>
    <x v="14"/>
  </r>
  <r>
    <n v="946"/>
    <s v="Hall, Holmes and Walker"/>
    <s v="Public-key bandwidth-monitored intranet"/>
    <n v="153700"/>
    <n v="15238"/>
    <n v="9.9141184124918666E-2"/>
    <n v="0.50551920620886137"/>
    <x v="0"/>
    <n v="181"/>
    <n v="84.187845303867405"/>
    <x v="1"/>
    <s v="USD"/>
    <n v="1308200400"/>
    <n v="1308373200"/>
    <x v="839"/>
    <d v="2011-06-18T05:00:00"/>
    <s v="Thu"/>
    <n v="2"/>
    <b v="0"/>
    <b v="0"/>
    <s v="theater/plays"/>
    <x v="3"/>
    <x v="3"/>
  </r>
  <r>
    <n v="947"/>
    <s v="Smith-Powell"/>
    <s v="Upgradable clear-thinking hardware"/>
    <n v="3600"/>
    <n v="961"/>
    <n v="0.26694444444444443"/>
    <n v="0.50551920620886137"/>
    <x v="0"/>
    <n v="13"/>
    <n v="73.92307692307692"/>
    <x v="1"/>
    <s v="USD"/>
    <n v="1411707600"/>
    <n v="1412312400"/>
    <x v="840"/>
    <d v="2014-10-03T05:00:00"/>
    <s v="Fri"/>
    <n v="7"/>
    <b v="0"/>
    <b v="0"/>
    <s v="theater/plays"/>
    <x v="3"/>
    <x v="3"/>
  </r>
  <r>
    <n v="948"/>
    <s v="Smith-Hill"/>
    <s v="Integrated holistic paradigm"/>
    <n v="9400"/>
    <n v="5918"/>
    <n v="0.62957446808510642"/>
    <n v="0.43241247264770238"/>
    <x v="3"/>
    <n v="160"/>
    <n v="36.987499999999997"/>
    <x v="1"/>
    <s v="USD"/>
    <n v="1418364000"/>
    <n v="1419228000"/>
    <x v="841"/>
    <d v="2014-12-22T06:00:00"/>
    <s v="Fri"/>
    <n v="10"/>
    <b v="1"/>
    <b v="1"/>
    <s v="film &amp; video/documentary"/>
    <x v="4"/>
    <x v="4"/>
  </r>
  <r>
    <n v="949"/>
    <s v="Wright LLC"/>
    <s v="Seamless clear-thinking conglomeration"/>
    <n v="5900"/>
    <n v="9520"/>
    <n v="1.6135593220338984"/>
    <n v="2.1230434782608696"/>
    <x v="1"/>
    <n v="203"/>
    <n v="46.896551724137929"/>
    <x v="1"/>
    <s v="USD"/>
    <n v="1429333200"/>
    <n v="1430974800"/>
    <x v="842"/>
    <d v="2015-05-07T05:00:00"/>
    <s v="Sat"/>
    <n v="19"/>
    <b v="0"/>
    <b v="0"/>
    <s v="technology/web"/>
    <x v="2"/>
    <x v="2"/>
  </r>
  <r>
    <n v="950"/>
    <s v="Williams, Orozco and Gomez"/>
    <s v="Persistent content-based methodology"/>
    <n v="100"/>
    <n v="5"/>
    <n v="0.05"/>
    <n v="0.50551920620886137"/>
    <x v="0"/>
    <n v="1"/>
    <n v="5"/>
    <x v="1"/>
    <s v="USD"/>
    <n v="1555390800"/>
    <n v="1555822800"/>
    <x v="843"/>
    <d v="2019-04-21T05:00:00"/>
    <s v="Tue"/>
    <n v="5"/>
    <b v="0"/>
    <b v="1"/>
    <s v="theater/plays"/>
    <x v="3"/>
    <x v="3"/>
  </r>
  <r>
    <n v="951"/>
    <s v="Peterson Ltd"/>
    <s v="Re-engineered 24hour matrix"/>
    <n v="14500"/>
    <n v="159056"/>
    <n v="10.969379310344827"/>
    <n v="2.1230434782608696"/>
    <x v="1"/>
    <n v="1559"/>
    <n v="102.02437459910199"/>
    <x v="1"/>
    <s v="USD"/>
    <n v="1482732000"/>
    <n v="1482818400"/>
    <x v="844"/>
    <d v="2016-12-27T06:00:00"/>
    <s v="Mon"/>
    <n v="1"/>
    <b v="0"/>
    <b v="1"/>
    <s v="music/rock"/>
    <x v="1"/>
    <x v="1"/>
  </r>
  <r>
    <n v="952"/>
    <s v="Cummings-Hayes"/>
    <s v="Virtual multi-tasking core"/>
    <n v="145500"/>
    <n v="101987"/>
    <n v="0.70094158075601376"/>
    <n v="0.43241247264770238"/>
    <x v="3"/>
    <n v="2266"/>
    <n v="45.007502206531335"/>
    <x v="1"/>
    <s v="USD"/>
    <n v="1470718800"/>
    <n v="1471928400"/>
    <x v="845"/>
    <d v="2016-08-23T05:00:00"/>
    <s v="Tue"/>
    <n v="14"/>
    <b v="0"/>
    <b v="0"/>
    <s v="film &amp; video/documentary"/>
    <x v="4"/>
    <x v="4"/>
  </r>
  <r>
    <n v="953"/>
    <s v="Boyle Ltd"/>
    <s v="Streamlined fault-tolerant conglomeration"/>
    <n v="3300"/>
    <n v="1980"/>
    <n v="0.6"/>
    <n v="0.50551920620886137"/>
    <x v="0"/>
    <n v="21"/>
    <n v="94.285714285714292"/>
    <x v="1"/>
    <s v="USD"/>
    <n v="1450591200"/>
    <n v="1453701600"/>
    <x v="846"/>
    <d v="2016-01-25T06:00:00"/>
    <s v="Sun"/>
    <n v="36"/>
    <b v="0"/>
    <b v="1"/>
    <s v="film &amp; video/science fiction"/>
    <x v="4"/>
    <x v="22"/>
  </r>
  <r>
    <n v="954"/>
    <s v="Henderson, Parker and Diaz"/>
    <s v="Enterprise-wide client-driven policy"/>
    <n v="42600"/>
    <n v="156384"/>
    <n v="3.6709859154929578"/>
    <n v="2.1230434782608696"/>
    <x v="1"/>
    <n v="1548"/>
    <n v="101.02325581395348"/>
    <x v="2"/>
    <s v="AUD"/>
    <n v="1348290000"/>
    <n v="1350363600"/>
    <x v="110"/>
    <d v="2012-10-16T05:00:00"/>
    <s v="Sat"/>
    <n v="24"/>
    <b v="0"/>
    <b v="0"/>
    <s v="technology/web"/>
    <x v="2"/>
    <x v="2"/>
  </r>
  <r>
    <n v="955"/>
    <s v="Moss-Obrien"/>
    <s v="Function-based next generation emulation"/>
    <n v="700"/>
    <n v="7763"/>
    <n v="11.09"/>
    <n v="2.1230434782608696"/>
    <x v="1"/>
    <n v="80"/>
    <n v="97.037499999999994"/>
    <x v="1"/>
    <s v="USD"/>
    <n v="1353823200"/>
    <n v="1353996000"/>
    <x v="847"/>
    <d v="2012-11-27T06:00:00"/>
    <s v="Sun"/>
    <n v="2"/>
    <b v="0"/>
    <b v="0"/>
    <s v="theater/plays"/>
    <x v="3"/>
    <x v="3"/>
  </r>
  <r>
    <n v="956"/>
    <s v="Wood Inc"/>
    <s v="Re-engineered composite focus group"/>
    <n v="187600"/>
    <n v="35698"/>
    <n v="0.19028784648187633"/>
    <n v="0.50551920620886137"/>
    <x v="0"/>
    <n v="830"/>
    <n v="43.00963855421687"/>
    <x v="1"/>
    <s v="USD"/>
    <n v="1450764000"/>
    <n v="1451109600"/>
    <x v="848"/>
    <d v="2015-12-26T06:00:00"/>
    <s v="Tue"/>
    <n v="4"/>
    <b v="0"/>
    <b v="0"/>
    <s v="film &amp; video/science fiction"/>
    <x v="4"/>
    <x v="22"/>
  </r>
  <r>
    <n v="957"/>
    <s v="Riley, Cohen and Goodman"/>
    <s v="Profound mission-critical function"/>
    <n v="9800"/>
    <n v="12434"/>
    <n v="1.2687755102040816"/>
    <n v="2.1230434782608696"/>
    <x v="1"/>
    <n v="131"/>
    <n v="94.916030534351151"/>
    <x v="1"/>
    <s v="USD"/>
    <n v="1329372000"/>
    <n v="1329631200"/>
    <x v="849"/>
    <d v="2012-02-19T06:00:00"/>
    <s v="Thu"/>
    <n v="3"/>
    <b v="0"/>
    <b v="0"/>
    <s v="theater/plays"/>
    <x v="3"/>
    <x v="3"/>
  </r>
  <r>
    <n v="958"/>
    <s v="Green, Robinson and Ho"/>
    <s v="De-engineered zero-defect open system"/>
    <n v="1100"/>
    <n v="8081"/>
    <n v="7.3463636363636367"/>
    <n v="2.1230434782608696"/>
    <x v="1"/>
    <n v="112"/>
    <n v="72.151785714285708"/>
    <x v="1"/>
    <s v="USD"/>
    <n v="1277096400"/>
    <n v="1278997200"/>
    <x v="780"/>
    <d v="2010-07-13T05:00:00"/>
    <s v="Mon"/>
    <n v="22"/>
    <b v="0"/>
    <b v="0"/>
    <s v="film &amp; video/animation"/>
    <x v="4"/>
    <x v="10"/>
  </r>
  <r>
    <n v="959"/>
    <s v="Black-Graham"/>
    <s v="Operative hybrid utilization"/>
    <n v="145000"/>
    <n v="6631"/>
    <n v="4.5731034482758622E-2"/>
    <n v="0.50551920620886137"/>
    <x v="0"/>
    <n v="130"/>
    <n v="51.007692307692309"/>
    <x v="1"/>
    <s v="USD"/>
    <n v="1277701200"/>
    <n v="1280120400"/>
    <x v="140"/>
    <d v="2010-07-26T05:00:00"/>
    <s v="Mon"/>
    <n v="28"/>
    <b v="0"/>
    <b v="0"/>
    <s v="publishing/translations"/>
    <x v="5"/>
    <x v="18"/>
  </r>
  <r>
    <n v="960"/>
    <s v="Robbins Group"/>
    <s v="Function-based interactive matrix"/>
    <n v="5500"/>
    <n v="4678"/>
    <n v="0.85054545454545449"/>
    <n v="0.50551920620886137"/>
    <x v="0"/>
    <n v="55"/>
    <n v="85.054545454545448"/>
    <x v="1"/>
    <s v="USD"/>
    <n v="1454911200"/>
    <n v="1458104400"/>
    <x v="850"/>
    <d v="2016-03-16T05:00:00"/>
    <s v="Mon"/>
    <n v="37"/>
    <b v="0"/>
    <b v="0"/>
    <s v="technology/web"/>
    <x v="2"/>
    <x v="2"/>
  </r>
  <r>
    <n v="961"/>
    <s v="Mason, Case and May"/>
    <s v="Optimized content-based collaboration"/>
    <n v="5700"/>
    <n v="6800"/>
    <n v="1.1929824561403508"/>
    <n v="2.1230434782608696"/>
    <x v="1"/>
    <n v="155"/>
    <n v="43.87096774193548"/>
    <x v="1"/>
    <s v="USD"/>
    <n v="1297922400"/>
    <n v="1298268000"/>
    <x v="851"/>
    <d v="2011-02-21T06:00:00"/>
    <s v="Thu"/>
    <n v="4"/>
    <b v="0"/>
    <b v="0"/>
    <s v="publishing/translations"/>
    <x v="5"/>
    <x v="18"/>
  </r>
  <r>
    <n v="962"/>
    <s v="Harris, Russell and Mitchell"/>
    <s v="User-centric cohesive policy"/>
    <n v="3600"/>
    <n v="10657"/>
    <n v="2.9602777777777778"/>
    <n v="2.1230434782608696"/>
    <x v="1"/>
    <n v="266"/>
    <n v="40.063909774436091"/>
    <x v="1"/>
    <s v="USD"/>
    <n v="1384408800"/>
    <n v="1386223200"/>
    <x v="852"/>
    <d v="2013-12-05T06:00:00"/>
    <s v="Thu"/>
    <n v="21"/>
    <b v="0"/>
    <b v="0"/>
    <s v="food/food trucks"/>
    <x v="0"/>
    <x v="0"/>
  </r>
  <r>
    <n v="963"/>
    <s v="Rodriguez-Robinson"/>
    <s v="Ergonomic methodical hub"/>
    <n v="5900"/>
    <n v="4997"/>
    <n v="0.84694915254237291"/>
    <n v="0.50551920620886137"/>
    <x v="0"/>
    <n v="114"/>
    <n v="43.833333333333336"/>
    <x v="6"/>
    <s v="EUR"/>
    <n v="1299304800"/>
    <n v="1299823200"/>
    <x v="853"/>
    <d v="2011-03-11T06:00:00"/>
    <s v="Sat"/>
    <n v="6"/>
    <b v="0"/>
    <b v="1"/>
    <s v="photography/photography books"/>
    <x v="7"/>
    <x v="14"/>
  </r>
  <r>
    <n v="964"/>
    <s v="Peck, Higgins and Smith"/>
    <s v="Devolved disintermediate encryption"/>
    <n v="3700"/>
    <n v="13164"/>
    <n v="3.5578378378378379"/>
    <n v="2.1230434782608696"/>
    <x v="1"/>
    <n v="155"/>
    <n v="84.92903225806451"/>
    <x v="1"/>
    <s v="USD"/>
    <n v="1431320400"/>
    <n v="1431752400"/>
    <x v="854"/>
    <d v="2015-05-16T05:00:00"/>
    <s v="Mon"/>
    <n v="5"/>
    <b v="0"/>
    <b v="0"/>
    <s v="theater/plays"/>
    <x v="3"/>
    <x v="3"/>
  </r>
  <r>
    <n v="965"/>
    <s v="Nunez-King"/>
    <s v="Phased clear-thinking policy"/>
    <n v="2200"/>
    <n v="8501"/>
    <n v="3.8640909090909092"/>
    <n v="2.1230434782608696"/>
    <x v="1"/>
    <n v="207"/>
    <n v="41.067632850241544"/>
    <x v="4"/>
    <s v="GBP"/>
    <n v="1264399200"/>
    <n v="1267855200"/>
    <x v="67"/>
    <d v="2010-03-06T06:00:00"/>
    <s v="Mon"/>
    <n v="40"/>
    <b v="0"/>
    <b v="0"/>
    <s v="music/rock"/>
    <x v="1"/>
    <x v="1"/>
  </r>
  <r>
    <n v="966"/>
    <s v="Davis and Sons"/>
    <s v="Seamless solution-oriented capacity"/>
    <n v="1700"/>
    <n v="13468"/>
    <n v="7.9223529411764702"/>
    <n v="2.1230434782608696"/>
    <x v="1"/>
    <n v="245"/>
    <n v="54.971428571428568"/>
    <x v="1"/>
    <s v="USD"/>
    <n v="1497502800"/>
    <n v="1497675600"/>
    <x v="855"/>
    <d v="2017-06-17T05:00:00"/>
    <s v="Thu"/>
    <n v="2"/>
    <b v="0"/>
    <b v="0"/>
    <s v="theater/plays"/>
    <x v="3"/>
    <x v="3"/>
  </r>
  <r>
    <n v="967"/>
    <s v="Howard-Douglas"/>
    <s v="Organized human-resource attitude"/>
    <n v="88400"/>
    <n v="121138"/>
    <n v="1.3703393665158372"/>
    <n v="2.1230434782608696"/>
    <x v="1"/>
    <n v="1573"/>
    <n v="77.010807374443743"/>
    <x v="1"/>
    <s v="USD"/>
    <n v="1333688400"/>
    <n v="1336885200"/>
    <x v="107"/>
    <d v="2012-05-13T05:00:00"/>
    <s v="Fri"/>
    <n v="37"/>
    <b v="0"/>
    <b v="0"/>
    <s v="music/world music"/>
    <x v="1"/>
    <x v="21"/>
  </r>
  <r>
    <n v="968"/>
    <s v="Gonzalez-White"/>
    <s v="Open-architected disintermediate budgetary management"/>
    <n v="2400"/>
    <n v="8117"/>
    <n v="3.3820833333333336"/>
    <n v="2.1230434782608696"/>
    <x v="1"/>
    <n v="114"/>
    <n v="71.201754385964918"/>
    <x v="1"/>
    <s v="USD"/>
    <n v="1293861600"/>
    <n v="1295157600"/>
    <x v="344"/>
    <d v="2011-01-16T06:00:00"/>
    <s v="Sat"/>
    <n v="15"/>
    <b v="0"/>
    <b v="0"/>
    <s v="food/food trucks"/>
    <x v="0"/>
    <x v="0"/>
  </r>
  <r>
    <n v="969"/>
    <s v="Lopez-King"/>
    <s v="Multi-lateral radical solution"/>
    <n v="7900"/>
    <n v="8550"/>
    <n v="1.0822784810126582"/>
    <n v="2.1230434782608696"/>
    <x v="1"/>
    <n v="93"/>
    <n v="91.935483870967744"/>
    <x v="1"/>
    <s v="USD"/>
    <n v="1576994400"/>
    <n v="1577599200"/>
    <x v="856"/>
    <d v="2019-12-29T06:00:00"/>
    <s v="Sun"/>
    <n v="7"/>
    <b v="0"/>
    <b v="0"/>
    <s v="theater/plays"/>
    <x v="3"/>
    <x v="3"/>
  </r>
  <r>
    <n v="970"/>
    <s v="Glover-Nelson"/>
    <s v="Inverse context-sensitive info-mediaries"/>
    <n v="94900"/>
    <n v="57659"/>
    <n v="0.60757639620653314"/>
    <n v="0.50551920620886137"/>
    <x v="0"/>
    <n v="594"/>
    <n v="97.069023569023571"/>
    <x v="1"/>
    <s v="USD"/>
    <n v="1304917200"/>
    <n v="1305003600"/>
    <x v="857"/>
    <d v="2011-05-10T05:00:00"/>
    <s v="Mon"/>
    <n v="1"/>
    <b v="0"/>
    <b v="0"/>
    <s v="theater/plays"/>
    <x v="3"/>
    <x v="3"/>
  </r>
  <r>
    <n v="971"/>
    <s v="Garner and Sons"/>
    <s v="Versatile neutral workforce"/>
    <n v="5100"/>
    <n v="1414"/>
    <n v="0.27725490196078434"/>
    <n v="0.50551920620886137"/>
    <x v="0"/>
    <n v="24"/>
    <n v="58.916666666666664"/>
    <x v="1"/>
    <s v="USD"/>
    <n v="1381208400"/>
    <n v="1381726800"/>
    <x v="858"/>
    <d v="2013-10-14T05:00:00"/>
    <s v="Tue"/>
    <n v="6"/>
    <b v="0"/>
    <b v="0"/>
    <s v="film &amp; video/television"/>
    <x v="4"/>
    <x v="19"/>
  </r>
  <r>
    <n v="972"/>
    <s v="Sellers, Roach and Garrison"/>
    <s v="Multi-tiered systematic knowledge user"/>
    <n v="42700"/>
    <n v="97524"/>
    <n v="2.283934426229508"/>
    <n v="2.1230434782608696"/>
    <x v="1"/>
    <n v="1681"/>
    <n v="58.015466983938133"/>
    <x v="1"/>
    <s v="USD"/>
    <n v="1401685200"/>
    <n v="1402462800"/>
    <x v="859"/>
    <d v="2014-06-11T05:00:00"/>
    <s v="Mon"/>
    <n v="9"/>
    <b v="0"/>
    <b v="1"/>
    <s v="technology/web"/>
    <x v="2"/>
    <x v="2"/>
  </r>
  <r>
    <n v="973"/>
    <s v="Herrera, Bennett and Silva"/>
    <s v="Programmable multi-state algorithm"/>
    <n v="121100"/>
    <n v="26176"/>
    <n v="0.21615194054500414"/>
    <n v="0.50551920620886137"/>
    <x v="0"/>
    <n v="252"/>
    <n v="103.87301587301587"/>
    <x v="1"/>
    <s v="USD"/>
    <n v="1291960800"/>
    <n v="1292133600"/>
    <x v="860"/>
    <d v="2010-12-12T06:00:00"/>
    <s v="Fri"/>
    <n v="2"/>
    <b v="0"/>
    <b v="1"/>
    <s v="theater/plays"/>
    <x v="3"/>
    <x v="3"/>
  </r>
  <r>
    <n v="974"/>
    <s v="Thomas, Clay and Mendoza"/>
    <s v="Multi-channeled reciprocal interface"/>
    <n v="800"/>
    <n v="2991"/>
    <n v="3.73875"/>
    <n v="2.1230434782608696"/>
    <x v="1"/>
    <n v="32"/>
    <n v="93.46875"/>
    <x v="1"/>
    <s v="USD"/>
    <n v="1368853200"/>
    <n v="1368939600"/>
    <x v="170"/>
    <d v="2013-05-19T05:00:00"/>
    <s v="Sat"/>
    <n v="1"/>
    <b v="0"/>
    <b v="0"/>
    <s v="music/indie rock"/>
    <x v="1"/>
    <x v="7"/>
  </r>
  <r>
    <n v="975"/>
    <s v="Ayala Group"/>
    <s v="Right-sized maximized migration"/>
    <n v="5400"/>
    <n v="8366"/>
    <n v="1.5492592592592593"/>
    <n v="2.1230434782608696"/>
    <x v="1"/>
    <n v="135"/>
    <n v="61.970370370370368"/>
    <x v="1"/>
    <s v="USD"/>
    <n v="1448776800"/>
    <n v="1452146400"/>
    <x v="861"/>
    <d v="2016-01-07T06:00:00"/>
    <s v="Sun"/>
    <n v="39"/>
    <b v="0"/>
    <b v="1"/>
    <s v="theater/plays"/>
    <x v="3"/>
    <x v="3"/>
  </r>
  <r>
    <n v="976"/>
    <s v="Huerta, Roberts and Dickerson"/>
    <s v="Self-enabling value-added artificial intelligence"/>
    <n v="4000"/>
    <n v="12886"/>
    <n v="3.2214999999999998"/>
    <n v="2.1230434782608696"/>
    <x v="1"/>
    <n v="140"/>
    <n v="92.042857142857144"/>
    <x v="1"/>
    <s v="USD"/>
    <n v="1296194400"/>
    <n v="1296712800"/>
    <x v="862"/>
    <d v="2011-02-03T06:00:00"/>
    <s v="Fri"/>
    <n v="6"/>
    <b v="0"/>
    <b v="1"/>
    <s v="theater/plays"/>
    <x v="3"/>
    <x v="3"/>
  </r>
  <r>
    <n v="977"/>
    <s v="Johnson Group"/>
    <s v="Vision-oriented interactive solution"/>
    <n v="7000"/>
    <n v="5177"/>
    <n v="0.73957142857142855"/>
    <n v="0.50551920620886137"/>
    <x v="0"/>
    <n v="67"/>
    <n v="77.268656716417908"/>
    <x v="1"/>
    <s v="USD"/>
    <n v="1517983200"/>
    <n v="1520748000"/>
    <x v="863"/>
    <d v="2018-03-11T06:00:00"/>
    <s v="Wed"/>
    <n v="32"/>
    <b v="0"/>
    <b v="0"/>
    <s v="food/food trucks"/>
    <x v="0"/>
    <x v="0"/>
  </r>
  <r>
    <n v="978"/>
    <s v="Bailey, Nguyen and Martinez"/>
    <s v="Fundamental user-facing productivity"/>
    <n v="1000"/>
    <n v="8641"/>
    <n v="8.641"/>
    <n v="2.1230434782608696"/>
    <x v="1"/>
    <n v="92"/>
    <n v="93.923913043478265"/>
    <x v="1"/>
    <s v="USD"/>
    <n v="1478930400"/>
    <n v="1480831200"/>
    <x v="864"/>
    <d v="2016-12-04T06:00:00"/>
    <s v="Sat"/>
    <n v="22"/>
    <b v="0"/>
    <b v="0"/>
    <s v="games/video games"/>
    <x v="6"/>
    <x v="11"/>
  </r>
  <r>
    <n v="979"/>
    <s v="Williams, Martin and Meyer"/>
    <s v="Innovative well-modulated capability"/>
    <n v="60200"/>
    <n v="86244"/>
    <n v="1.432624584717608"/>
    <n v="2.1230434782608696"/>
    <x v="1"/>
    <n v="1015"/>
    <n v="84.969458128078813"/>
    <x v="4"/>
    <s v="GBP"/>
    <n v="1426395600"/>
    <n v="1426914000"/>
    <x v="527"/>
    <d v="2015-03-21T05:00:00"/>
    <s v="Sun"/>
    <n v="6"/>
    <b v="0"/>
    <b v="0"/>
    <s v="theater/plays"/>
    <x v="3"/>
    <x v="3"/>
  </r>
  <r>
    <n v="980"/>
    <s v="Huff-Johnson"/>
    <s v="Universal fault-tolerant orchestration"/>
    <n v="195200"/>
    <n v="78630"/>
    <n v="0.40281762295081969"/>
    <n v="0.50551920620886137"/>
    <x v="0"/>
    <n v="742"/>
    <n v="105.97035040431267"/>
    <x v="1"/>
    <s v="USD"/>
    <n v="1446181200"/>
    <n v="1446616800"/>
    <x v="865"/>
    <d v="2015-11-04T06:00:00"/>
    <s v="Fri"/>
    <n v="5"/>
    <b v="1"/>
    <b v="0"/>
    <s v="publishing/nonfiction"/>
    <x v="5"/>
    <x v="9"/>
  </r>
  <r>
    <n v="981"/>
    <s v="Diaz-Little"/>
    <s v="Grass-roots executive synergy"/>
    <n v="6700"/>
    <n v="11941"/>
    <n v="1.7822388059701493"/>
    <n v="2.1230434782608696"/>
    <x v="1"/>
    <n v="323"/>
    <n v="36.969040247678016"/>
    <x v="1"/>
    <s v="USD"/>
    <n v="1514181600"/>
    <n v="1517032800"/>
    <x v="866"/>
    <d v="2018-01-27T06:00:00"/>
    <s v="Mon"/>
    <n v="33"/>
    <b v="0"/>
    <b v="0"/>
    <s v="technology/web"/>
    <x v="2"/>
    <x v="2"/>
  </r>
  <r>
    <n v="982"/>
    <s v="Freeman-French"/>
    <s v="Multi-layered optimal application"/>
    <n v="7200"/>
    <n v="6115"/>
    <n v="0.84930555555555554"/>
    <n v="0.50551920620886137"/>
    <x v="0"/>
    <n v="75"/>
    <n v="81.533333333333331"/>
    <x v="1"/>
    <s v="USD"/>
    <n v="1311051600"/>
    <n v="1311224400"/>
    <x v="867"/>
    <d v="2011-07-21T05:00:00"/>
    <s v="Tue"/>
    <n v="2"/>
    <b v="0"/>
    <b v="1"/>
    <s v="film &amp; video/documentary"/>
    <x v="4"/>
    <x v="4"/>
  </r>
  <r>
    <n v="983"/>
    <s v="Beck-Weber"/>
    <s v="Business-focused full-range core"/>
    <n v="129100"/>
    <n v="188404"/>
    <n v="1.4593648334624323"/>
    <n v="2.1230434782608696"/>
    <x v="1"/>
    <n v="2326"/>
    <n v="80.999140154772135"/>
    <x v="1"/>
    <s v="USD"/>
    <n v="1564894800"/>
    <n v="1566190800"/>
    <x v="868"/>
    <d v="2019-08-19T05:00:00"/>
    <s v="Sun"/>
    <n v="15"/>
    <b v="0"/>
    <b v="0"/>
    <s v="film &amp; video/documentary"/>
    <x v="4"/>
    <x v="4"/>
  </r>
  <r>
    <n v="984"/>
    <s v="Lewis-Jacobson"/>
    <s v="Exclusive system-worthy Graphic Interface"/>
    <n v="6500"/>
    <n v="9910"/>
    <n v="1.5246153846153847"/>
    <n v="2.1230434782608696"/>
    <x v="1"/>
    <n v="381"/>
    <n v="26.010498687664043"/>
    <x v="1"/>
    <s v="USD"/>
    <n v="1567918800"/>
    <n v="1570165200"/>
    <x v="105"/>
    <d v="2019-10-04T05:00:00"/>
    <s v="Sun"/>
    <n v="26"/>
    <b v="0"/>
    <b v="0"/>
    <s v="theater/plays"/>
    <x v="3"/>
    <x v="3"/>
  </r>
  <r>
    <n v="985"/>
    <s v="Logan-Curtis"/>
    <s v="Enhanced optimal ability"/>
    <n v="170600"/>
    <n v="114523"/>
    <n v="0.67129542790152408"/>
    <n v="0.50551920620886137"/>
    <x v="0"/>
    <n v="4405"/>
    <n v="25.998410896708286"/>
    <x v="1"/>
    <s v="USD"/>
    <n v="1386309600"/>
    <n v="1388556000"/>
    <x v="481"/>
    <d v="2014-01-01T06:00:00"/>
    <s v="Fri"/>
    <n v="26"/>
    <b v="0"/>
    <b v="1"/>
    <s v="music/rock"/>
    <x v="1"/>
    <x v="1"/>
  </r>
  <r>
    <n v="986"/>
    <s v="Chan, Washington and Callahan"/>
    <s v="Optional zero administration neural-net"/>
    <n v="7800"/>
    <n v="3144"/>
    <n v="0.40307692307692305"/>
    <n v="0.50551920620886137"/>
    <x v="0"/>
    <n v="92"/>
    <n v="34.173913043478258"/>
    <x v="1"/>
    <s v="USD"/>
    <n v="1301979600"/>
    <n v="1303189200"/>
    <x v="253"/>
    <d v="2011-04-19T05:00:00"/>
    <s v="Tue"/>
    <n v="14"/>
    <b v="0"/>
    <b v="0"/>
    <s v="music/rock"/>
    <x v="1"/>
    <x v="1"/>
  </r>
  <r>
    <n v="987"/>
    <s v="Wilson Group"/>
    <s v="Ameliorated foreground focus group"/>
    <n v="6200"/>
    <n v="13441"/>
    <n v="2.1679032258064517"/>
    <n v="2.1230434782608696"/>
    <x v="1"/>
    <n v="480"/>
    <n v="28.002083333333335"/>
    <x v="1"/>
    <s v="USD"/>
    <n v="1493269200"/>
    <n v="1494478800"/>
    <x v="869"/>
    <d v="2017-05-11T05:00:00"/>
    <s v="Thu"/>
    <n v="14"/>
    <b v="0"/>
    <b v="0"/>
    <s v="film &amp; video/documentary"/>
    <x v="4"/>
    <x v="4"/>
  </r>
  <r>
    <n v="988"/>
    <s v="Gardner, Ryan and Gutierrez"/>
    <s v="Triple-buffered multi-tasking matrices"/>
    <n v="9400"/>
    <n v="4899"/>
    <n v="0.52117021276595743"/>
    <n v="0.50551920620886137"/>
    <x v="0"/>
    <n v="64"/>
    <n v="76.546875"/>
    <x v="1"/>
    <s v="USD"/>
    <n v="1478930400"/>
    <n v="1480744800"/>
    <x v="864"/>
    <d v="2016-12-03T06:00:00"/>
    <s v="Sat"/>
    <n v="21"/>
    <b v="0"/>
    <b v="0"/>
    <s v="publishing/radio &amp; podcasts"/>
    <x v="5"/>
    <x v="15"/>
  </r>
  <r>
    <n v="989"/>
    <s v="Hernandez Inc"/>
    <s v="Versatile dedicated migration"/>
    <n v="2400"/>
    <n v="11990"/>
    <n v="4.9958333333333336"/>
    <n v="2.1230434782608696"/>
    <x v="1"/>
    <n v="226"/>
    <n v="53.053097345132741"/>
    <x v="1"/>
    <s v="USD"/>
    <n v="1555390800"/>
    <n v="1555822800"/>
    <x v="843"/>
    <d v="2019-04-21T05:00:00"/>
    <s v="Tue"/>
    <n v="5"/>
    <b v="0"/>
    <b v="0"/>
    <s v="publishing/translations"/>
    <x v="5"/>
    <x v="18"/>
  </r>
  <r>
    <n v="990"/>
    <s v="Ortiz-Roberts"/>
    <s v="Devolved foreground customer loyalty"/>
    <n v="7800"/>
    <n v="6839"/>
    <n v="0.87679487179487181"/>
    <n v="0.50551920620886137"/>
    <x v="0"/>
    <n v="64"/>
    <n v="106.859375"/>
    <x v="1"/>
    <s v="USD"/>
    <n v="1456984800"/>
    <n v="1458882000"/>
    <x v="289"/>
    <d v="2016-03-25T05:00:00"/>
    <s v="Thu"/>
    <n v="22"/>
    <b v="0"/>
    <b v="1"/>
    <s v="film &amp; video/drama"/>
    <x v="4"/>
    <x v="6"/>
  </r>
  <r>
    <n v="991"/>
    <s v="Ramirez LLC"/>
    <s v="Reduced reciprocal focus group"/>
    <n v="9800"/>
    <n v="11091"/>
    <n v="1.131734693877551"/>
    <n v="2.1230434782608696"/>
    <x v="1"/>
    <n v="241"/>
    <n v="46.020746887966808"/>
    <x v="1"/>
    <s v="USD"/>
    <n v="1411621200"/>
    <n v="1411966800"/>
    <x v="870"/>
    <d v="2014-09-29T05:00:00"/>
    <s v="Thu"/>
    <n v="4"/>
    <b v="0"/>
    <b v="1"/>
    <s v="music/rock"/>
    <x v="1"/>
    <x v="1"/>
  </r>
  <r>
    <n v="992"/>
    <s v="Morrow Inc"/>
    <s v="Networked global migration"/>
    <n v="3100"/>
    <n v="13223"/>
    <n v="4.2654838709677421"/>
    <n v="2.1230434782608696"/>
    <x v="1"/>
    <n v="132"/>
    <n v="100.17424242424242"/>
    <x v="1"/>
    <s v="USD"/>
    <n v="1525669200"/>
    <n v="1526878800"/>
    <x v="871"/>
    <d v="2018-05-21T05:00:00"/>
    <s v="Mon"/>
    <n v="14"/>
    <b v="0"/>
    <b v="1"/>
    <s v="film &amp; video/drama"/>
    <x v="4"/>
    <x v="6"/>
  </r>
  <r>
    <n v="993"/>
    <s v="Erickson-Rogers"/>
    <s v="De-engineered even-keeled definition"/>
    <n v="9800"/>
    <n v="7608"/>
    <n v="0.77632653061224488"/>
    <n v="0.43241247264770238"/>
    <x v="3"/>
    <n v="75"/>
    <n v="101.44"/>
    <x v="6"/>
    <s v="EUR"/>
    <n v="1450936800"/>
    <n v="1452405600"/>
    <x v="872"/>
    <d v="2016-01-10T06:00:00"/>
    <s v="Thu"/>
    <n v="17"/>
    <b v="0"/>
    <b v="1"/>
    <s v="photography/photography books"/>
    <x v="7"/>
    <x v="14"/>
  </r>
  <r>
    <n v="994"/>
    <s v="Leach, Rich and Price"/>
    <s v="Implemented bi-directional flexibility"/>
    <n v="141100"/>
    <n v="74073"/>
    <n v="0.52496810772501767"/>
    <n v="0.50551920620886137"/>
    <x v="0"/>
    <n v="842"/>
    <n v="87.972684085510693"/>
    <x v="1"/>
    <s v="USD"/>
    <n v="1413522000"/>
    <n v="1414040400"/>
    <x v="873"/>
    <d v="2014-10-23T05:00:00"/>
    <s v="Fri"/>
    <n v="6"/>
    <b v="0"/>
    <b v="1"/>
    <s v="publishing/translations"/>
    <x v="5"/>
    <x v="18"/>
  </r>
  <r>
    <n v="995"/>
    <s v="Manning-Hamilton"/>
    <s v="Vision-oriented scalable definition"/>
    <n v="97300"/>
    <n v="153216"/>
    <n v="1.5746762589928058"/>
    <n v="2.1230434782608696"/>
    <x v="1"/>
    <n v="2043"/>
    <n v="74.995594713656388"/>
    <x v="1"/>
    <s v="USD"/>
    <n v="1541307600"/>
    <n v="1543816800"/>
    <x v="874"/>
    <d v="2018-12-03T06:00:00"/>
    <s v="Sun"/>
    <n v="29"/>
    <b v="0"/>
    <b v="1"/>
    <s v="food/food trucks"/>
    <x v="0"/>
    <x v="0"/>
  </r>
  <r>
    <n v="996"/>
    <s v="Butler LLC"/>
    <s v="Future-proofed upward-trending migration"/>
    <n v="6600"/>
    <n v="4814"/>
    <n v="0.72939393939393937"/>
    <n v="0.50551920620886137"/>
    <x v="0"/>
    <n v="112"/>
    <n v="42.982142857142854"/>
    <x v="1"/>
    <s v="USD"/>
    <n v="1357106400"/>
    <n v="1359698400"/>
    <x v="875"/>
    <d v="2013-02-01T06:00:00"/>
    <s v="Wed"/>
    <n v="30"/>
    <b v="0"/>
    <b v="0"/>
    <s v="theater/plays"/>
    <x v="3"/>
    <x v="3"/>
  </r>
  <r>
    <n v="997"/>
    <s v="Ball LLC"/>
    <s v="Right-sized full-range throughput"/>
    <n v="7600"/>
    <n v="4603"/>
    <n v="0.60565789473684206"/>
    <n v="0.43241247264770238"/>
    <x v="3"/>
    <n v="139"/>
    <n v="33.115107913669064"/>
    <x v="6"/>
    <s v="EUR"/>
    <n v="1390197600"/>
    <n v="1390629600"/>
    <x v="876"/>
    <d v="2014-01-25T06:00:00"/>
    <s v="Mon"/>
    <n v="5"/>
    <b v="0"/>
    <b v="0"/>
    <s v="theater/plays"/>
    <x v="3"/>
    <x v="3"/>
  </r>
  <r>
    <n v="998"/>
    <s v="Taylor, Santiago and Flores"/>
    <s v="Polarized composite customer loyalty"/>
    <n v="66600"/>
    <n v="37823"/>
    <n v="0.5679129129129129"/>
    <n v="0.50551920620886137"/>
    <x v="0"/>
    <n v="374"/>
    <n v="101.13101604278074"/>
    <x v="1"/>
    <s v="USD"/>
    <n v="1265868000"/>
    <n v="1267077600"/>
    <x v="877"/>
    <d v="2010-02-25T06:00:00"/>
    <s v="Thu"/>
    <n v="14"/>
    <b v="0"/>
    <b v="1"/>
    <s v="music/indie rock"/>
    <x v="1"/>
    <x v="7"/>
  </r>
  <r>
    <n v="999"/>
    <s v="Hernandez, Norton and Kelley"/>
    <s v="Expanded eco-centric policy"/>
    <n v="111100"/>
    <n v="62819"/>
    <n v="0.56542754275427543"/>
    <n v="0.43241247264770238"/>
    <x v="3"/>
    <n v="1122"/>
    <n v="55.98841354723708"/>
    <x v="1"/>
    <s v="USD"/>
    <n v="1467176400"/>
    <n v="1467781200"/>
    <x v="878"/>
    <d v="2016-07-06T05:00:00"/>
    <s v="Wed"/>
    <n v="7"/>
    <b v="0"/>
    <b v="0"/>
    <s v="food/food trucks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400AF9-2EC7-4C42-9282-31B69126007B}" name="OutcomesCategoriesPivotTable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A4:F39" firstHeaderRow="1" firstDataRow="2" firstDataCol="1" rowPageCount="2" colPageCount="1"/>
  <pivotFields count="24">
    <pivotField showAll="0"/>
    <pivotField showAll="0"/>
    <pivotField showAll="0"/>
    <pivotField numFmtId="167" showAll="0"/>
    <pivotField numFmtId="167" showAll="0"/>
    <pivotField numFmtId="9" showAll="0"/>
    <pivotField numFmtId="2" showAll="0"/>
    <pivotField axis="axisCol" dataField="1" showAll="0">
      <items count="5">
        <item x="3"/>
        <item x="0"/>
        <item x="2"/>
        <item x="1"/>
        <item t="default"/>
      </items>
    </pivotField>
    <pivotField showAll="0"/>
    <pivotField numFmtId="167" showAll="0"/>
    <pivotField axis="axisPage" showAll="0">
      <items count="8">
        <item x="2"/>
        <item x="0"/>
        <item x="5"/>
        <item x="3"/>
        <item x="4"/>
        <item x="6"/>
        <item x="1"/>
        <item t="default"/>
      </items>
    </pivotField>
    <pivotField showAll="0"/>
    <pivotField showAll="0"/>
    <pivotField showAll="0"/>
    <pivotField numFmtId="14" showAll="0">
      <items count="880">
        <item x="254"/>
        <item x="675"/>
        <item x="67"/>
        <item x="749"/>
        <item x="28"/>
        <item x="877"/>
        <item x="714"/>
        <item x="201"/>
        <item x="680"/>
        <item x="488"/>
        <item x="452"/>
        <item x="551"/>
        <item x="543"/>
        <item x="772"/>
        <item x="177"/>
        <item x="152"/>
        <item x="434"/>
        <item x="221"/>
        <item x="300"/>
        <item x="89"/>
        <item x="400"/>
        <item x="392"/>
        <item x="782"/>
        <item x="489"/>
        <item x="125"/>
        <item x="799"/>
        <item x="674"/>
        <item x="790"/>
        <item x="677"/>
        <item x="40"/>
        <item x="792"/>
        <item x="464"/>
        <item x="760"/>
        <item x="553"/>
        <item x="577"/>
        <item x="740"/>
        <item x="780"/>
        <item x="92"/>
        <item x="367"/>
        <item x="140"/>
        <item x="628"/>
        <item x="682"/>
        <item x="429"/>
        <item x="46"/>
        <item x="547"/>
        <item x="530"/>
        <item x="268"/>
        <item x="587"/>
        <item x="616"/>
        <item x="684"/>
        <item x="194"/>
        <item x="651"/>
        <item x="8"/>
        <item x="306"/>
        <item x="10"/>
        <item x="461"/>
        <item x="209"/>
        <item x="500"/>
        <item x="252"/>
        <item x="793"/>
        <item x="126"/>
        <item x="494"/>
        <item x="679"/>
        <item x="180"/>
        <item x="52"/>
        <item x="11"/>
        <item x="77"/>
        <item x="576"/>
        <item x="420"/>
        <item x="578"/>
        <item x="283"/>
        <item x="135"/>
        <item x="610"/>
        <item x="351"/>
        <item x="38"/>
        <item x="598"/>
        <item x="563"/>
        <item x="102"/>
        <item x="661"/>
        <item x="370"/>
        <item x="708"/>
        <item x="70"/>
        <item x="208"/>
        <item x="174"/>
        <item x="544"/>
        <item x="490"/>
        <item x="309"/>
        <item x="261"/>
        <item x="422"/>
        <item x="860"/>
        <item x="741"/>
        <item x="321"/>
        <item x="69"/>
        <item x="163"/>
        <item x="344"/>
        <item x="517"/>
        <item x="349"/>
        <item x="372"/>
        <item x="836"/>
        <item x="531"/>
        <item x="17"/>
        <item x="783"/>
        <item x="394"/>
        <item x="557"/>
        <item x="837"/>
        <item x="65"/>
        <item x="862"/>
        <item x="379"/>
        <item x="405"/>
        <item x="747"/>
        <item x="247"/>
        <item x="851"/>
        <item x="61"/>
        <item x="36"/>
        <item x="709"/>
        <item x="853"/>
        <item x="87"/>
        <item x="96"/>
        <item x="536"/>
        <item x="643"/>
        <item x="308"/>
        <item x="199"/>
        <item x="253"/>
        <item x="245"/>
        <item x="298"/>
        <item x="809"/>
        <item x="540"/>
        <item x="742"/>
        <item x="570"/>
        <item x="834"/>
        <item x="777"/>
        <item x="857"/>
        <item x="307"/>
        <item x="687"/>
        <item x="694"/>
        <item x="25"/>
        <item x="712"/>
        <item x="227"/>
        <item x="839"/>
        <item x="766"/>
        <item x="132"/>
        <item x="764"/>
        <item x="449"/>
        <item x="816"/>
        <item x="215"/>
        <item x="42"/>
        <item x="611"/>
        <item x="803"/>
        <item x="763"/>
        <item x="867"/>
        <item x="421"/>
        <item x="773"/>
        <item x="538"/>
        <item x="131"/>
        <item x="705"/>
        <item x="21"/>
        <item x="619"/>
        <item x="653"/>
        <item x="343"/>
        <item x="520"/>
        <item x="85"/>
        <item x="299"/>
        <item x="116"/>
        <item x="431"/>
        <item x="197"/>
        <item x="323"/>
        <item x="678"/>
        <item x="281"/>
        <item x="525"/>
        <item x="99"/>
        <item x="128"/>
        <item x="361"/>
        <item x="143"/>
        <item x="213"/>
        <item x="528"/>
        <item x="524"/>
        <item x="762"/>
        <item x="211"/>
        <item x="642"/>
        <item x="634"/>
        <item x="537"/>
        <item x="798"/>
        <item x="375"/>
        <item x="325"/>
        <item x="317"/>
        <item x="625"/>
        <item x="397"/>
        <item x="482"/>
        <item x="346"/>
        <item x="369"/>
        <item x="382"/>
        <item x="393"/>
        <item x="340"/>
        <item x="585"/>
        <item x="756"/>
        <item x="768"/>
        <item x="761"/>
        <item x="819"/>
        <item x="849"/>
        <item x="541"/>
        <item x="454"/>
        <item x="301"/>
        <item x="514"/>
        <item x="726"/>
        <item x="14"/>
        <item x="272"/>
        <item x="278"/>
        <item x="282"/>
        <item x="466"/>
        <item x="745"/>
        <item x="51"/>
        <item x="608"/>
        <item x="838"/>
        <item x="107"/>
        <item x="267"/>
        <item x="645"/>
        <item x="767"/>
        <item x="542"/>
        <item x="418"/>
        <item x="274"/>
        <item x="444"/>
        <item x="477"/>
        <item x="396"/>
        <item x="693"/>
        <item x="655"/>
        <item x="721"/>
        <item x="297"/>
        <item x="368"/>
        <item x="166"/>
        <item x="216"/>
        <item x="672"/>
        <item x="487"/>
        <item x="822"/>
        <item x="60"/>
        <item x="474"/>
        <item x="84"/>
        <item x="614"/>
        <item x="729"/>
        <item x="214"/>
        <item x="732"/>
        <item x="5"/>
        <item x="41"/>
        <item x="812"/>
        <item x="110"/>
        <item x="621"/>
        <item x="136"/>
        <item x="635"/>
        <item x="259"/>
        <item x="150"/>
        <item x="93"/>
        <item x="258"/>
        <item x="685"/>
        <item x="737"/>
        <item x="847"/>
        <item x="269"/>
        <item x="692"/>
        <item x="835"/>
        <item x="251"/>
        <item x="243"/>
        <item x="561"/>
        <item x="423"/>
        <item x="146"/>
        <item x="875"/>
        <item x="385"/>
        <item x="352"/>
        <item x="663"/>
        <item x="584"/>
        <item x="255"/>
        <item x="184"/>
        <item x="39"/>
        <item x="403"/>
        <item x="770"/>
        <item x="415"/>
        <item x="249"/>
        <item x="133"/>
        <item x="475"/>
        <item x="473"/>
        <item x="595"/>
        <item x="176"/>
        <item x="318"/>
        <item x="104"/>
        <item x="828"/>
        <item x="476"/>
        <item x="425"/>
        <item x="472"/>
        <item x="569"/>
        <item x="280"/>
        <item x="440"/>
        <item x="170"/>
        <item x="225"/>
        <item x="377"/>
        <item x="513"/>
        <item x="187"/>
        <item x="164"/>
        <item x="654"/>
        <item x="362"/>
        <item x="448"/>
        <item x="716"/>
        <item x="463"/>
        <item x="652"/>
        <item x="801"/>
        <item x="327"/>
        <item x="644"/>
        <item x="497"/>
        <item x="562"/>
        <item x="374"/>
        <item x="555"/>
        <item x="50"/>
        <item x="814"/>
        <item x="239"/>
        <item x="697"/>
        <item x="380"/>
        <item x="206"/>
        <item x="612"/>
        <item x="338"/>
        <item x="507"/>
        <item x="371"/>
        <item x="9"/>
        <item x="567"/>
        <item x="502"/>
        <item x="805"/>
        <item x="858"/>
        <item x="779"/>
        <item x="285"/>
        <item x="430"/>
        <item x="244"/>
        <item x="633"/>
        <item x="495"/>
        <item x="852"/>
        <item x="2"/>
        <item x="328"/>
        <item x="492"/>
        <item x="410"/>
        <item x="129"/>
        <item x="481"/>
        <item x="626"/>
        <item x="710"/>
        <item x="823"/>
        <item x="154"/>
        <item x="437"/>
        <item x="390"/>
        <item x="781"/>
        <item x="108"/>
        <item x="287"/>
        <item x="876"/>
        <item x="16"/>
        <item x="117"/>
        <item x="406"/>
        <item x="305"/>
        <item x="600"/>
        <item x="539"/>
        <item x="739"/>
        <item x="827"/>
        <item x="796"/>
        <item x="751"/>
        <item x="168"/>
        <item x="559"/>
        <item x="549"/>
        <item x="310"/>
        <item x="47"/>
        <item x="519"/>
        <item x="238"/>
        <item x="234"/>
        <item x="698"/>
        <item x="231"/>
        <item x="436"/>
        <item x="409"/>
        <item x="220"/>
        <item x="791"/>
        <item x="493"/>
        <item x="53"/>
        <item x="183"/>
        <item x="302"/>
        <item x="713"/>
        <item x="548"/>
        <item x="859"/>
        <item x="568"/>
        <item x="134"/>
        <item x="148"/>
        <item x="467"/>
        <item x="118"/>
        <item x="24"/>
        <item x="189"/>
        <item x="826"/>
        <item x="480"/>
        <item x="359"/>
        <item x="599"/>
        <item x="529"/>
        <item x="237"/>
        <item x="752"/>
        <item x="169"/>
        <item x="43"/>
        <item x="196"/>
        <item x="20"/>
        <item x="456"/>
        <item x="719"/>
        <item x="1"/>
        <item x="111"/>
        <item x="142"/>
        <item x="613"/>
        <item x="404"/>
        <item x="776"/>
        <item x="806"/>
        <item x="219"/>
        <item x="870"/>
        <item x="840"/>
        <item x="453"/>
        <item x="217"/>
        <item x="33"/>
        <item x="681"/>
        <item x="873"/>
        <item x="350"/>
        <item x="659"/>
        <item x="688"/>
        <item x="582"/>
        <item x="703"/>
        <item x="257"/>
        <item x="660"/>
        <item x="671"/>
        <item x="98"/>
        <item x="120"/>
        <item x="185"/>
        <item x="841"/>
        <item x="412"/>
        <item x="447"/>
        <item x="815"/>
        <item x="515"/>
        <item x="546"/>
        <item x="435"/>
        <item x="241"/>
        <item x="470"/>
        <item x="242"/>
        <item x="355"/>
        <item x="56"/>
        <item x="686"/>
        <item x="789"/>
        <item x="810"/>
        <item x="76"/>
        <item x="511"/>
        <item x="127"/>
        <item x="354"/>
        <item x="332"/>
        <item x="554"/>
        <item x="669"/>
        <item x="100"/>
        <item x="825"/>
        <item x="291"/>
        <item x="748"/>
        <item x="450"/>
        <item x="527"/>
        <item x="66"/>
        <item x="88"/>
        <item x="119"/>
        <item x="842"/>
        <item x="640"/>
        <item x="137"/>
        <item x="277"/>
        <item x="86"/>
        <item x="854"/>
        <item x="222"/>
        <item x="443"/>
        <item x="334"/>
        <item x="664"/>
        <item x="62"/>
        <item x="363"/>
        <item x="743"/>
        <item x="505"/>
        <item x="139"/>
        <item x="800"/>
        <item x="774"/>
        <item x="532"/>
        <item x="311"/>
        <item x="48"/>
        <item x="72"/>
        <item x="545"/>
        <item x="195"/>
        <item x="330"/>
        <item x="574"/>
        <item x="794"/>
        <item x="830"/>
        <item x="97"/>
        <item x="402"/>
        <item x="279"/>
        <item x="7"/>
        <item x="706"/>
        <item x="607"/>
        <item x="629"/>
        <item x="335"/>
        <item x="326"/>
        <item x="233"/>
        <item x="606"/>
        <item x="341"/>
        <item x="414"/>
        <item x="191"/>
        <item x="115"/>
        <item x="58"/>
        <item x="158"/>
        <item x="533"/>
        <item x="521"/>
        <item x="27"/>
        <item x="171"/>
        <item x="696"/>
        <item x="358"/>
        <item x="676"/>
        <item x="746"/>
        <item x="865"/>
        <item x="336"/>
        <item x="639"/>
        <item x="441"/>
        <item x="121"/>
        <item x="832"/>
        <item x="0"/>
        <item x="861"/>
        <item x="262"/>
        <item x="155"/>
        <item x="846"/>
        <item x="848"/>
        <item x="872"/>
        <item x="312"/>
        <item x="256"/>
        <item x="31"/>
        <item x="293"/>
        <item x="508"/>
        <item x="731"/>
        <item x="589"/>
        <item x="506"/>
        <item x="248"/>
        <item x="722"/>
        <item x="460"/>
        <item x="491"/>
        <item x="850"/>
        <item x="753"/>
        <item x="829"/>
        <item x="522"/>
        <item x="90"/>
        <item x="288"/>
        <item x="658"/>
        <item x="289"/>
        <item x="186"/>
        <item x="552"/>
        <item x="711"/>
        <item x="558"/>
        <item x="471"/>
        <item x="218"/>
        <item x="683"/>
        <item x="295"/>
        <item x="74"/>
        <item x="668"/>
        <item x="512"/>
        <item x="602"/>
        <item x="618"/>
        <item x="566"/>
        <item x="204"/>
        <item x="151"/>
        <item x="728"/>
        <item x="702"/>
        <item x="662"/>
        <item x="733"/>
        <item x="273"/>
        <item x="13"/>
        <item x="144"/>
        <item x="387"/>
        <item x="550"/>
        <item x="878"/>
        <item x="646"/>
        <item x="579"/>
        <item x="571"/>
        <item x="622"/>
        <item x="707"/>
        <item x="226"/>
        <item x="785"/>
        <item x="83"/>
        <item x="523"/>
        <item x="601"/>
        <item x="91"/>
        <item x="294"/>
        <item x="845"/>
        <item x="124"/>
        <item x="775"/>
        <item x="650"/>
        <item x="486"/>
        <item x="172"/>
        <item x="173"/>
        <item x="275"/>
        <item x="572"/>
        <item x="433"/>
        <item x="718"/>
        <item x="45"/>
        <item x="416"/>
        <item x="670"/>
        <item x="864"/>
        <item x="586"/>
        <item x="276"/>
        <item x="516"/>
        <item x="73"/>
        <item x="411"/>
        <item x="250"/>
        <item x="715"/>
        <item x="315"/>
        <item x="518"/>
        <item x="469"/>
        <item x="240"/>
        <item x="844"/>
        <item x="348"/>
        <item x="565"/>
        <item x="198"/>
        <item x="339"/>
        <item x="667"/>
        <item x="673"/>
        <item x="365"/>
        <item x="229"/>
        <item x="333"/>
        <item x="149"/>
        <item x="590"/>
        <item x="246"/>
        <item x="787"/>
        <item x="738"/>
        <item x="592"/>
        <item x="603"/>
        <item x="205"/>
        <item x="631"/>
        <item x="666"/>
        <item x="34"/>
        <item x="583"/>
        <item x="795"/>
        <item x="701"/>
        <item x="695"/>
        <item x="388"/>
        <item x="459"/>
        <item x="869"/>
        <item x="63"/>
        <item x="824"/>
        <item x="483"/>
        <item x="235"/>
        <item x="808"/>
        <item x="304"/>
        <item x="468"/>
        <item x="648"/>
        <item x="103"/>
        <item x="389"/>
        <item x="223"/>
        <item x="59"/>
        <item x="855"/>
        <item x="193"/>
        <item x="398"/>
        <item x="615"/>
        <item x="399"/>
        <item x="417"/>
        <item x="597"/>
        <item x="296"/>
        <item x="373"/>
        <item x="428"/>
        <item x="691"/>
        <item x="665"/>
        <item x="145"/>
        <item x="68"/>
        <item x="451"/>
        <item x="162"/>
        <item x="324"/>
        <item x="167"/>
        <item x="356"/>
        <item x="228"/>
        <item x="331"/>
        <item x="564"/>
        <item x="80"/>
        <item x="290"/>
        <item x="57"/>
        <item x="419"/>
        <item x="112"/>
        <item x="6"/>
        <item x="264"/>
        <item x="175"/>
        <item x="821"/>
        <item x="178"/>
        <item x="345"/>
        <item x="161"/>
        <item x="817"/>
        <item x="364"/>
        <item x="637"/>
        <item x="160"/>
        <item x="535"/>
        <item x="265"/>
        <item x="203"/>
        <item x="383"/>
        <item x="114"/>
        <item x="271"/>
        <item x="81"/>
        <item x="638"/>
        <item x="730"/>
        <item x="734"/>
        <item x="316"/>
        <item x="232"/>
        <item x="424"/>
        <item x="717"/>
        <item x="866"/>
        <item x="605"/>
        <item x="604"/>
        <item x="725"/>
        <item x="744"/>
        <item x="759"/>
        <item x="32"/>
        <item x="130"/>
        <item x="329"/>
        <item x="496"/>
        <item x="439"/>
        <item x="802"/>
        <item x="689"/>
        <item x="863"/>
        <item x="432"/>
        <item x="438"/>
        <item x="656"/>
        <item x="484"/>
        <item x="138"/>
        <item x="236"/>
        <item x="347"/>
        <item x="458"/>
        <item x="54"/>
        <item x="617"/>
        <item x="630"/>
        <item x="641"/>
        <item x="22"/>
        <item x="657"/>
        <item x="190"/>
        <item x="596"/>
        <item x="573"/>
        <item x="78"/>
        <item x="401"/>
        <item x="769"/>
        <item x="106"/>
        <item x="504"/>
        <item x="871"/>
        <item x="378"/>
        <item x="182"/>
        <item x="101"/>
        <item x="757"/>
        <item x="360"/>
        <item x="478"/>
        <item x="384"/>
        <item x="499"/>
        <item x="833"/>
        <item x="754"/>
        <item x="79"/>
        <item x="408"/>
        <item x="446"/>
        <item x="64"/>
        <item x="649"/>
        <item x="75"/>
        <item x="807"/>
        <item x="29"/>
        <item x="758"/>
        <item x="588"/>
        <item x="192"/>
        <item x="55"/>
        <item x="26"/>
        <item x="342"/>
        <item x="498"/>
        <item x="755"/>
        <item x="202"/>
        <item x="501"/>
        <item x="292"/>
        <item x="270"/>
        <item x="18"/>
        <item x="109"/>
        <item x="627"/>
        <item x="510"/>
        <item x="123"/>
        <item x="594"/>
        <item x="750"/>
        <item x="376"/>
        <item x="778"/>
        <item x="200"/>
        <item x="427"/>
        <item x="284"/>
        <item x="395"/>
        <item x="874"/>
        <item x="526"/>
        <item x="319"/>
        <item x="391"/>
        <item x="314"/>
        <item x="159"/>
        <item x="609"/>
        <item x="147"/>
        <item x="591"/>
        <item x="593"/>
        <item x="720"/>
        <item x="647"/>
        <item x="632"/>
        <item x="357"/>
        <item x="560"/>
        <item x="82"/>
        <item x="35"/>
        <item x="4"/>
        <item x="736"/>
        <item x="699"/>
        <item x="724"/>
        <item x="286"/>
        <item x="260"/>
        <item x="818"/>
        <item x="700"/>
        <item x="210"/>
        <item x="23"/>
        <item x="771"/>
        <item x="165"/>
        <item x="19"/>
        <item x="426"/>
        <item x="445"/>
        <item x="188"/>
        <item x="44"/>
        <item x="581"/>
        <item x="156"/>
        <item x="366"/>
        <item x="266"/>
        <item x="94"/>
        <item x="113"/>
        <item x="442"/>
        <item x="353"/>
        <item x="843"/>
        <item x="556"/>
        <item x="485"/>
        <item x="413"/>
        <item x="157"/>
        <item x="212"/>
        <item x="580"/>
        <item x="181"/>
        <item x="735"/>
        <item x="813"/>
        <item x="122"/>
        <item x="30"/>
        <item x="784"/>
        <item x="457"/>
        <item x="179"/>
        <item x="141"/>
        <item x="797"/>
        <item x="230"/>
        <item x="465"/>
        <item x="503"/>
        <item x="704"/>
        <item x="337"/>
        <item x="636"/>
        <item x="263"/>
        <item x="788"/>
        <item x="831"/>
        <item x="479"/>
        <item x="690"/>
        <item x="868"/>
        <item x="3"/>
        <item x="313"/>
        <item x="105"/>
        <item x="811"/>
        <item x="620"/>
        <item x="407"/>
        <item x="153"/>
        <item x="37"/>
        <item x="386"/>
        <item x="95"/>
        <item x="727"/>
        <item x="623"/>
        <item x="49"/>
        <item x="12"/>
        <item x="381"/>
        <item x="820"/>
        <item x="322"/>
        <item x="320"/>
        <item x="462"/>
        <item x="765"/>
        <item x="303"/>
        <item x="71"/>
        <item x="224"/>
        <item x="534"/>
        <item x="15"/>
        <item x="455"/>
        <item x="624"/>
        <item x="207"/>
        <item x="804"/>
        <item x="856"/>
        <item x="509"/>
        <item x="723"/>
        <item x="786"/>
        <item x="575"/>
        <item t="default"/>
      </items>
    </pivotField>
    <pivotField numFmtId="14" showAll="0"/>
    <pivotField showAll="0"/>
    <pivotField showAll="0"/>
    <pivotField showAll="0"/>
    <pivotField showAll="0"/>
    <pivotField showAll="0"/>
    <pivotField axis="axisRow" showAll="0">
      <items count="10">
        <item x="4"/>
        <item x="0"/>
        <item x="6"/>
        <item x="8"/>
        <item x="1"/>
        <item x="7"/>
        <item x="5"/>
        <item x="2"/>
        <item x="3"/>
        <item t="default"/>
      </items>
    </pivotField>
    <pivotField axis="axisRow" showAll="0">
      <items count="25">
        <item x="10"/>
        <item x="23"/>
        <item x="4"/>
        <item x="6"/>
        <item x="5"/>
        <item x="13"/>
        <item x="0"/>
        <item x="7"/>
        <item x="17"/>
        <item x="16"/>
        <item x="20"/>
        <item x="9"/>
        <item x="14"/>
        <item x="3"/>
        <item x="15"/>
        <item x="1"/>
        <item x="22"/>
        <item x="12"/>
        <item x="19"/>
        <item x="18"/>
        <item x="11"/>
        <item x="8"/>
        <item x="2"/>
        <item x="21"/>
        <item t="default"/>
      </items>
    </pivotField>
    <pivotField name="Years" axis="axisPage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</pivotFields>
  <rowFields count="2">
    <field x="21"/>
    <field x="22"/>
  </rowFields>
  <rowItems count="34">
    <i>
      <x/>
    </i>
    <i r="1">
      <x/>
    </i>
    <i r="1">
      <x v="2"/>
    </i>
    <i r="1">
      <x v="3"/>
    </i>
    <i r="1">
      <x v="16"/>
    </i>
    <i r="1">
      <x v="17"/>
    </i>
    <i r="1">
      <x v="18"/>
    </i>
    <i>
      <x v="1"/>
    </i>
    <i r="1">
      <x v="6"/>
    </i>
    <i>
      <x v="2"/>
    </i>
    <i r="1">
      <x v="10"/>
    </i>
    <i r="1">
      <x v="20"/>
    </i>
    <i>
      <x v="3"/>
    </i>
    <i r="1">
      <x v="1"/>
    </i>
    <i>
      <x v="4"/>
    </i>
    <i r="1">
      <x v="4"/>
    </i>
    <i r="1">
      <x v="7"/>
    </i>
    <i r="1">
      <x v="8"/>
    </i>
    <i r="1">
      <x v="9"/>
    </i>
    <i r="1">
      <x v="15"/>
    </i>
    <i r="1">
      <x v="23"/>
    </i>
    <i>
      <x v="5"/>
    </i>
    <i r="1">
      <x v="12"/>
    </i>
    <i>
      <x v="6"/>
    </i>
    <i r="1">
      <x v="5"/>
    </i>
    <i r="1">
      <x v="11"/>
    </i>
    <i r="1">
      <x v="14"/>
    </i>
    <i r="1">
      <x v="19"/>
    </i>
    <i>
      <x v="7"/>
    </i>
    <i r="1">
      <x v="21"/>
    </i>
    <i r="1">
      <x v="22"/>
    </i>
    <i>
      <x v="8"/>
    </i>
    <i r="1">
      <x v="13"/>
    </i>
    <i t="grand">
      <x/>
    </i>
  </rowItems>
  <colFields count="1">
    <field x="7"/>
  </colFields>
  <colItems count="5">
    <i>
      <x/>
    </i>
    <i>
      <x v="1"/>
    </i>
    <i>
      <x v="2"/>
    </i>
    <i>
      <x v="3"/>
    </i>
    <i t="grand">
      <x/>
    </i>
  </colItems>
  <pageFields count="2">
    <pageField fld="10" hier="-1"/>
    <pageField fld="23" hier="-1"/>
  </pageFields>
  <dataFields count="1">
    <dataField name="Count of outcome" fld="7" subtotal="count" baseField="0" baseItem="0"/>
  </dataFields>
  <formats count="24">
    <format dxfId="433">
      <pivotArea type="all" dataOnly="0" outline="0" fieldPosition="0"/>
    </format>
    <format dxfId="432">
      <pivotArea outline="0" collapsedLevelsAreSubtotals="1" fieldPosition="0"/>
    </format>
    <format dxfId="431">
      <pivotArea type="origin" dataOnly="0" labelOnly="1" outline="0" fieldPosition="0"/>
    </format>
    <format dxfId="430">
      <pivotArea field="7" type="button" dataOnly="0" labelOnly="1" outline="0" axis="axisCol" fieldPosition="0"/>
    </format>
    <format dxfId="429">
      <pivotArea type="topRight" dataOnly="0" labelOnly="1" outline="0" fieldPosition="0"/>
    </format>
    <format dxfId="428">
      <pivotArea field="21" type="button" dataOnly="0" labelOnly="1" outline="0" axis="axisRow" fieldPosition="0"/>
    </format>
    <format dxfId="427">
      <pivotArea dataOnly="0" labelOnly="1" fieldPosition="0">
        <references count="1">
          <reference field="21" count="0"/>
        </references>
      </pivotArea>
    </format>
    <format dxfId="426">
      <pivotArea dataOnly="0" labelOnly="1" grandRow="1" outline="0" fieldPosition="0"/>
    </format>
    <format dxfId="425">
      <pivotArea dataOnly="0" labelOnly="1" fieldPosition="0">
        <references count="2">
          <reference field="21" count="1" selected="0">
            <x v="0"/>
          </reference>
          <reference field="22" count="6">
            <x v="0"/>
            <x v="2"/>
            <x v="3"/>
            <x v="16"/>
            <x v="17"/>
            <x v="18"/>
          </reference>
        </references>
      </pivotArea>
    </format>
    <format dxfId="424">
      <pivotArea dataOnly="0" labelOnly="1" fieldPosition="0">
        <references count="2">
          <reference field="21" count="1" selected="0">
            <x v="1"/>
          </reference>
          <reference field="22" count="1">
            <x v="6"/>
          </reference>
        </references>
      </pivotArea>
    </format>
    <format dxfId="423">
      <pivotArea dataOnly="0" labelOnly="1" fieldPosition="0">
        <references count="2">
          <reference field="21" count="1" selected="0">
            <x v="2"/>
          </reference>
          <reference field="22" count="2">
            <x v="10"/>
            <x v="20"/>
          </reference>
        </references>
      </pivotArea>
    </format>
    <format dxfId="422">
      <pivotArea dataOnly="0" labelOnly="1" fieldPosition="0">
        <references count="2">
          <reference field="21" count="1" selected="0">
            <x v="3"/>
          </reference>
          <reference field="22" count="1">
            <x v="1"/>
          </reference>
        </references>
      </pivotArea>
    </format>
    <format dxfId="421">
      <pivotArea dataOnly="0" labelOnly="1" fieldPosition="0">
        <references count="2">
          <reference field="21" count="1" selected="0">
            <x v="4"/>
          </reference>
          <reference field="22" count="6">
            <x v="4"/>
            <x v="7"/>
            <x v="8"/>
            <x v="9"/>
            <x v="15"/>
            <x v="23"/>
          </reference>
        </references>
      </pivotArea>
    </format>
    <format dxfId="420">
      <pivotArea dataOnly="0" labelOnly="1" fieldPosition="0">
        <references count="2">
          <reference field="21" count="1" selected="0">
            <x v="5"/>
          </reference>
          <reference field="22" count="1">
            <x v="12"/>
          </reference>
        </references>
      </pivotArea>
    </format>
    <format dxfId="419">
      <pivotArea dataOnly="0" labelOnly="1" fieldPosition="0">
        <references count="2">
          <reference field="21" count="1" selected="0">
            <x v="6"/>
          </reference>
          <reference field="22" count="4">
            <x v="5"/>
            <x v="11"/>
            <x v="14"/>
            <x v="19"/>
          </reference>
        </references>
      </pivotArea>
    </format>
    <format dxfId="418">
      <pivotArea dataOnly="0" labelOnly="1" fieldPosition="0">
        <references count="2">
          <reference field="21" count="1" selected="0">
            <x v="7"/>
          </reference>
          <reference field="22" count="2">
            <x v="21"/>
            <x v="22"/>
          </reference>
        </references>
      </pivotArea>
    </format>
    <format dxfId="417">
      <pivotArea dataOnly="0" labelOnly="1" fieldPosition="0">
        <references count="2">
          <reference field="21" count="1" selected="0">
            <x v="8"/>
          </reference>
          <reference field="22" count="1">
            <x v="13"/>
          </reference>
        </references>
      </pivotArea>
    </format>
    <format dxfId="416">
      <pivotArea dataOnly="0" labelOnly="1" fieldPosition="0">
        <references count="1">
          <reference field="7" count="0"/>
        </references>
      </pivotArea>
    </format>
    <format dxfId="415">
      <pivotArea dataOnly="0" labelOnly="1" grandCol="1" outline="0" fieldPosition="0"/>
    </format>
    <format dxfId="414">
      <pivotArea outline="0" collapsedLevelsAreSubtotals="1" fieldPosition="0"/>
    </format>
    <format dxfId="413">
      <pivotArea field="7" type="button" dataOnly="0" labelOnly="1" outline="0" axis="axisCol" fieldPosition="0"/>
    </format>
    <format dxfId="412">
      <pivotArea type="topRight" dataOnly="0" labelOnly="1" outline="0" fieldPosition="0"/>
    </format>
    <format dxfId="411">
      <pivotArea dataOnly="0" labelOnly="1" fieldPosition="0">
        <references count="1">
          <reference field="7" count="0"/>
        </references>
      </pivotArea>
    </format>
    <format dxfId="410">
      <pivotArea dataOnly="0" labelOnly="1" grandCol="1" outline="0" fieldPosition="0"/>
    </format>
  </formats>
  <chartFormats count="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10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0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0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0" format="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</chartFormats>
  <pivotTableStyleInfo name="PivotStyleDark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299BA0-65C2-B44A-BE52-D190DDDE6FDF}" name="MeanFundingRatioPivotTable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4:F39" firstHeaderRow="1" firstDataRow="2" firstDataCol="1" rowPageCount="2" colPageCount="1"/>
  <pivotFields count="24">
    <pivotField showAll="0"/>
    <pivotField showAll="0"/>
    <pivotField showAll="0"/>
    <pivotField numFmtId="167" showAll="0"/>
    <pivotField numFmtId="167" showAll="0"/>
    <pivotField dataField="1" numFmtId="9" showAll="0"/>
    <pivotField numFmtId="2" showAll="0"/>
    <pivotField axis="axisCol" showAll="0">
      <items count="5">
        <item x="3"/>
        <item x="0"/>
        <item x="2"/>
        <item x="1"/>
        <item t="default"/>
      </items>
    </pivotField>
    <pivotField showAll="0"/>
    <pivotField numFmtId="167" showAll="0"/>
    <pivotField axis="axisPage" showAll="0">
      <items count="8">
        <item x="2"/>
        <item x="0"/>
        <item x="5"/>
        <item x="3"/>
        <item x="4"/>
        <item x="6"/>
        <item x="1"/>
        <item t="default"/>
      </items>
    </pivotField>
    <pivotField showAll="0"/>
    <pivotField showAll="0"/>
    <pivotField showAll="0"/>
    <pivotField numFmtId="14" showAll="0">
      <items count="880">
        <item x="254"/>
        <item x="675"/>
        <item x="67"/>
        <item x="749"/>
        <item x="28"/>
        <item x="877"/>
        <item x="714"/>
        <item x="201"/>
        <item x="680"/>
        <item x="488"/>
        <item x="452"/>
        <item x="551"/>
        <item x="543"/>
        <item x="772"/>
        <item x="177"/>
        <item x="152"/>
        <item x="434"/>
        <item x="221"/>
        <item x="300"/>
        <item x="89"/>
        <item x="400"/>
        <item x="392"/>
        <item x="782"/>
        <item x="489"/>
        <item x="125"/>
        <item x="799"/>
        <item x="674"/>
        <item x="790"/>
        <item x="677"/>
        <item x="40"/>
        <item x="792"/>
        <item x="464"/>
        <item x="760"/>
        <item x="553"/>
        <item x="577"/>
        <item x="740"/>
        <item x="780"/>
        <item x="92"/>
        <item x="367"/>
        <item x="140"/>
        <item x="628"/>
        <item x="682"/>
        <item x="429"/>
        <item x="46"/>
        <item x="547"/>
        <item x="530"/>
        <item x="268"/>
        <item x="587"/>
        <item x="616"/>
        <item x="684"/>
        <item x="194"/>
        <item x="651"/>
        <item x="8"/>
        <item x="306"/>
        <item x="10"/>
        <item x="461"/>
        <item x="209"/>
        <item x="500"/>
        <item x="252"/>
        <item x="793"/>
        <item x="126"/>
        <item x="494"/>
        <item x="679"/>
        <item x="180"/>
        <item x="52"/>
        <item x="11"/>
        <item x="77"/>
        <item x="576"/>
        <item x="420"/>
        <item x="578"/>
        <item x="283"/>
        <item x="135"/>
        <item x="610"/>
        <item x="351"/>
        <item x="38"/>
        <item x="598"/>
        <item x="563"/>
        <item x="102"/>
        <item x="661"/>
        <item x="370"/>
        <item x="708"/>
        <item x="70"/>
        <item x="208"/>
        <item x="174"/>
        <item x="544"/>
        <item x="490"/>
        <item x="309"/>
        <item x="261"/>
        <item x="422"/>
        <item x="860"/>
        <item x="741"/>
        <item x="321"/>
        <item x="69"/>
        <item x="163"/>
        <item x="344"/>
        <item x="517"/>
        <item x="349"/>
        <item x="372"/>
        <item x="836"/>
        <item x="531"/>
        <item x="17"/>
        <item x="783"/>
        <item x="394"/>
        <item x="557"/>
        <item x="837"/>
        <item x="65"/>
        <item x="862"/>
        <item x="379"/>
        <item x="405"/>
        <item x="747"/>
        <item x="247"/>
        <item x="851"/>
        <item x="61"/>
        <item x="36"/>
        <item x="709"/>
        <item x="853"/>
        <item x="87"/>
        <item x="96"/>
        <item x="536"/>
        <item x="643"/>
        <item x="308"/>
        <item x="199"/>
        <item x="253"/>
        <item x="245"/>
        <item x="298"/>
        <item x="809"/>
        <item x="540"/>
        <item x="742"/>
        <item x="570"/>
        <item x="834"/>
        <item x="777"/>
        <item x="857"/>
        <item x="307"/>
        <item x="687"/>
        <item x="694"/>
        <item x="25"/>
        <item x="712"/>
        <item x="227"/>
        <item x="839"/>
        <item x="766"/>
        <item x="132"/>
        <item x="764"/>
        <item x="449"/>
        <item x="816"/>
        <item x="215"/>
        <item x="42"/>
        <item x="611"/>
        <item x="803"/>
        <item x="763"/>
        <item x="867"/>
        <item x="421"/>
        <item x="773"/>
        <item x="538"/>
        <item x="131"/>
        <item x="705"/>
        <item x="21"/>
        <item x="619"/>
        <item x="653"/>
        <item x="343"/>
        <item x="520"/>
        <item x="85"/>
        <item x="299"/>
        <item x="116"/>
        <item x="431"/>
        <item x="197"/>
        <item x="323"/>
        <item x="678"/>
        <item x="281"/>
        <item x="525"/>
        <item x="99"/>
        <item x="128"/>
        <item x="361"/>
        <item x="143"/>
        <item x="213"/>
        <item x="528"/>
        <item x="524"/>
        <item x="762"/>
        <item x="211"/>
        <item x="642"/>
        <item x="634"/>
        <item x="537"/>
        <item x="798"/>
        <item x="375"/>
        <item x="325"/>
        <item x="317"/>
        <item x="625"/>
        <item x="397"/>
        <item x="482"/>
        <item x="346"/>
        <item x="369"/>
        <item x="382"/>
        <item x="393"/>
        <item x="340"/>
        <item x="585"/>
        <item x="756"/>
        <item x="768"/>
        <item x="761"/>
        <item x="819"/>
        <item x="849"/>
        <item x="541"/>
        <item x="454"/>
        <item x="301"/>
        <item x="514"/>
        <item x="726"/>
        <item x="14"/>
        <item x="272"/>
        <item x="278"/>
        <item x="282"/>
        <item x="466"/>
        <item x="745"/>
        <item x="51"/>
        <item x="608"/>
        <item x="838"/>
        <item x="107"/>
        <item x="267"/>
        <item x="645"/>
        <item x="767"/>
        <item x="542"/>
        <item x="418"/>
        <item x="274"/>
        <item x="444"/>
        <item x="477"/>
        <item x="396"/>
        <item x="693"/>
        <item x="655"/>
        <item x="721"/>
        <item x="297"/>
        <item x="368"/>
        <item x="166"/>
        <item x="216"/>
        <item x="672"/>
        <item x="487"/>
        <item x="822"/>
        <item x="60"/>
        <item x="474"/>
        <item x="84"/>
        <item x="614"/>
        <item x="729"/>
        <item x="214"/>
        <item x="732"/>
        <item x="5"/>
        <item x="41"/>
        <item x="812"/>
        <item x="110"/>
        <item x="621"/>
        <item x="136"/>
        <item x="635"/>
        <item x="259"/>
        <item x="150"/>
        <item x="93"/>
        <item x="258"/>
        <item x="685"/>
        <item x="737"/>
        <item x="847"/>
        <item x="269"/>
        <item x="692"/>
        <item x="835"/>
        <item x="251"/>
        <item x="243"/>
        <item x="561"/>
        <item x="423"/>
        <item x="146"/>
        <item x="875"/>
        <item x="385"/>
        <item x="352"/>
        <item x="663"/>
        <item x="584"/>
        <item x="255"/>
        <item x="184"/>
        <item x="39"/>
        <item x="403"/>
        <item x="770"/>
        <item x="415"/>
        <item x="249"/>
        <item x="133"/>
        <item x="475"/>
        <item x="473"/>
        <item x="595"/>
        <item x="176"/>
        <item x="318"/>
        <item x="104"/>
        <item x="828"/>
        <item x="476"/>
        <item x="425"/>
        <item x="472"/>
        <item x="569"/>
        <item x="280"/>
        <item x="440"/>
        <item x="170"/>
        <item x="225"/>
        <item x="377"/>
        <item x="513"/>
        <item x="187"/>
        <item x="164"/>
        <item x="654"/>
        <item x="362"/>
        <item x="448"/>
        <item x="716"/>
        <item x="463"/>
        <item x="652"/>
        <item x="801"/>
        <item x="327"/>
        <item x="644"/>
        <item x="497"/>
        <item x="562"/>
        <item x="374"/>
        <item x="555"/>
        <item x="50"/>
        <item x="814"/>
        <item x="239"/>
        <item x="697"/>
        <item x="380"/>
        <item x="206"/>
        <item x="612"/>
        <item x="338"/>
        <item x="507"/>
        <item x="371"/>
        <item x="9"/>
        <item x="567"/>
        <item x="502"/>
        <item x="805"/>
        <item x="858"/>
        <item x="779"/>
        <item x="285"/>
        <item x="430"/>
        <item x="244"/>
        <item x="633"/>
        <item x="495"/>
        <item x="852"/>
        <item x="2"/>
        <item x="328"/>
        <item x="492"/>
        <item x="410"/>
        <item x="129"/>
        <item x="481"/>
        <item x="626"/>
        <item x="710"/>
        <item x="823"/>
        <item x="154"/>
        <item x="437"/>
        <item x="390"/>
        <item x="781"/>
        <item x="108"/>
        <item x="287"/>
        <item x="876"/>
        <item x="16"/>
        <item x="117"/>
        <item x="406"/>
        <item x="305"/>
        <item x="600"/>
        <item x="539"/>
        <item x="739"/>
        <item x="827"/>
        <item x="796"/>
        <item x="751"/>
        <item x="168"/>
        <item x="559"/>
        <item x="549"/>
        <item x="310"/>
        <item x="47"/>
        <item x="519"/>
        <item x="238"/>
        <item x="234"/>
        <item x="698"/>
        <item x="231"/>
        <item x="436"/>
        <item x="409"/>
        <item x="220"/>
        <item x="791"/>
        <item x="493"/>
        <item x="53"/>
        <item x="183"/>
        <item x="302"/>
        <item x="713"/>
        <item x="548"/>
        <item x="859"/>
        <item x="568"/>
        <item x="134"/>
        <item x="148"/>
        <item x="467"/>
        <item x="118"/>
        <item x="24"/>
        <item x="189"/>
        <item x="826"/>
        <item x="480"/>
        <item x="359"/>
        <item x="599"/>
        <item x="529"/>
        <item x="237"/>
        <item x="752"/>
        <item x="169"/>
        <item x="43"/>
        <item x="196"/>
        <item x="20"/>
        <item x="456"/>
        <item x="719"/>
        <item x="1"/>
        <item x="111"/>
        <item x="142"/>
        <item x="613"/>
        <item x="404"/>
        <item x="776"/>
        <item x="806"/>
        <item x="219"/>
        <item x="870"/>
        <item x="840"/>
        <item x="453"/>
        <item x="217"/>
        <item x="33"/>
        <item x="681"/>
        <item x="873"/>
        <item x="350"/>
        <item x="659"/>
        <item x="688"/>
        <item x="582"/>
        <item x="703"/>
        <item x="257"/>
        <item x="660"/>
        <item x="671"/>
        <item x="98"/>
        <item x="120"/>
        <item x="185"/>
        <item x="841"/>
        <item x="412"/>
        <item x="447"/>
        <item x="815"/>
        <item x="515"/>
        <item x="546"/>
        <item x="435"/>
        <item x="241"/>
        <item x="470"/>
        <item x="242"/>
        <item x="355"/>
        <item x="56"/>
        <item x="686"/>
        <item x="789"/>
        <item x="810"/>
        <item x="76"/>
        <item x="511"/>
        <item x="127"/>
        <item x="354"/>
        <item x="332"/>
        <item x="554"/>
        <item x="669"/>
        <item x="100"/>
        <item x="825"/>
        <item x="291"/>
        <item x="748"/>
        <item x="450"/>
        <item x="527"/>
        <item x="66"/>
        <item x="88"/>
        <item x="119"/>
        <item x="842"/>
        <item x="640"/>
        <item x="137"/>
        <item x="277"/>
        <item x="86"/>
        <item x="854"/>
        <item x="222"/>
        <item x="443"/>
        <item x="334"/>
        <item x="664"/>
        <item x="62"/>
        <item x="363"/>
        <item x="743"/>
        <item x="505"/>
        <item x="139"/>
        <item x="800"/>
        <item x="774"/>
        <item x="532"/>
        <item x="311"/>
        <item x="48"/>
        <item x="72"/>
        <item x="545"/>
        <item x="195"/>
        <item x="330"/>
        <item x="574"/>
        <item x="794"/>
        <item x="830"/>
        <item x="97"/>
        <item x="402"/>
        <item x="279"/>
        <item x="7"/>
        <item x="706"/>
        <item x="607"/>
        <item x="629"/>
        <item x="335"/>
        <item x="326"/>
        <item x="233"/>
        <item x="606"/>
        <item x="341"/>
        <item x="414"/>
        <item x="191"/>
        <item x="115"/>
        <item x="58"/>
        <item x="158"/>
        <item x="533"/>
        <item x="521"/>
        <item x="27"/>
        <item x="171"/>
        <item x="696"/>
        <item x="358"/>
        <item x="676"/>
        <item x="746"/>
        <item x="865"/>
        <item x="336"/>
        <item x="639"/>
        <item x="441"/>
        <item x="121"/>
        <item x="832"/>
        <item x="0"/>
        <item x="861"/>
        <item x="262"/>
        <item x="155"/>
        <item x="846"/>
        <item x="848"/>
        <item x="872"/>
        <item x="312"/>
        <item x="256"/>
        <item x="31"/>
        <item x="293"/>
        <item x="508"/>
        <item x="731"/>
        <item x="589"/>
        <item x="506"/>
        <item x="248"/>
        <item x="722"/>
        <item x="460"/>
        <item x="491"/>
        <item x="850"/>
        <item x="753"/>
        <item x="829"/>
        <item x="522"/>
        <item x="90"/>
        <item x="288"/>
        <item x="658"/>
        <item x="289"/>
        <item x="186"/>
        <item x="552"/>
        <item x="711"/>
        <item x="558"/>
        <item x="471"/>
        <item x="218"/>
        <item x="683"/>
        <item x="295"/>
        <item x="74"/>
        <item x="668"/>
        <item x="512"/>
        <item x="602"/>
        <item x="618"/>
        <item x="566"/>
        <item x="204"/>
        <item x="151"/>
        <item x="728"/>
        <item x="702"/>
        <item x="662"/>
        <item x="733"/>
        <item x="273"/>
        <item x="13"/>
        <item x="144"/>
        <item x="387"/>
        <item x="550"/>
        <item x="878"/>
        <item x="646"/>
        <item x="579"/>
        <item x="571"/>
        <item x="622"/>
        <item x="707"/>
        <item x="226"/>
        <item x="785"/>
        <item x="83"/>
        <item x="523"/>
        <item x="601"/>
        <item x="91"/>
        <item x="294"/>
        <item x="845"/>
        <item x="124"/>
        <item x="775"/>
        <item x="650"/>
        <item x="486"/>
        <item x="172"/>
        <item x="173"/>
        <item x="275"/>
        <item x="572"/>
        <item x="433"/>
        <item x="718"/>
        <item x="45"/>
        <item x="416"/>
        <item x="670"/>
        <item x="864"/>
        <item x="586"/>
        <item x="276"/>
        <item x="516"/>
        <item x="73"/>
        <item x="411"/>
        <item x="250"/>
        <item x="715"/>
        <item x="315"/>
        <item x="518"/>
        <item x="469"/>
        <item x="240"/>
        <item x="844"/>
        <item x="348"/>
        <item x="565"/>
        <item x="198"/>
        <item x="339"/>
        <item x="667"/>
        <item x="673"/>
        <item x="365"/>
        <item x="229"/>
        <item x="333"/>
        <item x="149"/>
        <item x="590"/>
        <item x="246"/>
        <item x="787"/>
        <item x="738"/>
        <item x="592"/>
        <item x="603"/>
        <item x="205"/>
        <item x="631"/>
        <item x="666"/>
        <item x="34"/>
        <item x="583"/>
        <item x="795"/>
        <item x="701"/>
        <item x="695"/>
        <item x="388"/>
        <item x="459"/>
        <item x="869"/>
        <item x="63"/>
        <item x="824"/>
        <item x="483"/>
        <item x="235"/>
        <item x="808"/>
        <item x="304"/>
        <item x="468"/>
        <item x="648"/>
        <item x="103"/>
        <item x="389"/>
        <item x="223"/>
        <item x="59"/>
        <item x="855"/>
        <item x="193"/>
        <item x="398"/>
        <item x="615"/>
        <item x="399"/>
        <item x="417"/>
        <item x="597"/>
        <item x="296"/>
        <item x="373"/>
        <item x="428"/>
        <item x="691"/>
        <item x="665"/>
        <item x="145"/>
        <item x="68"/>
        <item x="451"/>
        <item x="162"/>
        <item x="324"/>
        <item x="167"/>
        <item x="356"/>
        <item x="228"/>
        <item x="331"/>
        <item x="564"/>
        <item x="80"/>
        <item x="290"/>
        <item x="57"/>
        <item x="419"/>
        <item x="112"/>
        <item x="6"/>
        <item x="264"/>
        <item x="175"/>
        <item x="821"/>
        <item x="178"/>
        <item x="345"/>
        <item x="161"/>
        <item x="817"/>
        <item x="364"/>
        <item x="637"/>
        <item x="160"/>
        <item x="535"/>
        <item x="265"/>
        <item x="203"/>
        <item x="383"/>
        <item x="114"/>
        <item x="271"/>
        <item x="81"/>
        <item x="638"/>
        <item x="730"/>
        <item x="734"/>
        <item x="316"/>
        <item x="232"/>
        <item x="424"/>
        <item x="717"/>
        <item x="866"/>
        <item x="605"/>
        <item x="604"/>
        <item x="725"/>
        <item x="744"/>
        <item x="759"/>
        <item x="32"/>
        <item x="130"/>
        <item x="329"/>
        <item x="496"/>
        <item x="439"/>
        <item x="802"/>
        <item x="689"/>
        <item x="863"/>
        <item x="432"/>
        <item x="438"/>
        <item x="656"/>
        <item x="484"/>
        <item x="138"/>
        <item x="236"/>
        <item x="347"/>
        <item x="458"/>
        <item x="54"/>
        <item x="617"/>
        <item x="630"/>
        <item x="641"/>
        <item x="22"/>
        <item x="657"/>
        <item x="190"/>
        <item x="596"/>
        <item x="573"/>
        <item x="78"/>
        <item x="401"/>
        <item x="769"/>
        <item x="106"/>
        <item x="504"/>
        <item x="871"/>
        <item x="378"/>
        <item x="182"/>
        <item x="101"/>
        <item x="757"/>
        <item x="360"/>
        <item x="478"/>
        <item x="384"/>
        <item x="499"/>
        <item x="833"/>
        <item x="754"/>
        <item x="79"/>
        <item x="408"/>
        <item x="446"/>
        <item x="64"/>
        <item x="649"/>
        <item x="75"/>
        <item x="807"/>
        <item x="29"/>
        <item x="758"/>
        <item x="588"/>
        <item x="192"/>
        <item x="55"/>
        <item x="26"/>
        <item x="342"/>
        <item x="498"/>
        <item x="755"/>
        <item x="202"/>
        <item x="501"/>
        <item x="292"/>
        <item x="270"/>
        <item x="18"/>
        <item x="109"/>
        <item x="627"/>
        <item x="510"/>
        <item x="123"/>
        <item x="594"/>
        <item x="750"/>
        <item x="376"/>
        <item x="778"/>
        <item x="200"/>
        <item x="427"/>
        <item x="284"/>
        <item x="395"/>
        <item x="874"/>
        <item x="526"/>
        <item x="319"/>
        <item x="391"/>
        <item x="314"/>
        <item x="159"/>
        <item x="609"/>
        <item x="147"/>
        <item x="591"/>
        <item x="593"/>
        <item x="720"/>
        <item x="647"/>
        <item x="632"/>
        <item x="357"/>
        <item x="560"/>
        <item x="82"/>
        <item x="35"/>
        <item x="4"/>
        <item x="736"/>
        <item x="699"/>
        <item x="724"/>
        <item x="286"/>
        <item x="260"/>
        <item x="818"/>
        <item x="700"/>
        <item x="210"/>
        <item x="23"/>
        <item x="771"/>
        <item x="165"/>
        <item x="19"/>
        <item x="426"/>
        <item x="445"/>
        <item x="188"/>
        <item x="44"/>
        <item x="581"/>
        <item x="156"/>
        <item x="366"/>
        <item x="266"/>
        <item x="94"/>
        <item x="113"/>
        <item x="442"/>
        <item x="353"/>
        <item x="843"/>
        <item x="556"/>
        <item x="485"/>
        <item x="413"/>
        <item x="157"/>
        <item x="212"/>
        <item x="580"/>
        <item x="181"/>
        <item x="735"/>
        <item x="813"/>
        <item x="122"/>
        <item x="30"/>
        <item x="784"/>
        <item x="457"/>
        <item x="179"/>
        <item x="141"/>
        <item x="797"/>
        <item x="230"/>
        <item x="465"/>
        <item x="503"/>
        <item x="704"/>
        <item x="337"/>
        <item x="636"/>
        <item x="263"/>
        <item x="788"/>
        <item x="831"/>
        <item x="479"/>
        <item x="690"/>
        <item x="868"/>
        <item x="3"/>
        <item x="313"/>
        <item x="105"/>
        <item x="811"/>
        <item x="620"/>
        <item x="407"/>
        <item x="153"/>
        <item x="37"/>
        <item x="386"/>
        <item x="95"/>
        <item x="727"/>
        <item x="623"/>
        <item x="49"/>
        <item x="12"/>
        <item x="381"/>
        <item x="820"/>
        <item x="322"/>
        <item x="320"/>
        <item x="462"/>
        <item x="765"/>
        <item x="303"/>
        <item x="71"/>
        <item x="224"/>
        <item x="534"/>
        <item x="15"/>
        <item x="455"/>
        <item x="624"/>
        <item x="207"/>
        <item x="804"/>
        <item x="856"/>
        <item x="509"/>
        <item x="723"/>
        <item x="786"/>
        <item x="575"/>
        <item t="default"/>
      </items>
    </pivotField>
    <pivotField numFmtId="14" showAll="0"/>
    <pivotField showAll="0"/>
    <pivotField showAll="0"/>
    <pivotField showAll="0"/>
    <pivotField showAll="0"/>
    <pivotField showAll="0"/>
    <pivotField axis="axisRow" showAll="0">
      <items count="10">
        <item x="4"/>
        <item x="0"/>
        <item x="6"/>
        <item x="8"/>
        <item x="1"/>
        <item x="7"/>
        <item x="5"/>
        <item x="2"/>
        <item x="3"/>
        <item t="default"/>
      </items>
    </pivotField>
    <pivotField axis="axisRow" showAll="0">
      <items count="25">
        <item x="10"/>
        <item x="23"/>
        <item x="4"/>
        <item x="6"/>
        <item x="5"/>
        <item x="13"/>
        <item x="0"/>
        <item x="7"/>
        <item x="17"/>
        <item x="16"/>
        <item x="20"/>
        <item x="9"/>
        <item x="14"/>
        <item x="3"/>
        <item x="15"/>
        <item x="1"/>
        <item x="22"/>
        <item x="12"/>
        <item x="19"/>
        <item x="18"/>
        <item x="11"/>
        <item x="8"/>
        <item x="2"/>
        <item x="21"/>
        <item t="default"/>
      </items>
    </pivotField>
    <pivotField name="Years" axis="axisPage" showAll="0" defaultSubtota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</pivotFields>
  <rowFields count="2">
    <field x="21"/>
    <field x="22"/>
  </rowFields>
  <rowItems count="34">
    <i>
      <x/>
    </i>
    <i r="1">
      <x/>
    </i>
    <i r="1">
      <x v="2"/>
    </i>
    <i r="1">
      <x v="3"/>
    </i>
    <i r="1">
      <x v="16"/>
    </i>
    <i r="1">
      <x v="17"/>
    </i>
    <i r="1">
      <x v="18"/>
    </i>
    <i>
      <x v="1"/>
    </i>
    <i r="1">
      <x v="6"/>
    </i>
    <i>
      <x v="2"/>
    </i>
    <i r="1">
      <x v="10"/>
    </i>
    <i r="1">
      <x v="20"/>
    </i>
    <i>
      <x v="3"/>
    </i>
    <i r="1">
      <x v="1"/>
    </i>
    <i>
      <x v="4"/>
    </i>
    <i r="1">
      <x v="4"/>
    </i>
    <i r="1">
      <x v="7"/>
    </i>
    <i r="1">
      <x v="8"/>
    </i>
    <i r="1">
      <x v="9"/>
    </i>
    <i r="1">
      <x v="15"/>
    </i>
    <i r="1">
      <x v="23"/>
    </i>
    <i>
      <x v="5"/>
    </i>
    <i r="1">
      <x v="12"/>
    </i>
    <i>
      <x v="6"/>
    </i>
    <i r="1">
      <x v="5"/>
    </i>
    <i r="1">
      <x v="11"/>
    </i>
    <i r="1">
      <x v="14"/>
    </i>
    <i r="1">
      <x v="19"/>
    </i>
    <i>
      <x v="7"/>
    </i>
    <i r="1">
      <x v="21"/>
    </i>
    <i r="1">
      <x v="22"/>
    </i>
    <i>
      <x v="8"/>
    </i>
    <i r="1">
      <x v="13"/>
    </i>
    <i t="grand">
      <x/>
    </i>
  </rowItems>
  <colFields count="1">
    <field x="7"/>
  </colFields>
  <colItems count="5">
    <i>
      <x/>
    </i>
    <i>
      <x v="1"/>
    </i>
    <i>
      <x v="2"/>
    </i>
    <i>
      <x v="3"/>
    </i>
    <i t="grand">
      <x/>
    </i>
  </colItems>
  <pageFields count="2">
    <pageField fld="10" hier="-1"/>
    <pageField fld="23" hier="-1"/>
  </pageFields>
  <dataFields count="1">
    <dataField name="Average of percent_funded" fld="5" subtotal="average" baseField="0" baseItem="0" numFmtId="2"/>
  </dataFields>
  <formats count="25">
    <format dxfId="409">
      <pivotArea outline="0" collapsedLevelsAreSubtotals="1" fieldPosition="0"/>
    </format>
    <format dxfId="408">
      <pivotArea type="all" dataOnly="0" outline="0" fieldPosition="0"/>
    </format>
    <format dxfId="407">
      <pivotArea outline="0" collapsedLevelsAreSubtotals="1" fieldPosition="0"/>
    </format>
    <format dxfId="406">
      <pivotArea type="origin" dataOnly="0" labelOnly="1" outline="0" fieldPosition="0"/>
    </format>
    <format dxfId="405">
      <pivotArea field="7" type="button" dataOnly="0" labelOnly="1" outline="0" axis="axisCol" fieldPosition="0"/>
    </format>
    <format dxfId="404">
      <pivotArea type="topRight" dataOnly="0" labelOnly="1" outline="0" fieldPosition="0"/>
    </format>
    <format dxfId="403">
      <pivotArea field="21" type="button" dataOnly="0" labelOnly="1" outline="0" axis="axisRow" fieldPosition="0"/>
    </format>
    <format dxfId="402">
      <pivotArea dataOnly="0" labelOnly="1" fieldPosition="0">
        <references count="1">
          <reference field="21" count="0"/>
        </references>
      </pivotArea>
    </format>
    <format dxfId="401">
      <pivotArea dataOnly="0" labelOnly="1" grandRow="1" outline="0" fieldPosition="0"/>
    </format>
    <format dxfId="400">
      <pivotArea dataOnly="0" labelOnly="1" fieldPosition="0">
        <references count="2">
          <reference field="21" count="1" selected="0">
            <x v="0"/>
          </reference>
          <reference field="22" count="6">
            <x v="0"/>
            <x v="2"/>
            <x v="3"/>
            <x v="16"/>
            <x v="17"/>
            <x v="18"/>
          </reference>
        </references>
      </pivotArea>
    </format>
    <format dxfId="399">
      <pivotArea dataOnly="0" labelOnly="1" fieldPosition="0">
        <references count="2">
          <reference field="21" count="1" selected="0">
            <x v="1"/>
          </reference>
          <reference field="22" count="1">
            <x v="6"/>
          </reference>
        </references>
      </pivotArea>
    </format>
    <format dxfId="398">
      <pivotArea dataOnly="0" labelOnly="1" fieldPosition="0">
        <references count="2">
          <reference field="21" count="1" selected="0">
            <x v="2"/>
          </reference>
          <reference field="22" count="2">
            <x v="10"/>
            <x v="20"/>
          </reference>
        </references>
      </pivotArea>
    </format>
    <format dxfId="397">
      <pivotArea dataOnly="0" labelOnly="1" fieldPosition="0">
        <references count="2">
          <reference field="21" count="1" selected="0">
            <x v="3"/>
          </reference>
          <reference field="22" count="1">
            <x v="1"/>
          </reference>
        </references>
      </pivotArea>
    </format>
    <format dxfId="396">
      <pivotArea dataOnly="0" labelOnly="1" fieldPosition="0">
        <references count="2">
          <reference field="21" count="1" selected="0">
            <x v="4"/>
          </reference>
          <reference field="22" count="6">
            <x v="4"/>
            <x v="7"/>
            <x v="8"/>
            <x v="9"/>
            <x v="15"/>
            <x v="23"/>
          </reference>
        </references>
      </pivotArea>
    </format>
    <format dxfId="395">
      <pivotArea dataOnly="0" labelOnly="1" fieldPosition="0">
        <references count="2">
          <reference field="21" count="1" selected="0">
            <x v="5"/>
          </reference>
          <reference field="22" count="1">
            <x v="12"/>
          </reference>
        </references>
      </pivotArea>
    </format>
    <format dxfId="394">
      <pivotArea dataOnly="0" labelOnly="1" fieldPosition="0">
        <references count="2">
          <reference field="21" count="1" selected="0">
            <x v="6"/>
          </reference>
          <reference field="22" count="4">
            <x v="5"/>
            <x v="11"/>
            <x v="14"/>
            <x v="19"/>
          </reference>
        </references>
      </pivotArea>
    </format>
    <format dxfId="393">
      <pivotArea dataOnly="0" labelOnly="1" fieldPosition="0">
        <references count="2">
          <reference field="21" count="1" selected="0">
            <x v="7"/>
          </reference>
          <reference field="22" count="2">
            <x v="21"/>
            <x v="22"/>
          </reference>
        </references>
      </pivotArea>
    </format>
    <format dxfId="392">
      <pivotArea dataOnly="0" labelOnly="1" fieldPosition="0">
        <references count="2">
          <reference field="21" count="1" selected="0">
            <x v="8"/>
          </reference>
          <reference field="22" count="1">
            <x v="13"/>
          </reference>
        </references>
      </pivotArea>
    </format>
    <format dxfId="391">
      <pivotArea dataOnly="0" labelOnly="1" fieldPosition="0">
        <references count="1">
          <reference field="7" count="0"/>
        </references>
      </pivotArea>
    </format>
    <format dxfId="390">
      <pivotArea dataOnly="0" labelOnly="1" grandCol="1" outline="0" fieldPosition="0"/>
    </format>
    <format dxfId="389">
      <pivotArea outline="0" collapsedLevelsAreSubtotals="1" fieldPosition="0"/>
    </format>
    <format dxfId="388">
      <pivotArea field="7" type="button" dataOnly="0" labelOnly="1" outline="0" axis="axisCol" fieldPosition="0"/>
    </format>
    <format dxfId="387">
      <pivotArea type="topRight" dataOnly="0" labelOnly="1" outline="0" fieldPosition="0"/>
    </format>
    <format dxfId="386">
      <pivotArea dataOnly="0" labelOnly="1" fieldPosition="0">
        <references count="1">
          <reference field="7" count="0"/>
        </references>
      </pivotArea>
    </format>
    <format dxfId="385">
      <pivotArea dataOnly="0" labelOnly="1" grandCol="1" outline="0" fieldPosition="0"/>
    </format>
  </formats>
  <chartFormats count="5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3" format="4">
      <pivotArea type="data" outline="0" fieldPosition="0">
        <references count="4">
          <reference field="4294967294" count="1" selected="0">
            <x v="0"/>
          </reference>
          <reference field="7" count="1" selected="0">
            <x v="2"/>
          </reference>
          <reference field="21" count="1" selected="0">
            <x v="8"/>
          </reference>
          <reference field="22" count="1" selected="0">
            <x v="13"/>
          </reference>
        </references>
      </pivotArea>
    </chartFormat>
  </chartFormats>
  <pivotTableStyleInfo name="PivotStyleDark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4EF2EB-BC7F-BA4E-89AC-46067B108211}" name="OutcomesWeekdayPivotTable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4:E13" firstHeaderRow="1" firstDataRow="2" firstDataCol="1" rowPageCount="2" colPageCount="1"/>
  <pivotFields count="18">
    <pivotField showAll="0"/>
    <pivotField showAll="0"/>
    <pivotField showAll="0"/>
    <pivotField numFmtId="164" showAll="0"/>
    <pivotField numFmtId="164" showAll="0"/>
    <pivotField numFmtId="9" showAll="0"/>
    <pivotField axis="axisCol" dataField="1" showAll="0">
      <items count="5">
        <item x="3"/>
        <item x="0"/>
        <item h="1" x="2"/>
        <item x="1"/>
        <item t="default"/>
      </items>
    </pivotField>
    <pivotField showAll="0"/>
    <pivotField numFmtId="43" showAll="0"/>
    <pivotField axis="axisPage" showAll="0">
      <items count="8">
        <item x="2"/>
        <item x="0"/>
        <item x="5"/>
        <item x="3"/>
        <item x="4"/>
        <item x="6"/>
        <item x="1"/>
        <item t="default"/>
      </items>
    </pivotField>
    <pivotField showAll="0"/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axis="axisRow" showAll="0">
      <items count="8">
        <item x="2"/>
        <item x="5"/>
        <item x="1"/>
        <item x="3"/>
        <item x="4"/>
        <item x="6"/>
        <item x="0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Page" showAl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t="default"/>
      </items>
    </pivotField>
  </pivotFields>
  <rowFields count="1">
    <field x="1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6"/>
  </colFields>
  <colItems count="4">
    <i>
      <x/>
    </i>
    <i>
      <x v="1"/>
    </i>
    <i>
      <x v="3"/>
    </i>
    <i t="grand">
      <x/>
    </i>
  </colItems>
  <pageFields count="2">
    <pageField fld="9" hier="-1"/>
    <pageField fld="17" hier="-1"/>
  </pageFields>
  <dataFields count="1">
    <dataField name="Count of outcome" fld="6" subtotal="count" baseField="0" baseItem="0"/>
  </dataFields>
  <formats count="18">
    <format dxfId="355">
      <pivotArea type="all" dataOnly="0" outline="0" fieldPosition="0"/>
    </format>
    <format dxfId="354">
      <pivotArea outline="0" collapsedLevelsAreSubtotals="1" fieldPosition="0"/>
    </format>
    <format dxfId="353">
      <pivotArea field="6" type="button" dataOnly="0" labelOnly="1" outline="0" axis="axisCol" fieldPosition="0"/>
    </format>
    <format dxfId="352">
      <pivotArea type="topRight" dataOnly="0" labelOnly="1" outline="0" fieldPosition="0"/>
    </format>
    <format dxfId="351">
      <pivotArea field="13" type="button" dataOnly="0" labelOnly="1" outline="0"/>
    </format>
    <format dxfId="350">
      <pivotArea dataOnly="0" labelOnly="1" fieldPosition="0">
        <references count="1">
          <reference field="6" count="0"/>
        </references>
      </pivotArea>
    </format>
    <format dxfId="349">
      <pivotArea outline="0" collapsedLevelsAreSubtotals="1" fieldPosition="0"/>
    </format>
    <format dxfId="348">
      <pivotArea field="6" type="button" dataOnly="0" labelOnly="1" outline="0" axis="axisCol" fieldPosition="0"/>
    </format>
    <format dxfId="347">
      <pivotArea type="topRight" dataOnly="0" labelOnly="1" outline="0" fieldPosition="0"/>
    </format>
    <format dxfId="346">
      <pivotArea dataOnly="0" labelOnly="1" fieldPosition="0">
        <references count="1">
          <reference field="6" count="0"/>
        </references>
      </pivotArea>
    </format>
    <format dxfId="345">
      <pivotArea type="all" dataOnly="0" outline="0" fieldPosition="0"/>
    </format>
    <format dxfId="344">
      <pivotArea outline="0" collapsedLevelsAreSubtotals="1" fieldPosition="0"/>
    </format>
    <format dxfId="343">
      <pivotArea type="origin" dataOnly="0" labelOnly="1" outline="0" fieldPosition="0"/>
    </format>
    <format dxfId="342">
      <pivotArea field="6" type="button" dataOnly="0" labelOnly="1" outline="0" axis="axisCol" fieldPosition="0"/>
    </format>
    <format dxfId="341">
      <pivotArea type="topRight" dataOnly="0" labelOnly="1" outline="0" fieldPosition="0"/>
    </format>
    <format dxfId="340">
      <pivotArea dataOnly="0" labelOnly="1" grandRow="1" outline="0" fieldPosition="0"/>
    </format>
    <format dxfId="339">
      <pivotArea dataOnly="0" labelOnly="1" fieldPosition="0">
        <references count="1">
          <reference field="6" count="0"/>
        </references>
      </pivotArea>
    </format>
    <format dxfId="338">
      <pivotArea dataOnly="0" labelOnly="1" grandCol="1" outline="0" fieldPosition="0"/>
    </format>
  </formats>
  <chartFormats count="1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4" format="1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6" format="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6" format="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6" format="1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8" format="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8" format="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8" format="1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9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9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9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</chartFormats>
  <pivotTableStyleInfo name="PivotStyleDark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B15E15-BB70-F241-8753-217244B70D83}" name="PivotTable1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I4:M13" firstHeaderRow="1" firstDataRow="2" firstDataCol="1" rowPageCount="2" colPageCount="1"/>
  <pivotFields count="18">
    <pivotField showAll="0"/>
    <pivotField showAll="0"/>
    <pivotField showAll="0"/>
    <pivotField numFmtId="164" showAll="0"/>
    <pivotField numFmtId="164" showAll="0"/>
    <pivotField numFmtId="9" showAll="0"/>
    <pivotField axis="axisCol" dataField="1" showAll="0">
      <items count="5">
        <item x="3"/>
        <item x="0"/>
        <item h="1" x="2"/>
        <item x="1"/>
        <item t="default"/>
      </items>
    </pivotField>
    <pivotField showAll="0"/>
    <pivotField numFmtId="43" showAll="0"/>
    <pivotField axis="axisPage" showAll="0">
      <items count="8">
        <item x="2"/>
        <item x="0"/>
        <item x="5"/>
        <item x="3"/>
        <item x="4"/>
        <item x="6"/>
        <item x="1"/>
        <item t="default"/>
      </items>
    </pivotField>
    <pivotField showAll="0"/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axis="axisRow" showAll="0">
      <items count="8">
        <item x="2"/>
        <item x="5"/>
        <item x="1"/>
        <item x="3"/>
        <item x="4"/>
        <item x="6"/>
        <item x="0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Page" showAl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t="default"/>
      </items>
    </pivotField>
  </pivotFields>
  <rowFields count="1">
    <field x="1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6"/>
  </colFields>
  <colItems count="4">
    <i>
      <x/>
    </i>
    <i>
      <x v="1"/>
    </i>
    <i>
      <x v="3"/>
    </i>
    <i t="grand">
      <x/>
    </i>
  </colItems>
  <pageFields count="2">
    <pageField fld="9" hier="-1"/>
    <pageField fld="17" hier="-1"/>
  </pageFields>
  <dataFields count="1">
    <dataField name="Count of outcome" fld="6" subtotal="count" showDataAs="percentOfRow" baseField="0" baseItem="0" numFmtId="165"/>
  </dataFields>
  <formats count="20">
    <format dxfId="375">
      <pivotArea type="all" dataOnly="0" outline="0" fieldPosition="0"/>
    </format>
    <format dxfId="374">
      <pivotArea outline="0" collapsedLevelsAreSubtotals="1" fieldPosition="0"/>
    </format>
    <format dxfId="373">
      <pivotArea field="6" type="button" dataOnly="0" labelOnly="1" outline="0" axis="axisCol" fieldPosition="0"/>
    </format>
    <format dxfId="372">
      <pivotArea type="topRight" dataOnly="0" labelOnly="1" outline="0" fieldPosition="0"/>
    </format>
    <format dxfId="371">
      <pivotArea field="13" type="button" dataOnly="0" labelOnly="1" outline="0"/>
    </format>
    <format dxfId="370">
      <pivotArea outline="0" collapsedLevelsAreSubtotals="1" fieldPosition="0"/>
    </format>
    <format dxfId="369">
      <pivotArea field="6" type="button" dataOnly="0" labelOnly="1" outline="0" axis="axisCol" fieldPosition="0"/>
    </format>
    <format dxfId="368">
      <pivotArea type="topRight" dataOnly="0" labelOnly="1" outline="0" fieldPosition="0"/>
    </format>
    <format dxfId="367">
      <pivotArea type="all" dataOnly="0" outline="0" fieldPosition="0"/>
    </format>
    <format dxfId="366">
      <pivotArea outline="0" collapsedLevelsAreSubtotals="1" fieldPosition="0"/>
    </format>
    <format dxfId="365">
      <pivotArea type="origin" dataOnly="0" labelOnly="1" outline="0" fieldPosition="0"/>
    </format>
    <format dxfId="364">
      <pivotArea field="6" type="button" dataOnly="0" labelOnly="1" outline="0" axis="axisCol" fieldPosition="0"/>
    </format>
    <format dxfId="363">
      <pivotArea type="topRight" dataOnly="0" labelOnly="1" outline="0" fieldPosition="0"/>
    </format>
    <format dxfId="362">
      <pivotArea dataOnly="0" labelOnly="1" grandRow="1" outline="0" fieldPosition="0"/>
    </format>
    <format dxfId="361">
      <pivotArea dataOnly="0" labelOnly="1" grandCol="1" outline="0" fieldPosition="0"/>
    </format>
    <format dxfId="360">
      <pivotArea outline="0" fieldPosition="0">
        <references count="1">
          <reference field="4294967294" count="1">
            <x v="0"/>
          </reference>
        </references>
      </pivotArea>
    </format>
    <format dxfId="359">
      <pivotArea dataOnly="0" grandCol="1" outline="0" axis="axisCol" fieldPosition="0"/>
    </format>
    <format dxfId="358">
      <pivotArea grandCol="1" outline="0" collapsedLevelsAreSubtotals="1" fieldPosition="0"/>
    </format>
    <format dxfId="357">
      <pivotArea dataOnly="0" labelOnly="1" grandCol="1" outline="0" fieldPosition="0"/>
    </format>
    <format dxfId="356">
      <pivotArea outline="0" collapsedLevelsAreSubtotals="1" fieldPosition="0"/>
    </format>
  </formats>
  <pivotTableStyleInfo name="PivotStyleDark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8F521E-45EF-F243-89A5-A24412532D58}" name="PivotTable2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J4:N18" firstHeaderRow="1" firstDataRow="2" firstDataCol="1" rowPageCount="2" colPageCount="1"/>
  <pivotFields count="25">
    <pivotField showAll="0"/>
    <pivotField showAll="0"/>
    <pivotField showAll="0"/>
    <pivotField numFmtId="164" showAll="0"/>
    <pivotField numFmtId="164" showAll="0"/>
    <pivotField numFmtId="9" showAll="0"/>
    <pivotField axis="axisCol" dataField="1" showAll="0">
      <items count="5">
        <item x="3"/>
        <item x="0"/>
        <item h="1" x="2"/>
        <item x="1"/>
        <item t="default"/>
      </items>
    </pivotField>
    <pivotField showAll="0"/>
    <pivotField numFmtId="43" showAll="0"/>
    <pivotField axis="axisPage" showAll="0">
      <items count="8">
        <item x="2"/>
        <item x="0"/>
        <item x="5"/>
        <item x="3"/>
        <item x="4"/>
        <item x="6"/>
        <item x="1"/>
        <item t="default"/>
      </items>
    </pivotField>
    <pivotField showAll="0"/>
    <pivotField showAll="0"/>
    <pivotField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Page" showAl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t="default"/>
      </items>
    </pivotField>
    <pivotField dragToRow="0" dragToCol="0" dragToPage="0" showAll="0" defaultSubtotal="0"/>
  </pivotFields>
  <rowFields count="1">
    <field x="13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6"/>
  </colFields>
  <colItems count="4">
    <i>
      <x/>
    </i>
    <i>
      <x v="1"/>
    </i>
    <i>
      <x v="3"/>
    </i>
    <i t="grand">
      <x/>
    </i>
  </colItems>
  <pageFields count="2">
    <pageField fld="9" hier="-1"/>
    <pageField fld="23" hier="-1"/>
  </pageFields>
  <dataFields count="1">
    <dataField name="Count of outcome" fld="6" subtotal="count" showDataAs="percentOfRow" baseField="0" baseItem="0" numFmtId="165"/>
  </dataFields>
  <formats count="16">
    <format dxfId="325">
      <pivotArea type="all" dataOnly="0" outline="0" fieldPosition="0"/>
    </format>
    <format dxfId="324">
      <pivotArea outline="0" collapsedLevelsAreSubtotals="1" fieldPosition="0"/>
    </format>
    <format dxfId="323">
      <pivotArea type="origin" dataOnly="0" labelOnly="1" outline="0" fieldPosition="0"/>
    </format>
    <format dxfId="322">
      <pivotArea field="6" type="button" dataOnly="0" labelOnly="1" outline="0" axis="axisCol" fieldPosition="0"/>
    </format>
    <format dxfId="321">
      <pivotArea type="topRight" dataOnly="0" labelOnly="1" outline="0" fieldPosition="0"/>
    </format>
    <format dxfId="320">
      <pivotArea field="13" type="button" dataOnly="0" labelOnly="1" outline="0" axis="axisRow" fieldPosition="0"/>
    </format>
    <format dxfId="319">
      <pivotArea dataOnly="0" labelOnly="1" fieldPosition="0">
        <references count="1">
          <reference field="13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318">
      <pivotArea dataOnly="0" labelOnly="1" grandRow="1" outline="0" fieldPosition="0"/>
    </format>
    <format dxfId="317">
      <pivotArea dataOnly="0" labelOnly="1" fieldPosition="0">
        <references count="1">
          <reference field="6" count="0"/>
        </references>
      </pivotArea>
    </format>
    <format dxfId="316">
      <pivotArea dataOnly="0" labelOnly="1" grandCol="1" outline="0" fieldPosition="0"/>
    </format>
    <format dxfId="315">
      <pivotArea outline="0" collapsedLevelsAreSubtotals="1" fieldPosition="0"/>
    </format>
    <format dxfId="314">
      <pivotArea field="6" type="button" dataOnly="0" labelOnly="1" outline="0" axis="axisCol" fieldPosition="0"/>
    </format>
    <format dxfId="313">
      <pivotArea type="topRight" dataOnly="0" labelOnly="1" outline="0" fieldPosition="0"/>
    </format>
    <format dxfId="312">
      <pivotArea dataOnly="0" labelOnly="1" fieldPosition="0">
        <references count="1">
          <reference field="6" count="0"/>
        </references>
      </pivotArea>
    </format>
    <format dxfId="311">
      <pivotArea outline="0" fieldPosition="0">
        <references count="1">
          <reference field="4294967294" count="1">
            <x v="0"/>
          </reference>
        </references>
      </pivotArea>
    </format>
    <format dxfId="310">
      <pivotArea outline="0" collapsedLevelsAreSubtotals="1" fieldPosition="0"/>
    </format>
  </formats>
  <chartFormats count="1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4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13" count="1" selected="0">
            <x v="10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4" format="1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6" format="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6" format="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6" format="1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7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7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7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</chartFormats>
  <pivotTableStyleInfo name="PivotStyleDark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E76F29-9823-A84F-8444-5AF1FEBE5F28}" name="MonthsPivotTable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4:E18" firstHeaderRow="1" firstDataRow="2" firstDataCol="1" rowPageCount="2" colPageCount="1"/>
  <pivotFields count="25">
    <pivotField showAll="0"/>
    <pivotField showAll="0"/>
    <pivotField showAll="0"/>
    <pivotField numFmtId="164" showAll="0"/>
    <pivotField numFmtId="164" showAll="0"/>
    <pivotField numFmtId="9" showAll="0"/>
    <pivotField axis="axisCol" dataField="1" showAll="0">
      <items count="5">
        <item x="3"/>
        <item x="0"/>
        <item h="1" x="2"/>
        <item x="1"/>
        <item t="default"/>
      </items>
    </pivotField>
    <pivotField showAll="0"/>
    <pivotField numFmtId="43" showAll="0"/>
    <pivotField axis="axisPage" showAll="0">
      <items count="8">
        <item x="2"/>
        <item x="0"/>
        <item x="5"/>
        <item x="3"/>
        <item x="4"/>
        <item x="6"/>
        <item x="1"/>
        <item t="default"/>
      </items>
    </pivotField>
    <pivotField showAll="0"/>
    <pivotField showAll="0"/>
    <pivotField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Page" showAl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t="default"/>
      </items>
    </pivotField>
    <pivotField dragToRow="0" dragToCol="0" dragToPage="0" showAll="0" defaultSubtotal="0"/>
  </pivotFields>
  <rowFields count="1">
    <field x="13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6"/>
  </colFields>
  <colItems count="4">
    <i>
      <x/>
    </i>
    <i>
      <x v="1"/>
    </i>
    <i>
      <x v="3"/>
    </i>
    <i t="grand">
      <x/>
    </i>
  </colItems>
  <pageFields count="2">
    <pageField fld="9" hier="-1"/>
    <pageField fld="23" hier="-1"/>
  </pageFields>
  <dataFields count="1">
    <dataField name="Count of outcome" fld="6" subtotal="count" baseField="0" baseItem="0"/>
  </dataFields>
  <formats count="12">
    <format dxfId="337">
      <pivotArea type="all" dataOnly="0" outline="0" fieldPosition="0"/>
    </format>
    <format dxfId="336">
      <pivotArea outline="0" collapsedLevelsAreSubtotals="1" fieldPosition="0"/>
    </format>
    <format dxfId="335">
      <pivotArea type="origin" dataOnly="0" labelOnly="1" outline="0" fieldPosition="0"/>
    </format>
    <format dxfId="334">
      <pivotArea field="6" type="button" dataOnly="0" labelOnly="1" outline="0" axis="axisCol" fieldPosition="0"/>
    </format>
    <format dxfId="333">
      <pivotArea type="topRight" dataOnly="0" labelOnly="1" outline="0" fieldPosition="0"/>
    </format>
    <format dxfId="332">
      <pivotArea field="13" type="button" dataOnly="0" labelOnly="1" outline="0" axis="axisRow" fieldPosition="0"/>
    </format>
    <format dxfId="331">
      <pivotArea dataOnly="0" labelOnly="1" grandRow="1" outline="0" fieldPosition="0"/>
    </format>
    <format dxfId="330">
      <pivotArea dataOnly="0" labelOnly="1" grandCol="1" outline="0" fieldPosition="0"/>
    </format>
    <format dxfId="329">
      <pivotArea outline="0" collapsedLevelsAreSubtotals="1" fieldPosition="0"/>
    </format>
    <format dxfId="328">
      <pivotArea field="6" type="button" dataOnly="0" labelOnly="1" outline="0" axis="axisCol" fieldPosition="0"/>
    </format>
    <format dxfId="327">
      <pivotArea type="topRight" dataOnly="0" labelOnly="1" outline="0" fieldPosition="0"/>
    </format>
    <format dxfId="326">
      <pivotArea dataOnly="0" labelOnly="1" grandCol="1" outline="0" fieldPosition="0"/>
    </format>
  </formats>
  <chartFormats count="5">
    <chartFormat chart="0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14">
      <pivotArea type="data" outline="0" fieldPosition="0">
        <references count="3">
          <reference field="4294967294" count="1" selected="0">
            <x v="0"/>
          </reference>
          <reference field="6" count="1" selected="0">
            <x v="3"/>
          </reference>
          <reference field="13" count="1" selected="0">
            <x v="7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</chartFormats>
  <pivotTableStyleInfo name="PivotStyleDark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6A8759-C680-AA42-B14C-D391F56F4E4F}" name="PivotTable3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J3:N15" firstHeaderRow="1" firstDataRow="2" firstDataCol="1" rowPageCount="1" colPageCount="1"/>
  <pivotFields count="25">
    <pivotField showAll="0"/>
    <pivotField showAll="0"/>
    <pivotField showAll="0"/>
    <pivotField numFmtId="164" showAll="0"/>
    <pivotField numFmtId="164" showAll="0"/>
    <pivotField numFmtId="9" showAll="0"/>
    <pivotField axis="axisCol" dataField="1" showAll="0">
      <items count="5">
        <item x="3"/>
        <item x="0"/>
        <item h="1" x="2"/>
        <item x="1"/>
        <item t="default"/>
      </items>
    </pivotField>
    <pivotField showAll="0"/>
    <pivotField numFmtId="43" showAll="0"/>
    <pivotField axis="axisPage" showAll="0">
      <items count="8">
        <item x="2"/>
        <item x="0"/>
        <item x="5"/>
        <item x="3"/>
        <item x="4"/>
        <item x="6"/>
        <item x="1"/>
        <item t="default"/>
      </items>
    </pivotField>
    <pivotField showAll="0"/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h="1" x="11"/>
        <item x="12"/>
        <item t="default"/>
      </items>
    </pivotField>
    <pivotField dragToRow="0" dragToCol="0" dragToPage="0" showAll="0" defaultSubtotal="0"/>
  </pivotFields>
  <rowFields count="1">
    <field x="23"/>
  </rowFields>
  <rowItems count="1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6"/>
  </colFields>
  <colItems count="4">
    <i>
      <x/>
    </i>
    <i>
      <x v="1"/>
    </i>
    <i>
      <x v="3"/>
    </i>
    <i t="grand">
      <x/>
    </i>
  </colItems>
  <pageFields count="1">
    <pageField fld="9" hier="-1"/>
  </pageFields>
  <dataFields count="1">
    <dataField name="Count of outcome" fld="6" subtotal="count" showDataAs="percentOfRow" baseField="0" baseItem="0" numFmtId="165"/>
  </dataFields>
  <formats count="18">
    <format dxfId="293">
      <pivotArea type="all" dataOnly="0" outline="0" fieldPosition="0"/>
    </format>
    <format dxfId="292">
      <pivotArea outline="0" collapsedLevelsAreSubtotals="1" fieldPosition="0"/>
    </format>
    <format dxfId="291">
      <pivotArea type="origin" dataOnly="0" labelOnly="1" outline="0" fieldPosition="0"/>
    </format>
    <format dxfId="290">
      <pivotArea field="6" type="button" dataOnly="0" labelOnly="1" outline="0" axis="axisCol" fieldPosition="0"/>
    </format>
    <format dxfId="289">
      <pivotArea type="topRight" dataOnly="0" labelOnly="1" outline="0" fieldPosition="0"/>
    </format>
    <format dxfId="288">
      <pivotArea field="23" type="button" dataOnly="0" labelOnly="1" outline="0" axis="axisRow" fieldPosition="0"/>
    </format>
    <format dxfId="287">
      <pivotArea dataOnly="0" labelOnly="1" fieldPosition="0">
        <references count="1">
          <reference field="23" count="11"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286">
      <pivotArea dataOnly="0" labelOnly="1" grandRow="1" outline="0" fieldPosition="0"/>
    </format>
    <format dxfId="285">
      <pivotArea dataOnly="0" labelOnly="1" fieldPosition="0">
        <references count="1">
          <reference field="6" count="0"/>
        </references>
      </pivotArea>
    </format>
    <format dxfId="284">
      <pivotArea dataOnly="0" labelOnly="1" grandCol="1" outline="0" fieldPosition="0"/>
    </format>
    <format dxfId="283">
      <pivotArea outline="0" collapsedLevelsAreSubtotals="1" fieldPosition="0"/>
    </format>
    <format dxfId="282">
      <pivotArea outline="0" fieldPosition="0">
        <references count="1">
          <reference field="4294967294" count="1">
            <x v="0"/>
          </reference>
        </references>
      </pivotArea>
    </format>
    <format dxfId="281">
      <pivotArea outline="0" collapsedLevelsAreSubtotals="1" fieldPosition="0"/>
    </format>
    <format dxfId="280">
      <pivotArea outline="0" collapsedLevelsAreSubtotals="1" fieldPosition="0"/>
    </format>
    <format dxfId="279">
      <pivotArea field="6" type="button" dataOnly="0" labelOnly="1" outline="0" axis="axisCol" fieldPosition="0"/>
    </format>
    <format dxfId="278">
      <pivotArea type="topRight" dataOnly="0" labelOnly="1" outline="0" fieldPosition="0"/>
    </format>
    <format dxfId="277">
      <pivotArea dataOnly="0" labelOnly="1" fieldPosition="0">
        <references count="1">
          <reference field="6" count="0"/>
        </references>
      </pivotArea>
    </format>
    <format dxfId="276">
      <pivotArea dataOnly="0" labelOnly="1" grandCol="1" outline="0" fieldPosition="0"/>
    </format>
  </formats>
  <chartFormats count="21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4" format="1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4" format="1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11" format="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1" format="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1" format="1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1" format="1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13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3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3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15" format="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5" format="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5" format="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16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6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6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</chartFormats>
  <pivotTableStyleInfo name="PivotStyleDark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EA7C90-47F4-D140-8B91-EFEF065550CE}" name="OutcomesYearsPivotTable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3:E15" firstHeaderRow="1" firstDataRow="2" firstDataCol="1" rowPageCount="1" colPageCount="1"/>
  <pivotFields count="25">
    <pivotField showAll="0"/>
    <pivotField showAll="0"/>
    <pivotField showAll="0"/>
    <pivotField numFmtId="164" showAll="0"/>
    <pivotField numFmtId="164" showAll="0"/>
    <pivotField numFmtId="9" showAll="0"/>
    <pivotField axis="axisCol" dataField="1" showAll="0">
      <items count="5">
        <item x="3"/>
        <item x="0"/>
        <item h="1" x="2"/>
        <item x="1"/>
        <item t="default"/>
      </items>
    </pivotField>
    <pivotField showAll="0"/>
    <pivotField numFmtId="43" showAll="0"/>
    <pivotField axis="axisPage" showAll="0">
      <items count="8">
        <item x="2"/>
        <item x="0"/>
        <item x="5"/>
        <item x="3"/>
        <item x="4"/>
        <item x="6"/>
        <item x="1"/>
        <item t="default"/>
      </items>
    </pivotField>
    <pivotField showAll="0"/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h="1" x="11"/>
        <item x="12"/>
        <item t="default"/>
      </items>
    </pivotField>
    <pivotField dragToRow="0" dragToCol="0" dragToPage="0" showAll="0" defaultSubtotal="0"/>
  </pivotFields>
  <rowFields count="1">
    <field x="23"/>
  </rowFields>
  <rowItems count="1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6"/>
  </colFields>
  <colItems count="4">
    <i>
      <x/>
    </i>
    <i>
      <x v="1"/>
    </i>
    <i>
      <x v="3"/>
    </i>
    <i t="grand">
      <x/>
    </i>
  </colItems>
  <pageFields count="1">
    <pageField fld="9" hier="-1"/>
  </pageFields>
  <dataFields count="1">
    <dataField name="Count of outcome" fld="6" subtotal="count" baseField="0" baseItem="0"/>
  </dataFields>
  <formats count="16">
    <format dxfId="309">
      <pivotArea type="all" dataOnly="0" outline="0" fieldPosition="0"/>
    </format>
    <format dxfId="308">
      <pivotArea outline="0" collapsedLevelsAreSubtotals="1" fieldPosition="0"/>
    </format>
    <format dxfId="307">
      <pivotArea type="origin" dataOnly="0" labelOnly="1" outline="0" fieldPosition="0"/>
    </format>
    <format dxfId="306">
      <pivotArea field="6" type="button" dataOnly="0" labelOnly="1" outline="0" axis="axisCol" fieldPosition="0"/>
    </format>
    <format dxfId="305">
      <pivotArea type="topRight" dataOnly="0" labelOnly="1" outline="0" fieldPosition="0"/>
    </format>
    <format dxfId="304">
      <pivotArea field="23" type="button" dataOnly="0" labelOnly="1" outline="0" axis="axisRow" fieldPosition="0"/>
    </format>
    <format dxfId="303">
      <pivotArea dataOnly="0" labelOnly="1" fieldPosition="0">
        <references count="1">
          <reference field="23" count="11"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302">
      <pivotArea dataOnly="0" labelOnly="1" grandRow="1" outline="0" fieldPosition="0"/>
    </format>
    <format dxfId="301">
      <pivotArea dataOnly="0" labelOnly="1" fieldPosition="0">
        <references count="1">
          <reference field="6" count="0"/>
        </references>
      </pivotArea>
    </format>
    <format dxfId="300">
      <pivotArea dataOnly="0" labelOnly="1" grandCol="1" outline="0" fieldPosition="0"/>
    </format>
    <format dxfId="299">
      <pivotArea outline="0" collapsedLevelsAreSubtotals="1" fieldPosition="0"/>
    </format>
    <format dxfId="298">
      <pivotArea field="6" type="button" dataOnly="0" labelOnly="1" outline="0" axis="axisCol" fieldPosition="0"/>
    </format>
    <format dxfId="297">
      <pivotArea type="topRight" dataOnly="0" labelOnly="1" outline="0" fieldPosition="0"/>
    </format>
    <format dxfId="296">
      <pivotArea dataOnly="0" labelOnly="1" fieldPosition="0">
        <references count="1">
          <reference field="6" count="0"/>
        </references>
      </pivotArea>
    </format>
    <format dxfId="295">
      <pivotArea dataOnly="0" labelOnly="1" grandCol="1" outline="0" fieldPosition="0"/>
    </format>
    <format dxfId="294">
      <pivotArea outline="0" fieldPosition="0">
        <references count="1">
          <reference field="4294967294" count="1">
            <x v="0"/>
          </reference>
        </references>
      </pivotArea>
    </format>
  </formats>
  <chartFormats count="1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4" format="1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4" format="1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11" format="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1" format="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1" format="1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1" format="1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13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3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3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</chartFormats>
  <pivotTableStyleInfo name="PivotStyleDark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BB3B19-EAE6-5A47-9CE3-CF2990701822}" name="PivotTable1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F37" firstHeaderRow="0" firstDataRow="1" firstDataCol="1"/>
  <pivotFields count="25">
    <pivotField showAll="0"/>
    <pivotField showAll="0"/>
    <pivotField showAll="0"/>
    <pivotField dataField="1" numFmtId="164" showAll="0"/>
    <pivotField numFmtId="164" showAll="0"/>
    <pivotField numFmtId="9" showAll="0"/>
    <pivotField multipleItemSelectionAllowed="1" showAll="0">
      <items count="5">
        <item x="3"/>
        <item x="0"/>
        <item x="2"/>
        <item x="1"/>
        <item t="default"/>
      </items>
    </pivotField>
    <pivotField showAll="0"/>
    <pivotField numFmtId="43" showAll="0"/>
    <pivotField showAll="0">
      <items count="8">
        <item x="2"/>
        <item x="0"/>
        <item x="5"/>
        <item x="3"/>
        <item x="4"/>
        <item x="6"/>
        <item x="1"/>
        <item t="default"/>
      </items>
    </pivotField>
    <pivotField showAll="0"/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showAll="0"/>
    <pivotField showAll="0"/>
    <pivotField showAll="0"/>
    <pivotField showAll="0"/>
    <pivotField axis="axisRow" showAll="0">
      <items count="10">
        <item x="4"/>
        <item x="0"/>
        <item x="6"/>
        <item x="8"/>
        <item x="1"/>
        <item x="7"/>
        <item x="5"/>
        <item x="2"/>
        <item x="3"/>
        <item t="default"/>
      </items>
    </pivotField>
    <pivotField axis="axisRow" showAll="0">
      <items count="25">
        <item x="10"/>
        <item x="23"/>
        <item x="4"/>
        <item x="6"/>
        <item x="5"/>
        <item x="13"/>
        <item x="0"/>
        <item x="7"/>
        <item x="17"/>
        <item x="16"/>
        <item x="20"/>
        <item x="9"/>
        <item x="14"/>
        <item x="3"/>
        <item x="15"/>
        <item x="1"/>
        <item x="22"/>
        <item x="12"/>
        <item x="19"/>
        <item x="18"/>
        <item x="11"/>
        <item x="8"/>
        <item x="2"/>
        <item x="21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dragToRow="0" dragToCol="0" dragToPage="0" showAll="0" defaultSubtotal="0"/>
  </pivotFields>
  <rowFields count="2">
    <field x="20"/>
    <field x="21"/>
  </rowFields>
  <rowItems count="34">
    <i>
      <x/>
    </i>
    <i r="1">
      <x/>
    </i>
    <i r="1">
      <x v="2"/>
    </i>
    <i r="1">
      <x v="3"/>
    </i>
    <i r="1">
      <x v="16"/>
    </i>
    <i r="1">
      <x v="17"/>
    </i>
    <i r="1">
      <x v="18"/>
    </i>
    <i>
      <x v="1"/>
    </i>
    <i r="1">
      <x v="6"/>
    </i>
    <i>
      <x v="2"/>
    </i>
    <i r="1">
      <x v="10"/>
    </i>
    <i r="1">
      <x v="20"/>
    </i>
    <i>
      <x v="3"/>
    </i>
    <i r="1">
      <x v="1"/>
    </i>
    <i>
      <x v="4"/>
    </i>
    <i r="1">
      <x v="4"/>
    </i>
    <i r="1">
      <x v="7"/>
    </i>
    <i r="1">
      <x v="8"/>
    </i>
    <i r="1">
      <x v="9"/>
    </i>
    <i r="1">
      <x v="15"/>
    </i>
    <i r="1">
      <x v="23"/>
    </i>
    <i>
      <x v="5"/>
    </i>
    <i r="1">
      <x v="12"/>
    </i>
    <i>
      <x v="6"/>
    </i>
    <i r="1">
      <x v="5"/>
    </i>
    <i r="1">
      <x v="11"/>
    </i>
    <i r="1">
      <x v="14"/>
    </i>
    <i r="1">
      <x v="19"/>
    </i>
    <i>
      <x v="7"/>
    </i>
    <i r="1">
      <x v="21"/>
    </i>
    <i r="1">
      <x v="22"/>
    </i>
    <i>
      <x v="8"/>
    </i>
    <i r="1">
      <x v="13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Count of goal" fld="3" subtotal="count" baseField="0" baseItem="0" numFmtId="37"/>
    <dataField name="Sum of goal" fld="3" baseField="0" baseItem="0" numFmtId="37"/>
    <dataField name="Mean of goal" fld="3" subtotal="average" baseField="0" baseItem="0" numFmtId="4"/>
    <dataField name="Varp of goal" fld="3" subtotal="varp" baseField="0" baseItem="0" numFmtId="4"/>
    <dataField name="StdDevp of goal" fld="3" subtotal="stdDevp" baseField="0" baseItem="0" numFmtId="4"/>
  </dataFields>
  <formats count="51">
    <format dxfId="234">
      <pivotArea outline="0" collapsedLevelsAreSubtotals="1" fieldPosition="0"/>
    </format>
    <format dxfId="233">
      <pivotArea outline="0" collapsedLevelsAreSubtotals="1" fieldPosition="0"/>
    </format>
    <format dxfId="232">
      <pivotArea collapsedLevelsAreSubtotals="1" fieldPosition="0">
        <references count="1">
          <reference field="20" count="1">
            <x v="4"/>
          </reference>
        </references>
      </pivotArea>
    </format>
    <format dxfId="231">
      <pivotArea collapsedLevelsAreSubtotals="1" fieldPosition="0">
        <references count="1">
          <reference field="20" count="1">
            <x v="5"/>
          </reference>
        </references>
      </pivotArea>
    </format>
    <format dxfId="230">
      <pivotArea collapsedLevelsAreSubtotals="1" fieldPosition="0">
        <references count="1">
          <reference field="20" count="1">
            <x v="6"/>
          </reference>
        </references>
      </pivotArea>
    </format>
    <format dxfId="229">
      <pivotArea dataOnly="0" labelOnly="1" fieldPosition="0">
        <references count="1">
          <reference field="20" count="4">
            <x v="3"/>
            <x v="4"/>
            <x v="5"/>
            <x v="6"/>
          </reference>
        </references>
      </pivotArea>
    </format>
    <format dxfId="228">
      <pivotArea collapsedLevelsAreSubtotals="1" fieldPosition="0">
        <references count="1">
          <reference field="20" count="1">
            <x v="3"/>
          </reference>
        </references>
      </pivotArea>
    </format>
    <format dxfId="227">
      <pivotArea dataOnly="0" labelOnly="1" fieldPosition="0">
        <references count="1">
          <reference field="20" count="1">
            <x v="3"/>
          </reference>
        </references>
      </pivotArea>
    </format>
    <format dxfId="226">
      <pivotArea type="all" dataOnly="0" outline="0" fieldPosition="0"/>
    </format>
    <format dxfId="225">
      <pivotArea outline="0" collapsedLevelsAreSubtotals="1" fieldPosition="0"/>
    </format>
    <format dxfId="224">
      <pivotArea outline="0" collapsedLevelsAreSubtotals="1" fieldPosition="0"/>
    </format>
    <format dxfId="223">
      <pivotArea collapsedLevelsAreSubtotals="1" fieldPosition="0">
        <references count="2">
          <reference field="20" count="1" selected="0">
            <x v="3"/>
          </reference>
          <reference field="21" count="1">
            <x v="1"/>
          </reference>
        </references>
      </pivotArea>
    </format>
    <format dxfId="222">
      <pivotArea dataOnly="0" labelOnly="1" fieldPosition="0">
        <references count="2">
          <reference field="20" count="1" selected="0">
            <x v="3"/>
          </reference>
          <reference field="21" count="1">
            <x v="1"/>
          </reference>
        </references>
      </pivotArea>
    </format>
    <format dxfId="221">
      <pivotArea collapsedLevelsAreSubtotals="1" fieldPosition="0">
        <references count="2">
          <reference field="20" count="1" selected="0">
            <x v="4"/>
          </reference>
          <reference field="21" count="1">
            <x v="23"/>
          </reference>
        </references>
      </pivotArea>
    </format>
    <format dxfId="220">
      <pivotArea dataOnly="0" labelOnly="1" fieldPosition="0">
        <references count="2">
          <reference field="20" count="1" selected="0">
            <x v="4"/>
          </reference>
          <reference field="21" count="1">
            <x v="23"/>
          </reference>
        </references>
      </pivotArea>
    </format>
    <format dxfId="219">
      <pivotArea type="all" dataOnly="0" outline="0" fieldPosition="0"/>
    </format>
    <format dxfId="218">
      <pivotArea outline="0" collapsedLevelsAreSubtotals="1" fieldPosition="0"/>
    </format>
    <format dxfId="217">
      <pivotArea outline="0" collapsedLevelsAreSubtotals="1" fieldPosition="0"/>
    </format>
    <format dxfId="216">
      <pivotArea outline="0" collapsedLevelsAreSubtotals="1" fieldPosition="0"/>
    </format>
    <format dxfId="215">
      <pivotArea dataOnly="0" labelOnly="1" outline="0" axis="axisValues" fieldPosition="0"/>
    </format>
    <format dxfId="214">
      <pivotArea outline="0" collapsedLevelsAreSubtotals="1" fieldPosition="0">
        <references count="1">
          <reference field="4294967294" count="2" selected="0">
            <x v="1"/>
            <x v="2"/>
          </reference>
        </references>
      </pivotArea>
    </format>
    <format dxfId="213">
      <pivotArea dataOnly="0" labelOnly="1" outline="0" fieldPosition="0">
        <references count="1">
          <reference field="4294967294" count="2">
            <x v="1"/>
            <x v="2"/>
          </reference>
        </references>
      </pivotArea>
    </format>
    <format dxfId="212">
      <pivotArea outline="0" collapsedLevelsAreSubtotals="1" fieldPosition="0">
        <references count="1">
          <reference field="4294967294" count="2" selected="0">
            <x v="3"/>
            <x v="4"/>
          </reference>
        </references>
      </pivotArea>
    </format>
    <format dxfId="211">
      <pivotArea dataOnly="0" labelOnly="1" outline="0" fieldPosition="0">
        <references count="1">
          <reference field="4294967294" count="2">
            <x v="3"/>
            <x v="4"/>
          </reference>
        </references>
      </pivotArea>
    </format>
    <format dxfId="210">
      <pivotArea dataOnly="0" outline="0" fieldPosition="0">
        <references count="1">
          <reference field="4294967294" count="2">
            <x v="3"/>
            <x v="4"/>
          </reference>
        </references>
      </pivotArea>
    </format>
    <format dxfId="209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  <format dxfId="20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07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206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205">
      <pivotArea outline="0" collapsedLevelsAreSubtotals="1" fieldPosition="0">
        <references count="1">
          <reference field="4294967294" count="2" selected="0">
            <x v="3"/>
            <x v="4"/>
          </reference>
        </references>
      </pivotArea>
    </format>
    <format dxfId="204">
      <pivotArea dataOnly="0" labelOnly="1" outline="0" fieldPosition="0">
        <references count="1">
          <reference field="4294967294" count="2">
            <x v="3"/>
            <x v="4"/>
          </reference>
        </references>
      </pivotArea>
    </format>
    <format dxfId="203">
      <pivotArea type="all" dataOnly="0" outline="0" fieldPosition="0"/>
    </format>
    <format dxfId="202">
      <pivotArea outline="0" collapsedLevelsAreSubtotals="1" fieldPosition="0"/>
    </format>
    <format dxfId="201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200">
      <pivotArea outline="0" collapsedLevelsAreSubtotals="1" fieldPosition="0"/>
    </format>
    <format dxfId="199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98">
      <pivotArea type="all" dataOnly="0" outline="0" fieldPosition="0"/>
    </format>
    <format dxfId="197">
      <pivotArea outline="0" collapsedLevelsAreSubtotals="1" fieldPosition="0"/>
    </format>
    <format dxfId="196">
      <pivotArea field="20" type="button" dataOnly="0" labelOnly="1" outline="0" axis="axisRow" fieldPosition="0"/>
    </format>
    <format dxfId="195">
      <pivotArea dataOnly="0" labelOnly="1" fieldPosition="0">
        <references count="1">
          <reference field="20" count="0"/>
        </references>
      </pivotArea>
    </format>
    <format dxfId="194">
      <pivotArea dataOnly="0" labelOnly="1" grandRow="1" outline="0" fieldPosition="0"/>
    </format>
    <format dxfId="193">
      <pivotArea dataOnly="0" labelOnly="1" fieldPosition="0">
        <references count="2">
          <reference field="20" count="1" selected="0">
            <x v="0"/>
          </reference>
          <reference field="21" count="6">
            <x v="0"/>
            <x v="2"/>
            <x v="3"/>
            <x v="16"/>
            <x v="17"/>
            <x v="18"/>
          </reference>
        </references>
      </pivotArea>
    </format>
    <format dxfId="192">
      <pivotArea dataOnly="0" labelOnly="1" fieldPosition="0">
        <references count="2">
          <reference field="20" count="1" selected="0">
            <x v="1"/>
          </reference>
          <reference field="21" count="1">
            <x v="6"/>
          </reference>
        </references>
      </pivotArea>
    </format>
    <format dxfId="191">
      <pivotArea dataOnly="0" labelOnly="1" fieldPosition="0">
        <references count="2">
          <reference field="20" count="1" selected="0">
            <x v="2"/>
          </reference>
          <reference field="21" count="2">
            <x v="10"/>
            <x v="20"/>
          </reference>
        </references>
      </pivotArea>
    </format>
    <format dxfId="190">
      <pivotArea dataOnly="0" labelOnly="1" fieldPosition="0">
        <references count="2">
          <reference field="20" count="1" selected="0">
            <x v="3"/>
          </reference>
          <reference field="21" count="1">
            <x v="1"/>
          </reference>
        </references>
      </pivotArea>
    </format>
    <format dxfId="189">
      <pivotArea dataOnly="0" labelOnly="1" fieldPosition="0">
        <references count="2">
          <reference field="20" count="1" selected="0">
            <x v="4"/>
          </reference>
          <reference field="21" count="6">
            <x v="4"/>
            <x v="7"/>
            <x v="8"/>
            <x v="9"/>
            <x v="15"/>
            <x v="23"/>
          </reference>
        </references>
      </pivotArea>
    </format>
    <format dxfId="188">
      <pivotArea dataOnly="0" labelOnly="1" fieldPosition="0">
        <references count="2">
          <reference field="20" count="1" selected="0">
            <x v="5"/>
          </reference>
          <reference field="21" count="1">
            <x v="12"/>
          </reference>
        </references>
      </pivotArea>
    </format>
    <format dxfId="187">
      <pivotArea dataOnly="0" labelOnly="1" fieldPosition="0">
        <references count="2">
          <reference field="20" count="1" selected="0">
            <x v="6"/>
          </reference>
          <reference field="21" count="4">
            <x v="5"/>
            <x v="11"/>
            <x v="14"/>
            <x v="19"/>
          </reference>
        </references>
      </pivotArea>
    </format>
    <format dxfId="186">
      <pivotArea dataOnly="0" labelOnly="1" fieldPosition="0">
        <references count="2">
          <reference field="20" count="1" selected="0">
            <x v="7"/>
          </reference>
          <reference field="21" count="2">
            <x v="21"/>
            <x v="22"/>
          </reference>
        </references>
      </pivotArea>
    </format>
    <format dxfId="185">
      <pivotArea dataOnly="0" labelOnly="1" fieldPosition="0">
        <references count="2">
          <reference field="20" count="1" selected="0">
            <x v="8"/>
          </reference>
          <reference field="21" count="1">
            <x v="13"/>
          </reference>
        </references>
      </pivotArea>
    </format>
    <format dxfId="184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</formats>
  <pivotTableStyleInfo name="PivotStyleDark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BC1B0E-C376-3847-8C61-13D9AEF5F233}" name="PivotTable1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F37" firstHeaderRow="0" firstDataRow="1" firstDataCol="1"/>
  <pivotFields count="25">
    <pivotField showAll="0"/>
    <pivotField showAll="0"/>
    <pivotField showAll="0"/>
    <pivotField numFmtId="164" showAll="0"/>
    <pivotField dataField="1" numFmtId="164" showAll="0"/>
    <pivotField numFmtId="9" showAll="0"/>
    <pivotField multipleItemSelectionAllowed="1" showAll="0">
      <items count="5">
        <item x="3"/>
        <item x="0"/>
        <item x="2"/>
        <item x="1"/>
        <item t="default"/>
      </items>
    </pivotField>
    <pivotField showAll="0"/>
    <pivotField numFmtId="43" showAll="0"/>
    <pivotField showAll="0">
      <items count="8">
        <item x="2"/>
        <item x="0"/>
        <item x="5"/>
        <item x="3"/>
        <item x="4"/>
        <item x="6"/>
        <item x="1"/>
        <item t="default"/>
      </items>
    </pivotField>
    <pivotField showAll="0"/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showAll="0"/>
    <pivotField showAll="0"/>
    <pivotField showAll="0"/>
    <pivotField showAll="0"/>
    <pivotField axis="axisRow" showAll="0">
      <items count="10">
        <item x="4"/>
        <item x="0"/>
        <item x="6"/>
        <item x="8"/>
        <item x="1"/>
        <item x="7"/>
        <item x="5"/>
        <item x="2"/>
        <item x="3"/>
        <item t="default"/>
      </items>
    </pivotField>
    <pivotField axis="axisRow" showAll="0">
      <items count="25">
        <item x="10"/>
        <item x="23"/>
        <item x="4"/>
        <item x="6"/>
        <item x="5"/>
        <item x="13"/>
        <item x="0"/>
        <item x="7"/>
        <item x="17"/>
        <item x="16"/>
        <item x="20"/>
        <item x="9"/>
        <item x="14"/>
        <item x="3"/>
        <item x="15"/>
        <item x="1"/>
        <item x="22"/>
        <item x="12"/>
        <item x="19"/>
        <item x="18"/>
        <item x="11"/>
        <item x="8"/>
        <item x="2"/>
        <item x="21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dragToRow="0" dragToCol="0" dragToPage="0" showAll="0" defaultSubtotal="0"/>
  </pivotFields>
  <rowFields count="2">
    <field x="20"/>
    <field x="21"/>
  </rowFields>
  <rowItems count="34">
    <i>
      <x/>
    </i>
    <i r="1">
      <x/>
    </i>
    <i r="1">
      <x v="2"/>
    </i>
    <i r="1">
      <x v="3"/>
    </i>
    <i r="1">
      <x v="16"/>
    </i>
    <i r="1">
      <x v="17"/>
    </i>
    <i r="1">
      <x v="18"/>
    </i>
    <i>
      <x v="1"/>
    </i>
    <i r="1">
      <x v="6"/>
    </i>
    <i>
      <x v="2"/>
    </i>
    <i r="1">
      <x v="10"/>
    </i>
    <i r="1">
      <x v="20"/>
    </i>
    <i>
      <x v="3"/>
    </i>
    <i r="1">
      <x v="1"/>
    </i>
    <i>
      <x v="4"/>
    </i>
    <i r="1">
      <x v="4"/>
    </i>
    <i r="1">
      <x v="7"/>
    </i>
    <i r="1">
      <x v="8"/>
    </i>
    <i r="1">
      <x v="9"/>
    </i>
    <i r="1">
      <x v="15"/>
    </i>
    <i r="1">
      <x v="23"/>
    </i>
    <i>
      <x v="5"/>
    </i>
    <i r="1">
      <x v="12"/>
    </i>
    <i>
      <x v="6"/>
    </i>
    <i r="1">
      <x v="5"/>
    </i>
    <i r="1">
      <x v="11"/>
    </i>
    <i r="1">
      <x v="14"/>
    </i>
    <i r="1">
      <x v="19"/>
    </i>
    <i>
      <x v="7"/>
    </i>
    <i r="1">
      <x v="21"/>
    </i>
    <i r="1">
      <x v="22"/>
    </i>
    <i>
      <x v="8"/>
    </i>
    <i r="1">
      <x v="13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Count of pledged" fld="4" subtotal="count" baseField="0" baseItem="0" numFmtId="3"/>
    <dataField name="Sum of pledged" fld="4" baseField="0" baseItem="0" numFmtId="3"/>
    <dataField name="Mean of pledged" fld="4" subtotal="average" baseField="0" baseItem="0" numFmtId="4"/>
    <dataField name="Varp of pledged" fld="4" subtotal="varp" baseField="0" baseItem="0" numFmtId="4"/>
    <dataField name="StdDev of pledged" fld="4" subtotal="stdDev" baseField="0" baseItem="0" numFmtId="4"/>
  </dataFields>
  <formats count="46">
    <format dxfId="183">
      <pivotArea outline="0" collapsedLevelsAreSubtotals="1" fieldPosition="0"/>
    </format>
    <format dxfId="182">
      <pivotArea outline="0" collapsedLevelsAreSubtotals="1" fieldPosition="0"/>
    </format>
    <format dxfId="181">
      <pivotArea collapsedLevelsAreSubtotals="1" fieldPosition="0">
        <references count="1">
          <reference field="20" count="1">
            <x v="4"/>
          </reference>
        </references>
      </pivotArea>
    </format>
    <format dxfId="180">
      <pivotArea collapsedLevelsAreSubtotals="1" fieldPosition="0">
        <references count="1">
          <reference field="20" count="1">
            <x v="5"/>
          </reference>
        </references>
      </pivotArea>
    </format>
    <format dxfId="179">
      <pivotArea collapsedLevelsAreSubtotals="1" fieldPosition="0">
        <references count="1">
          <reference field="20" count="1">
            <x v="6"/>
          </reference>
        </references>
      </pivotArea>
    </format>
    <format dxfId="178">
      <pivotArea dataOnly="0" labelOnly="1" fieldPosition="0">
        <references count="1">
          <reference field="20" count="4">
            <x v="3"/>
            <x v="4"/>
            <x v="5"/>
            <x v="6"/>
          </reference>
        </references>
      </pivotArea>
    </format>
    <format dxfId="177">
      <pivotArea collapsedLevelsAreSubtotals="1" fieldPosition="0">
        <references count="1">
          <reference field="20" count="1">
            <x v="3"/>
          </reference>
        </references>
      </pivotArea>
    </format>
    <format dxfId="176">
      <pivotArea dataOnly="0" labelOnly="1" fieldPosition="0">
        <references count="1">
          <reference field="20" count="1">
            <x v="3"/>
          </reference>
        </references>
      </pivotArea>
    </format>
    <format dxfId="175">
      <pivotArea type="all" dataOnly="0" outline="0" fieldPosition="0"/>
    </format>
    <format dxfId="174">
      <pivotArea outline="0" collapsedLevelsAreSubtotals="1" fieldPosition="0"/>
    </format>
    <format dxfId="173">
      <pivotArea outline="0" collapsedLevelsAreSubtotals="1" fieldPosition="0"/>
    </format>
    <format dxfId="172">
      <pivotArea collapsedLevelsAreSubtotals="1" fieldPosition="0">
        <references count="2">
          <reference field="20" count="1" selected="0">
            <x v="3"/>
          </reference>
          <reference field="21" count="1">
            <x v="1"/>
          </reference>
        </references>
      </pivotArea>
    </format>
    <format dxfId="171">
      <pivotArea dataOnly="0" labelOnly="1" fieldPosition="0">
        <references count="2">
          <reference field="20" count="1" selected="0">
            <x v="3"/>
          </reference>
          <reference field="21" count="1">
            <x v="1"/>
          </reference>
        </references>
      </pivotArea>
    </format>
    <format dxfId="170">
      <pivotArea collapsedLevelsAreSubtotals="1" fieldPosition="0">
        <references count="2">
          <reference field="20" count="1" selected="0">
            <x v="4"/>
          </reference>
          <reference field="21" count="1">
            <x v="23"/>
          </reference>
        </references>
      </pivotArea>
    </format>
    <format dxfId="169">
      <pivotArea dataOnly="0" labelOnly="1" fieldPosition="0">
        <references count="2">
          <reference field="20" count="1" selected="0">
            <x v="4"/>
          </reference>
          <reference field="21" count="1">
            <x v="23"/>
          </reference>
        </references>
      </pivotArea>
    </format>
    <format dxfId="168">
      <pivotArea type="all" dataOnly="0" outline="0" fieldPosition="0"/>
    </format>
    <format dxfId="167">
      <pivotArea outline="0" collapsedLevelsAreSubtotals="1" fieldPosition="0"/>
    </format>
    <format dxfId="166">
      <pivotArea outline="0" collapsedLevelsAreSubtotals="1" fieldPosition="0"/>
    </format>
    <format dxfId="165">
      <pivotArea outline="0" collapsedLevelsAreSubtotals="1" fieldPosition="0"/>
    </format>
    <format dxfId="164">
      <pivotArea dataOnly="0" labelOnly="1" outline="0" axis="axisValues" fieldPosition="0"/>
    </format>
    <format dxfId="163">
      <pivotArea type="all" dataOnly="0" outline="0" fieldPosition="0"/>
    </format>
    <format dxfId="162">
      <pivotArea outline="0" collapsedLevelsAreSubtotals="1" fieldPosition="0"/>
    </format>
    <format dxfId="161">
      <pivotArea outline="0" collapsedLevelsAreSubtotals="1" fieldPosition="0"/>
    </format>
    <format dxfId="160">
      <pivotArea type="all" dataOnly="0" outline="0" fieldPosition="0"/>
    </format>
    <format dxfId="159">
      <pivotArea outline="0" collapsedLevelsAreSubtotals="1" fieldPosition="0"/>
    </format>
    <format dxfId="158">
      <pivotArea outline="0" collapsedLevelsAreSubtotals="1" fieldPosition="0"/>
    </format>
    <format dxfId="157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56">
      <pivotArea type="all" dataOnly="0" outline="0" fieldPosition="0"/>
    </format>
    <format dxfId="155">
      <pivotArea outline="0" collapsedLevelsAreSubtotals="1" fieldPosition="0"/>
    </format>
    <format dxfId="154">
      <pivotArea field="20" type="button" dataOnly="0" labelOnly="1" outline="0" axis="axisRow" fieldPosition="0"/>
    </format>
    <format dxfId="153">
      <pivotArea dataOnly="0" labelOnly="1" fieldPosition="0">
        <references count="1">
          <reference field="20" count="0"/>
        </references>
      </pivotArea>
    </format>
    <format dxfId="152">
      <pivotArea dataOnly="0" labelOnly="1" grandRow="1" outline="0" fieldPosition="0"/>
    </format>
    <format dxfId="151">
      <pivotArea dataOnly="0" labelOnly="1" fieldPosition="0">
        <references count="2">
          <reference field="20" count="1" selected="0">
            <x v="0"/>
          </reference>
          <reference field="21" count="6">
            <x v="0"/>
            <x v="2"/>
            <x v="3"/>
            <x v="16"/>
            <x v="17"/>
            <x v="18"/>
          </reference>
        </references>
      </pivotArea>
    </format>
    <format dxfId="150">
      <pivotArea dataOnly="0" labelOnly="1" fieldPosition="0">
        <references count="2">
          <reference field="20" count="1" selected="0">
            <x v="1"/>
          </reference>
          <reference field="21" count="1">
            <x v="6"/>
          </reference>
        </references>
      </pivotArea>
    </format>
    <format dxfId="149">
      <pivotArea dataOnly="0" labelOnly="1" fieldPosition="0">
        <references count="2">
          <reference field="20" count="1" selected="0">
            <x v="2"/>
          </reference>
          <reference field="21" count="2">
            <x v="10"/>
            <x v="20"/>
          </reference>
        </references>
      </pivotArea>
    </format>
    <format dxfId="148">
      <pivotArea dataOnly="0" labelOnly="1" fieldPosition="0">
        <references count="2">
          <reference field="20" count="1" selected="0">
            <x v="3"/>
          </reference>
          <reference field="21" count="1">
            <x v="1"/>
          </reference>
        </references>
      </pivotArea>
    </format>
    <format dxfId="147">
      <pivotArea dataOnly="0" labelOnly="1" fieldPosition="0">
        <references count="2">
          <reference field="20" count="1" selected="0">
            <x v="4"/>
          </reference>
          <reference field="21" count="6">
            <x v="4"/>
            <x v="7"/>
            <x v="8"/>
            <x v="9"/>
            <x v="15"/>
            <x v="23"/>
          </reference>
        </references>
      </pivotArea>
    </format>
    <format dxfId="146">
      <pivotArea dataOnly="0" labelOnly="1" fieldPosition="0">
        <references count="2">
          <reference field="20" count="1" selected="0">
            <x v="5"/>
          </reference>
          <reference field="21" count="1">
            <x v="12"/>
          </reference>
        </references>
      </pivotArea>
    </format>
    <format dxfId="145">
      <pivotArea dataOnly="0" labelOnly="1" fieldPosition="0">
        <references count="2">
          <reference field="20" count="1" selected="0">
            <x v="6"/>
          </reference>
          <reference field="21" count="4">
            <x v="5"/>
            <x v="11"/>
            <x v="14"/>
            <x v="19"/>
          </reference>
        </references>
      </pivotArea>
    </format>
    <format dxfId="144">
      <pivotArea dataOnly="0" labelOnly="1" fieldPosition="0">
        <references count="2">
          <reference field="20" count="1" selected="0">
            <x v="7"/>
          </reference>
          <reference field="21" count="2">
            <x v="21"/>
            <x v="22"/>
          </reference>
        </references>
      </pivotArea>
    </format>
    <format dxfId="143">
      <pivotArea dataOnly="0" labelOnly="1" fieldPosition="0">
        <references count="2">
          <reference field="20" count="1" selected="0">
            <x v="8"/>
          </reference>
          <reference field="21" count="1">
            <x v="13"/>
          </reference>
        </references>
      </pivotArea>
    </format>
    <format dxfId="142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41">
      <pivotArea outline="0" collapsedLevelsAreSubtotals="1" fieldPosition="0">
        <references count="1">
          <reference field="4294967294" count="3" selected="0">
            <x v="2"/>
            <x v="3"/>
            <x v="4"/>
          </reference>
        </references>
      </pivotArea>
    </format>
    <format dxfId="140">
      <pivotArea dataOnly="0" labelOnly="1" outline="0" fieldPosition="0">
        <references count="1">
          <reference field="4294967294" count="3">
            <x v="2"/>
            <x v="3"/>
            <x v="4"/>
          </reference>
        </references>
      </pivotArea>
    </format>
    <format dxfId="139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  <format dxfId="13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Dark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E013A2-E498-9D47-9AB2-CF3593EA6AE4}" name="OutcomeByStdDevPivotTable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>
  <location ref="A4:C9" firstHeaderRow="0" firstDataRow="1" firstDataCol="1" rowPageCount="2" colPageCount="1"/>
  <pivotFields count="25">
    <pivotField showAll="0"/>
    <pivotField showAll="0"/>
    <pivotField showAll="0"/>
    <pivotField dataField="1" numFmtId="164" showAll="0"/>
    <pivotField dataField="1" numFmtId="164" showAll="0"/>
    <pivotField numFmtId="9" showAll="0"/>
    <pivotField axis="axisRow" showAll="0">
      <items count="5">
        <item x="3"/>
        <item x="0"/>
        <item x="2"/>
        <item x="1"/>
        <item t="default"/>
      </items>
    </pivotField>
    <pivotField showAll="0"/>
    <pivotField numFmtId="43" showAll="0"/>
    <pivotField axis="axisPage" showAll="0">
      <items count="8">
        <item x="2"/>
        <item x="0"/>
        <item x="5"/>
        <item x="3"/>
        <item x="4"/>
        <item x="6"/>
        <item x="1"/>
        <item t="default"/>
      </items>
    </pivotField>
    <pivotField showAll="0"/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axis="axisPage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dragToRow="0" dragToCol="0" dragToPage="0" showAll="0" defaultSubtota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pageFields count="2">
    <pageField fld="9" hier="-1"/>
    <pageField fld="23" hier="-1"/>
  </pageFields>
  <dataFields count="2">
    <dataField name="StdDev of goal" fld="3" subtotal="stdDev" baseField="0" baseItem="0"/>
    <dataField name="StdDev of pledged" fld="4" subtotal="stdDev" baseField="0" baseItem="0"/>
  </dataFields>
  <formats count="9">
    <format dxfId="137">
      <pivotArea outline="0" collapsedLevelsAreSubtotals="1" fieldPosition="0"/>
    </format>
    <format dxfId="136">
      <pivotArea type="all" dataOnly="0" outline="0" fieldPosition="0"/>
    </format>
    <format dxfId="135">
      <pivotArea outline="0" collapsedLevelsAreSubtotals="1" fieldPosition="0"/>
    </format>
    <format dxfId="134">
      <pivotArea field="6" type="button" dataOnly="0" labelOnly="1" outline="0" axis="axisRow" fieldPosition="0"/>
    </format>
    <format dxfId="133">
      <pivotArea dataOnly="0" labelOnly="1" fieldPosition="0">
        <references count="1">
          <reference field="6" count="0"/>
        </references>
      </pivotArea>
    </format>
    <format dxfId="132">
      <pivotArea dataOnly="0" labelOnly="1" grandRow="1" outline="0" fieldPosition="0"/>
    </format>
    <format dxfId="13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30">
      <pivotArea outline="0" collapsedLevelsAreSubtotals="1" fieldPosition="0"/>
    </format>
    <format dxfId="12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5">
    <chartFormat chart="20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0" format="10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0" format="1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0" format="12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Dark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68B511-C7F7-4D48-9C5F-B57A7D0EFD4D}" name="PivotTable4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J4:N12" firstHeaderRow="1" firstDataRow="2" firstDataCol="1" rowPageCount="2" colPageCount="1"/>
  <pivotFields count="25">
    <pivotField showAll="0"/>
    <pivotField showAll="0"/>
    <pivotField showAll="0"/>
    <pivotField numFmtId="164" showAll="0"/>
    <pivotField numFmtId="164" showAll="0"/>
    <pivotField numFmtId="9" showAll="0"/>
    <pivotField axis="axisCol" dataField="1" showAll="0">
      <items count="5">
        <item x="3"/>
        <item x="0"/>
        <item h="1" x="2"/>
        <item x="1"/>
        <item t="default"/>
      </items>
    </pivotField>
    <pivotField showAll="0"/>
    <pivotField numFmtId="43" showAll="0"/>
    <pivotField axis="axisPage" showAll="0">
      <items count="8">
        <item x="2"/>
        <item x="0"/>
        <item x="5"/>
        <item x="3"/>
        <item x="4"/>
        <item x="6"/>
        <item x="1"/>
        <item t="default"/>
      </items>
    </pivotField>
    <pivotField showAll="0"/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axis="axisPage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dragToRow="0" dragToCol="0" dragToPage="0" showAll="0" defaultSubtotal="0"/>
  </pivotFields>
  <rowFields count="1">
    <field x="16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6"/>
  </colFields>
  <colItems count="4">
    <i>
      <x/>
    </i>
    <i>
      <x v="1"/>
    </i>
    <i>
      <x v="3"/>
    </i>
    <i t="grand">
      <x/>
    </i>
  </colItems>
  <pageFields count="2">
    <pageField fld="9" hier="-1"/>
    <pageField fld="23" hier="-1"/>
  </pageFields>
  <dataFields count="1">
    <dataField name="Duration (days)" fld="6" subtotal="count" showDataAs="percentOfRow" baseField="0" baseItem="0" numFmtId="165"/>
  </dataFields>
  <formats count="17">
    <format dxfId="102">
      <pivotArea outline="0" collapsedLevelsAreSubtotals="1" fieldPosition="0"/>
    </format>
    <format dxfId="101">
      <pivotArea field="6" type="button" dataOnly="0" labelOnly="1" outline="0" axis="axisCol" fieldPosition="0"/>
    </format>
    <format dxfId="100">
      <pivotArea type="topRight" dataOnly="0" labelOnly="1" outline="0" fieldPosition="0"/>
    </format>
    <format dxfId="99">
      <pivotArea dataOnly="0" labelOnly="1" fieldPosition="0">
        <references count="1">
          <reference field="6" count="0"/>
        </references>
      </pivotArea>
    </format>
    <format dxfId="98">
      <pivotArea dataOnly="0" labelOnly="1" grandCol="1" outline="0" fieldPosition="0"/>
    </format>
    <format dxfId="97">
      <pivotArea type="all" dataOnly="0" outline="0" fieldPosition="0"/>
    </format>
    <format dxfId="96">
      <pivotArea type="all" dataOnly="0" outline="0" fieldPosition="0"/>
    </format>
    <format dxfId="95">
      <pivotArea outline="0" collapsedLevelsAreSubtotals="1" fieldPosition="0"/>
    </format>
    <format dxfId="94">
      <pivotArea type="origin" dataOnly="0" labelOnly="1" outline="0" fieldPosition="0"/>
    </format>
    <format dxfId="93">
      <pivotArea field="6" type="button" dataOnly="0" labelOnly="1" outline="0" axis="axisCol" fieldPosition="0"/>
    </format>
    <format dxfId="92">
      <pivotArea type="topRight" dataOnly="0" labelOnly="1" outline="0" fieldPosition="0"/>
    </format>
    <format dxfId="91">
      <pivotArea field="9" type="button" dataOnly="0" labelOnly="1" outline="0" axis="axisPage" fieldPosition="0"/>
    </format>
    <format dxfId="90">
      <pivotArea dataOnly="0" labelOnly="1" fieldPosition="0">
        <references count="1">
          <reference field="9" count="0"/>
        </references>
      </pivotArea>
    </format>
    <format dxfId="89">
      <pivotArea dataOnly="0" labelOnly="1" grandRow="1" outline="0" fieldPosition="0"/>
    </format>
    <format dxfId="88">
      <pivotArea dataOnly="0" labelOnly="1" fieldPosition="0">
        <references count="1">
          <reference field="6" count="0"/>
        </references>
      </pivotArea>
    </format>
    <format dxfId="87">
      <pivotArea outline="0" fieldPosition="0">
        <references count="1">
          <reference field="4294967294" count="1">
            <x v="0"/>
          </reference>
        </references>
      </pivotArea>
    </format>
    <format dxfId="86">
      <pivotArea outline="0" collapsedLevelsAreSubtotals="1" fieldPosition="0"/>
    </format>
  </formats>
  <chartFormats count="19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4" format="1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4" format="1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6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6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9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9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9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1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0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10" format="3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16" count="1" selected="0">
            <x v="5"/>
          </reference>
        </references>
      </pivotArea>
    </chartFormat>
  </chartFormats>
  <pivotTableStyleInfo name="PivotStyleDark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6C25BD-E8E0-9C47-9438-3F255C0834A4}" name="DurationOutcomesPivotTable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4:E12" firstHeaderRow="1" firstDataRow="2" firstDataCol="1" rowPageCount="2" colPageCount="1"/>
  <pivotFields count="25">
    <pivotField showAll="0"/>
    <pivotField showAll="0"/>
    <pivotField showAll="0"/>
    <pivotField numFmtId="164" showAll="0"/>
    <pivotField numFmtId="164" showAll="0"/>
    <pivotField numFmtId="9" showAll="0"/>
    <pivotField axis="axisCol" dataField="1" showAll="0">
      <items count="5">
        <item x="3"/>
        <item x="0"/>
        <item h="1" x="2"/>
        <item x="1"/>
        <item t="default"/>
      </items>
    </pivotField>
    <pivotField showAll="0"/>
    <pivotField numFmtId="43" showAll="0"/>
    <pivotField axis="axisPage" showAll="0">
      <items count="8">
        <item x="2"/>
        <item x="0"/>
        <item x="5"/>
        <item x="3"/>
        <item x="4"/>
        <item x="6"/>
        <item x="1"/>
        <item t="default"/>
      </items>
    </pivotField>
    <pivotField showAll="0"/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axis="axisPage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dragToRow="0" dragToCol="0" dragToPage="0" showAll="0" defaultSubtotal="0"/>
  </pivotFields>
  <rowFields count="1">
    <field x="16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6"/>
  </colFields>
  <colItems count="4">
    <i>
      <x/>
    </i>
    <i>
      <x v="1"/>
    </i>
    <i>
      <x v="3"/>
    </i>
    <i t="grand">
      <x/>
    </i>
  </colItems>
  <pageFields count="2">
    <pageField fld="9" hier="-1"/>
    <pageField fld="23" hier="-1"/>
  </pageFields>
  <dataFields count="1">
    <dataField name="Duration (days)" fld="6" subtotal="count" baseField="0" baseItem="0"/>
  </dataFields>
  <formats count="16">
    <format dxfId="118">
      <pivotArea outline="0" collapsedLevelsAreSubtotals="1" fieldPosition="0"/>
    </format>
    <format dxfId="117">
      <pivotArea field="6" type="button" dataOnly="0" labelOnly="1" outline="0" axis="axisCol" fieldPosition="0"/>
    </format>
    <format dxfId="116">
      <pivotArea type="topRight" dataOnly="0" labelOnly="1" outline="0" fieldPosition="0"/>
    </format>
    <format dxfId="115">
      <pivotArea dataOnly="0" labelOnly="1" fieldPosition="0">
        <references count="1">
          <reference field="6" count="0"/>
        </references>
      </pivotArea>
    </format>
    <format dxfId="114">
      <pivotArea dataOnly="0" labelOnly="1" grandCol="1" outline="0" fieldPosition="0"/>
    </format>
    <format dxfId="113">
      <pivotArea type="all" dataOnly="0" outline="0" fieldPosition="0"/>
    </format>
    <format dxfId="112">
      <pivotArea type="all" dataOnly="0" outline="0" fieldPosition="0"/>
    </format>
    <format dxfId="111">
      <pivotArea outline="0" collapsedLevelsAreSubtotals="1" fieldPosition="0"/>
    </format>
    <format dxfId="110">
      <pivotArea type="origin" dataOnly="0" labelOnly="1" outline="0" fieldPosition="0"/>
    </format>
    <format dxfId="109">
      <pivotArea field="6" type="button" dataOnly="0" labelOnly="1" outline="0" axis="axisCol" fieldPosition="0"/>
    </format>
    <format dxfId="108">
      <pivotArea type="topRight" dataOnly="0" labelOnly="1" outline="0" fieldPosition="0"/>
    </format>
    <format dxfId="107">
      <pivotArea field="9" type="button" dataOnly="0" labelOnly="1" outline="0" axis="axisPage" fieldPosition="0"/>
    </format>
    <format dxfId="106">
      <pivotArea dataOnly="0" labelOnly="1" fieldPosition="0">
        <references count="1">
          <reference field="9" count="0"/>
        </references>
      </pivotArea>
    </format>
    <format dxfId="105">
      <pivotArea dataOnly="0" labelOnly="1" grandRow="1" outline="0" fieldPosition="0"/>
    </format>
    <format dxfId="104">
      <pivotArea dataOnly="0" labelOnly="1" fieldPosition="0">
        <references count="1">
          <reference field="6" count="0"/>
        </references>
      </pivotArea>
    </format>
    <format dxfId="103">
      <pivotArea outline="0" fieldPosition="0">
        <references count="1">
          <reference field="4294967294" count="1">
            <x v="0"/>
          </reference>
        </references>
      </pivotArea>
    </format>
  </formats>
  <chartFormats count="1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4" format="1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4" format="1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6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6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9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9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9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</chartFormats>
  <pivotTableStyleInfo name="PivotStyleDark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1B518D-CD38-BC49-9B4C-133CC64E16AC}" name="OutcomesCountriesPivotTable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E12" firstHeaderRow="1" firstDataRow="2" firstDataCol="1" rowPageCount="1" colPageCount="1"/>
  <pivotFields count="25">
    <pivotField showAll="0"/>
    <pivotField showAll="0"/>
    <pivotField showAll="0"/>
    <pivotField numFmtId="164" showAll="0"/>
    <pivotField numFmtId="164" showAll="0"/>
    <pivotField numFmtId="9" showAll="0"/>
    <pivotField axis="axisCol" dataField="1" showAll="0">
      <items count="5">
        <item x="3"/>
        <item x="0"/>
        <item h="1" x="2"/>
        <item x="1"/>
        <item t="default"/>
      </items>
    </pivotField>
    <pivotField showAll="0"/>
    <pivotField numFmtId="43" showAll="0"/>
    <pivotField axis="axisRow" showAll="0">
      <items count="8">
        <item x="2"/>
        <item x="0"/>
        <item x="5"/>
        <item x="3"/>
        <item x="4"/>
        <item x="6"/>
        <item x="1"/>
        <item t="default"/>
      </items>
    </pivotField>
    <pivotField showAll="0"/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axis="axisPage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dragToRow="0" dragToCol="0" dragToPage="0" showAll="0" defaultSubtotal="0"/>
  </pivotFields>
  <rowFields count="1">
    <field x="9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6"/>
  </colFields>
  <colItems count="4">
    <i>
      <x/>
    </i>
    <i>
      <x v="1"/>
    </i>
    <i>
      <x v="3"/>
    </i>
    <i t="grand">
      <x/>
    </i>
  </colItems>
  <pageFields count="1">
    <pageField fld="23" hier="-1"/>
  </pageFields>
  <dataFields count="1">
    <dataField name="Count of outcome" fld="6" subtotal="count" baseField="0" baseItem="0"/>
  </dataFields>
  <formats count="17">
    <format dxfId="62">
      <pivotArea outline="0" collapsedLevelsAreSubtotals="1" fieldPosition="0"/>
    </format>
    <format dxfId="61">
      <pivotArea field="6" type="button" dataOnly="0" labelOnly="1" outline="0" axis="axisCol" fieldPosition="0"/>
    </format>
    <format dxfId="60">
      <pivotArea type="topRight" dataOnly="0" labelOnly="1" outline="0" fieldPosition="0"/>
    </format>
    <format dxfId="59">
      <pivotArea dataOnly="0" labelOnly="1" fieldPosition="0">
        <references count="1">
          <reference field="6" count="0"/>
        </references>
      </pivotArea>
    </format>
    <format dxfId="58">
      <pivotArea dataOnly="0" labelOnly="1" grandCol="1" outline="0" fieldPosition="0"/>
    </format>
    <format dxfId="57">
      <pivotArea type="all" dataOnly="0" outline="0" fieldPosition="0"/>
    </format>
    <format dxfId="56">
      <pivotArea outline="0" fieldPosition="0">
        <references count="1">
          <reference field="4294967294" count="1">
            <x v="0"/>
          </reference>
        </references>
      </pivotArea>
    </format>
    <format dxfId="55">
      <pivotArea type="all" dataOnly="0" outline="0" fieldPosition="0"/>
    </format>
    <format dxfId="54">
      <pivotArea outline="0" collapsedLevelsAreSubtotals="1" fieldPosition="0"/>
    </format>
    <format dxfId="53">
      <pivotArea type="origin" dataOnly="0" labelOnly="1" outline="0" fieldPosition="0"/>
    </format>
    <format dxfId="52">
      <pivotArea field="6" type="button" dataOnly="0" labelOnly="1" outline="0" axis="axisCol" fieldPosition="0"/>
    </format>
    <format dxfId="51">
      <pivotArea type="topRight" dataOnly="0" labelOnly="1" outline="0" fieldPosition="0"/>
    </format>
    <format dxfId="50">
      <pivotArea field="9" type="button" dataOnly="0" labelOnly="1" outline="0" axis="axisRow" fieldPosition="0"/>
    </format>
    <format dxfId="49">
      <pivotArea dataOnly="0" labelOnly="1" fieldPosition="0">
        <references count="1">
          <reference field="9" count="0"/>
        </references>
      </pivotArea>
    </format>
    <format dxfId="48">
      <pivotArea dataOnly="0" labelOnly="1" grandRow="1" outline="0" fieldPosition="0"/>
    </format>
    <format dxfId="47">
      <pivotArea dataOnly="0" labelOnly="1" fieldPosition="0">
        <references count="1">
          <reference field="6" count="0"/>
        </references>
      </pivotArea>
    </format>
    <format dxfId="46">
      <pivotArea dataOnly="0" labelOnly="1" grandCol="1" outline="0" fieldPosition="0"/>
    </format>
  </formats>
  <chartFormats count="1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4" format="1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4" format="1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6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6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</chartFormats>
  <pivotTableStyleInfo name="PivotStyleDark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95D75A-B1FE-0743-BD5A-3D37DA26AC5B}" name="PivotTable5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J3:N12" firstHeaderRow="1" firstDataRow="2" firstDataCol="1" rowPageCount="1" colPageCount="1"/>
  <pivotFields count="25">
    <pivotField showAll="0"/>
    <pivotField showAll="0"/>
    <pivotField showAll="0"/>
    <pivotField numFmtId="164" showAll="0"/>
    <pivotField numFmtId="164" showAll="0"/>
    <pivotField numFmtId="9" showAll="0"/>
    <pivotField axis="axisCol" dataField="1" showAll="0">
      <items count="5">
        <item x="3"/>
        <item x="0"/>
        <item h="1" x="2"/>
        <item x="1"/>
        <item t="default"/>
      </items>
    </pivotField>
    <pivotField showAll="0"/>
    <pivotField numFmtId="43" showAll="0"/>
    <pivotField axis="axisRow" showAll="0">
      <items count="8">
        <item x="2"/>
        <item x="0"/>
        <item x="5"/>
        <item x="3"/>
        <item x="4"/>
        <item x="6"/>
        <item x="1"/>
        <item t="default"/>
      </items>
    </pivotField>
    <pivotField showAll="0"/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axis="axisPage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dragToRow="0" dragToCol="0" dragToPage="0" showAll="0" defaultSubtotal="0"/>
  </pivotFields>
  <rowFields count="1">
    <field x="9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6"/>
  </colFields>
  <colItems count="4">
    <i>
      <x/>
    </i>
    <i>
      <x v="1"/>
    </i>
    <i>
      <x v="3"/>
    </i>
    <i t="grand">
      <x/>
    </i>
  </colItems>
  <pageFields count="1">
    <pageField fld="23" hier="-1"/>
  </pageFields>
  <dataFields count="1">
    <dataField name="Count of outcome" fld="6" subtotal="count" showDataAs="percentOfRow" baseField="0" baseItem="0" numFmtId="165"/>
  </dataFields>
  <formats count="23">
    <format dxfId="85">
      <pivotArea outline="0" collapsedLevelsAreSubtotals="1" fieldPosition="0"/>
    </format>
    <format dxfId="84">
      <pivotArea field="6" type="button" dataOnly="0" labelOnly="1" outline="0" axis="axisCol" fieldPosition="0"/>
    </format>
    <format dxfId="83">
      <pivotArea type="topRight" dataOnly="0" labelOnly="1" outline="0" fieldPosition="0"/>
    </format>
    <format dxfId="82">
      <pivotArea dataOnly="0" labelOnly="1" fieldPosition="0">
        <references count="1">
          <reference field="6" count="0"/>
        </references>
      </pivotArea>
    </format>
    <format dxfId="81">
      <pivotArea dataOnly="0" labelOnly="1" grandCol="1" outline="0" fieldPosition="0"/>
    </format>
    <format dxfId="80">
      <pivotArea type="all" dataOnly="0" outline="0" fieldPosition="0"/>
    </format>
    <format dxfId="79">
      <pivotArea type="all" dataOnly="0" outline="0" fieldPosition="0"/>
    </format>
    <format dxfId="78">
      <pivotArea outline="0" collapsedLevelsAreSubtotals="1" fieldPosition="0"/>
    </format>
    <format dxfId="77">
      <pivotArea type="origin" dataOnly="0" labelOnly="1" outline="0" fieldPosition="0"/>
    </format>
    <format dxfId="76">
      <pivotArea field="6" type="button" dataOnly="0" labelOnly="1" outline="0" axis="axisCol" fieldPosition="0"/>
    </format>
    <format dxfId="75">
      <pivotArea type="topRight" dataOnly="0" labelOnly="1" outline="0" fieldPosition="0"/>
    </format>
    <format dxfId="74">
      <pivotArea field="9" type="button" dataOnly="0" labelOnly="1" outline="0" axis="axisRow" fieldPosition="0"/>
    </format>
    <format dxfId="73">
      <pivotArea dataOnly="0" labelOnly="1" fieldPosition="0">
        <references count="1">
          <reference field="9" count="0"/>
        </references>
      </pivotArea>
    </format>
    <format dxfId="72">
      <pivotArea dataOnly="0" labelOnly="1" grandRow="1" outline="0" fieldPosition="0"/>
    </format>
    <format dxfId="71">
      <pivotArea dataOnly="0" labelOnly="1" fieldPosition="0">
        <references count="1">
          <reference field="6" count="0"/>
        </references>
      </pivotArea>
    </format>
    <format dxfId="70">
      <pivotArea dataOnly="0" labelOnly="1" grandCol="1" outline="0" fieldPosition="0"/>
    </format>
    <format dxfId="69">
      <pivotArea outline="0" fieldPosition="0">
        <references count="1">
          <reference field="4294967294" count="1">
            <x v="0"/>
          </reference>
        </references>
      </pivotArea>
    </format>
    <format dxfId="68">
      <pivotArea outline="0" collapsedLevelsAreSubtotals="1" fieldPosition="0"/>
    </format>
    <format dxfId="67">
      <pivotArea outline="0" collapsedLevelsAreSubtotals="1" fieldPosition="0"/>
    </format>
    <format dxfId="66">
      <pivotArea field="6" type="button" dataOnly="0" labelOnly="1" outline="0" axis="axisCol" fieldPosition="0"/>
    </format>
    <format dxfId="65">
      <pivotArea type="topRight" dataOnly="0" labelOnly="1" outline="0" fieldPosition="0"/>
    </format>
    <format dxfId="64">
      <pivotArea dataOnly="0" labelOnly="1" fieldPosition="0">
        <references count="1">
          <reference field="6" count="0"/>
        </references>
      </pivotArea>
    </format>
    <format dxfId="63">
      <pivotArea dataOnly="0" labelOnly="1" grandCol="1" outline="0" fieldPosition="0"/>
    </format>
  </formats>
  <chartFormats count="19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4" format="1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4" format="1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6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6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8" format="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8" format="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8" format="1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8" format="1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9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9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9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</chartFormats>
  <pivotTableStyleInfo name="PivotStyleDark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6447BB-EF83-1C4B-BDB1-12DD3E79F922}" name="CrowdfundingTable" displayName="CrowdfundingTable" ref="A1:V1001" totalsRowShown="0" headerRowDxfId="457" dataDxfId="456">
  <autoFilter ref="A1:V1001" xr:uid="{066447BB-EF83-1C4B-BDB1-12DD3E79F922}"/>
  <tableColumns count="22">
    <tableColumn id="1" xr3:uid="{86CFFC30-6CAF-344F-B4E7-E3422CA49F8B}" name="id" dataDxfId="455"/>
    <tableColumn id="2" xr3:uid="{A53721F3-C1CF-A445-BE8D-1935058BDBD6}" name="name" dataDxfId="454"/>
    <tableColumn id="3" xr3:uid="{1EAB572C-3F82-6B43-BED7-26D4CCF94C2F}" name="blurb" dataDxfId="453"/>
    <tableColumn id="4" xr3:uid="{A69607A8-3351-C64A-A0FC-3B8EDDD1FEDA}" name="goal" dataDxfId="452"/>
    <tableColumn id="5" xr3:uid="{E88C1DAF-7F5D-E64B-BAC1-EF034F273982}" name="pledged" dataDxfId="451"/>
    <tableColumn id="6" xr3:uid="{170AF3E3-9E44-A042-80EA-228D06AC1486}" name="percent_funded" dataDxfId="450" dataCellStyle="Percent">
      <calculatedColumnFormula>E2/D2</calculatedColumnFormula>
    </tableColumn>
    <tableColumn id="7" xr3:uid="{DCD4BBE4-5A0B-1142-8392-D66BDBF9F0C4}" name="outcome" dataDxfId="449"/>
    <tableColumn id="8" xr3:uid="{ABDF83E5-96DF-1F47-9382-58DEDE2D8527}" name="backers_count" dataDxfId="448"/>
    <tableColumn id="9" xr3:uid="{CB52619C-504A-3E49-A890-C6F0FAFF9492}" name="average_donation" dataDxfId="447" dataCellStyle="Currency">
      <calculatedColumnFormula>IF(H2&lt;&gt;0,E2/H2,0)</calculatedColumnFormula>
    </tableColumn>
    <tableColumn id="10" xr3:uid="{C71C53A6-B04F-404D-A087-97191B014A0E}" name="country" dataDxfId="446"/>
    <tableColumn id="11" xr3:uid="{BA18B4EF-A94A-2649-9F43-898A6EC85609}" name="currency" dataDxfId="445"/>
    <tableColumn id="12" xr3:uid="{5CD1C630-756D-BC42-9959-0ECF5B709B1C}" name="launched_at" dataDxfId="444"/>
    <tableColumn id="13" xr3:uid="{295A9F4C-57E1-D84D-9472-8801AD495CB8}" name="deadline" dataDxfId="443"/>
    <tableColumn id="14" xr3:uid="{78CA7643-92FE-0A47-B71F-88E93BD4FD68}" name="date_created" dataDxfId="442">
      <calculatedColumnFormula>(((L2/60)/60)/24)+DATE(1970,1,1)</calculatedColumnFormula>
    </tableColumn>
    <tableColumn id="15" xr3:uid="{04CB6133-A5AA-284C-9C22-726A78D88381}" name="date_ended" dataDxfId="441">
      <calculatedColumnFormula>(((M2/60)/60)/24)+DATE(1970,1,1)</calculatedColumnFormula>
    </tableColumn>
    <tableColumn id="21" xr3:uid="{90C16197-DD62-9344-BF58-D49DF5F69714}" name="weekday_created" dataDxfId="440">
      <calculatedColumnFormula>TEXT(CrowdfundingTable[[#This Row],[date_created]],"ddd")</calculatedColumnFormula>
    </tableColumn>
    <tableColumn id="22" xr3:uid="{38F0E6CA-7F84-6440-84E6-4F618A0929DB}" name="duration" dataDxfId="439">
      <calculatedColumnFormula>_xlfn.DAYS(CrowdfundingTable[[#This Row],[date_ended]],CrowdfundingTable[[#This Row],[date_created]])</calculatedColumnFormula>
    </tableColumn>
    <tableColumn id="16" xr3:uid="{357D5003-9E92-CA4D-A54D-4641AE7DF993}" name="staff_pick" dataDxfId="438"/>
    <tableColumn id="17" xr3:uid="{75AD7878-4952-514B-8697-4A88EDCBED06}" name="spotlight" dataDxfId="437"/>
    <tableColumn id="18" xr3:uid="{425DF25D-DF4D-3E4C-A5A9-80F7B8B1A76A}" name="category_and_subcategory" dataDxfId="436"/>
    <tableColumn id="19" xr3:uid="{3D3FD46E-823F-8D49-AB0E-A9B89CE29CE9}" name="primary_category" dataDxfId="435"/>
    <tableColumn id="20" xr3:uid="{F1C6CA44-07E2-484A-BF7D-B72819916E7A}" name="subcategory" dataDxfId="43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41166F8-B5DE-F640-AC1D-7D5289C9593C}" name="MedianFundingRatioTable" displayName="MedianFundingRatioTable" ref="A2:F36" totalsRowShown="0" headerRowDxfId="384" dataDxfId="383" tableBorderDxfId="382">
  <autoFilter ref="A2:F36" xr:uid="{541166F8-B5DE-F640-AC1D-7D5289C9593C}"/>
  <tableColumns count="6">
    <tableColumn id="1" xr3:uid="{2EB4F3AE-F2F6-1840-A3FA-C13D07A2256B}" name="Row Labels" dataDxfId="381"/>
    <tableColumn id="2" xr3:uid="{A5EE0A30-A4F4-174A-AAD5-D0B475E45FF2}" name="canceled" dataDxfId="380"/>
    <tableColumn id="3" xr3:uid="{BE2C6A7A-3F36-F84D-A7B0-72D9F501D520}" name="failed" dataDxfId="379"/>
    <tableColumn id="4" xr3:uid="{E30D900F-4433-D94F-8566-F5983D684AA3}" name="live" dataDxfId="378"/>
    <tableColumn id="5" xr3:uid="{258DA0D9-EED7-9649-8394-01D82AFDA7B7}" name="successful" dataDxfId="377"/>
    <tableColumn id="6" xr3:uid="{1B64B6B3-7AF3-CA44-911E-9E7342A13665}" name="Grand Total" dataDxfId="376"/>
  </tableColumns>
  <tableStyleInfo name="Table Style 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8AAD177-18DD-8D40-8CF3-5848B15DDC63}" name="Table10" displayName="Table10" ref="A3:D7" totalsRowShown="0" headerRowDxfId="275" dataDxfId="274">
  <autoFilter ref="A3:D7" xr:uid="{C8AAD177-18DD-8D40-8CF3-5848B15DDC63}"/>
  <tableColumns count="4">
    <tableColumn id="1" xr3:uid="{B87E40B5-0CCF-CA49-B2F3-30C234D32458}" name="Outcome" dataDxfId="273"/>
    <tableColumn id="2" xr3:uid="{A888B044-45C9-AF46-B234-22B9845E9AB9}" name="Median Backers" dataDxfId="272"/>
    <tableColumn id="3" xr3:uid="{AB86B802-BE12-5243-8E95-0CFEA34F235C}" name="Mean Backers" dataDxfId="271"/>
    <tableColumn id="4" xr3:uid="{305D382B-67BA-694B-BAE7-CFC8C88E516B}" name="Std. Dev." dataDxfId="270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1BAF1E6-3A46-C64B-BA19-61C4ACA3424B}" name="GoalAnalysisTable" displayName="GoalAnalysisTable" ref="A1:J7" totalsRowShown="0" headerRowDxfId="269" dataDxfId="267" totalsRowDxfId="265" headerRowBorderDxfId="268" tableBorderDxfId="266" headerRowCellStyle="Percent" dataCellStyle="Percent">
  <autoFilter ref="A1:J7" xr:uid="{61BAF1E6-3A46-C64B-BA19-61C4ACA3424B}"/>
  <tableColumns count="10">
    <tableColumn id="1" xr3:uid="{15B99052-6BA4-054C-B8BE-0EDD6AEA0854}" name="Goal" dataDxfId="264" totalsRowDxfId="263"/>
    <tableColumn id="2" xr3:uid="{147E0842-B87B-DA44-8920-8DF36139E65D}" name="Successful" dataDxfId="262" totalsRowDxfId="261"/>
    <tableColumn id="3" xr3:uid="{FE355B83-9CB5-2847-A446-19F256F5B7D2}" name="Failed" dataDxfId="260" totalsRowDxfId="259"/>
    <tableColumn id="4" xr3:uid="{AF063FEA-A88A-F744-BD80-2C5E3525C9AD}" name="Canceled" dataDxfId="258" totalsRowDxfId="257"/>
    <tableColumn id="9" xr3:uid="{4DA8429F-783A-A64D-BD88-AD332C215B4E}" name="Live" dataDxfId="256" totalsRowDxfId="255"/>
    <tableColumn id="5" xr3:uid="{BDA7893E-9EAE-734B-B87E-BF23A8F37DA4}" name="Count" dataDxfId="254" totalsRowDxfId="253">
      <calculatedColumnFormula>SUM(B2:E2)</calculatedColumnFormula>
    </tableColumn>
    <tableColumn id="6" xr3:uid="{FF1D83A0-DFD6-B848-8515-E59DF7C58631}" name="Success Rate (%)" dataDxfId="252" totalsRowDxfId="251" dataCellStyle="Percent">
      <calculatedColumnFormula>B2/$F2</calculatedColumnFormula>
    </tableColumn>
    <tableColumn id="7" xr3:uid="{21D1C718-8D2D-E04C-8896-E5EE530DD608}" name="Failure Rate (%)" dataDxfId="250" totalsRowDxfId="249" dataCellStyle="Percent">
      <calculatedColumnFormula>C2/$F2</calculatedColumnFormula>
    </tableColumn>
    <tableColumn id="8" xr3:uid="{BE6528B4-6FB1-2D42-9D13-2CD1A1E6A991}" name="Canceled Rate (%)" dataDxfId="248" totalsRowDxfId="247" dataCellStyle="Percent">
      <calculatedColumnFormula>D2/$F2</calculatedColumnFormula>
    </tableColumn>
    <tableColumn id="10" xr3:uid="{E3F85A6F-3AA5-9241-AF74-2A3F6FD27E98}" name="Live Rate (%)" dataDxfId="246" totalsRowDxfId="245" dataCellStyle="Percent">
      <calculatedColumnFormula>E2/$F2</calculatedColumnFormula>
    </tableColumn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556D587-5525-7548-B4D2-EF15682C1152}" name="StatisticsAnalysisGoalsTable" displayName="StatisticsAnalysisGoalsTable" ref="M1:Q15" totalsRowShown="0">
  <autoFilter ref="M1:Q15" xr:uid="{4556D587-5525-7548-B4D2-EF15682C1152}"/>
  <tableColumns count="5">
    <tableColumn id="1" xr3:uid="{AA58B41D-5756-D140-AA08-F01E7AB59C1F}" name="Category" dataDxfId="244"/>
    <tableColumn id="2" xr3:uid="{87B0A1AB-B05B-8F4B-AF02-64A9D7EC0A87}" name="Successful Campaigns" dataDxfId="243" dataCellStyle="Comma"/>
    <tableColumn id="3" xr3:uid="{91F65805-4673-D046-A074-8D59BD01284D}" name="Failed Campaigns" dataDxfId="242" dataCellStyle="Comma"/>
    <tableColumn id="4" xr3:uid="{8BFD8D7A-5F31-8445-B4FE-F389C81BC63F}" name="Canceled Campaigns" dataDxfId="241" dataCellStyle="Comma"/>
    <tableColumn id="5" xr3:uid="{21CDA384-59DC-594F-BC1A-DC43F8BED482}" name="Live Campaigns" dataDxfId="240" dataCellStyle="Comma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5BBE33C-019A-624A-981C-618DF8738B82}" name="StatisticsAnalysisPledgesTable" displayName="StatisticsAnalysisPledgesTable" ref="M1:Q15" totalsRowShown="0">
  <autoFilter ref="M1:Q15" xr:uid="{95BBE33C-019A-624A-981C-618DF8738B82}"/>
  <tableColumns count="5">
    <tableColumn id="1" xr3:uid="{FD908A72-E600-1840-92A2-23573C0E8B48}" name="Category" dataDxfId="239"/>
    <tableColumn id="2" xr3:uid="{D600576C-3EA1-E947-A4B8-B2970E69D34A}" name="Successful Campaigns" dataDxfId="238" dataCellStyle="Comma"/>
    <tableColumn id="3" xr3:uid="{B072197C-00A3-9447-B85B-814141BD9B62}" name="Failed Campaigns" dataDxfId="237" dataCellStyle="Comma"/>
    <tableColumn id="4" xr3:uid="{A52E3C18-570A-9849-8345-E51342E31FF1}" name="Canceled Campaigns" dataDxfId="236" dataCellStyle="Comma"/>
    <tableColumn id="5" xr3:uid="{B9EDCA35-147F-3C45-A007-4681345CEB66}" name="Live Campaigns" dataDxfId="235" dataCellStyle="Comma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CA3B952-E9C5-1C4F-87CC-225CB4545976}" name="StatisticsAnalysisBackersTable" displayName="StatisticsAnalysisBackersTable" ref="M1:Q15" totalsRowShown="0">
  <autoFilter ref="M1:Q15" xr:uid="{DCA3B952-E9C5-1C4F-87CC-225CB4545976}"/>
  <tableColumns count="5">
    <tableColumn id="1" xr3:uid="{8F36F3B3-B08F-714A-9D6A-B6253BE2CD37}" name="Category" dataDxfId="128"/>
    <tableColumn id="2" xr3:uid="{71E98662-A5A5-7141-A369-14DC23CC13B9}" name="Successful Campaigns" dataDxfId="127" dataCellStyle="Comma"/>
    <tableColumn id="3" xr3:uid="{48C5D6B3-1451-C643-9122-377F1B3DD09E}" name="Failed Campaigns" dataDxfId="126" dataCellStyle="Comma"/>
    <tableColumn id="4" xr3:uid="{A29488CC-A9BF-4B4E-B624-D4588AC360D8}" name="Canceled Campaigns" dataDxfId="125" dataCellStyle="Comma"/>
    <tableColumn id="5" xr3:uid="{5289B403-2569-8E45-8623-A8AB6D54057D}" name="Live Campaigns" dataDxfId="124" dataCellStyle="Comma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E04D22A-8E55-B947-B332-6E6E6C972FE4}" name="StatisticsAnalysisBackersTable8" displayName="StatisticsAnalysisBackersTable8" ref="M1:Q16" totalsRowShown="0">
  <autoFilter ref="M1:Q16" xr:uid="{4E04D22A-8E55-B947-B332-6E6E6C972FE4}"/>
  <tableColumns count="5">
    <tableColumn id="1" xr3:uid="{A20ABA9A-C527-8345-B0FC-56E8735DA9EC}" name="Category" dataDxfId="123"/>
    <tableColumn id="2" xr3:uid="{3B2C47F1-DBA4-CA40-A982-06AF7F9D43EB}" name="Successful Campaigns" dataDxfId="122" dataCellStyle="Comma"/>
    <tableColumn id="3" xr3:uid="{5A10D618-2E1F-FD46-AF58-01AB99A9AC9F}" name="Failed Campaigns" dataDxfId="121" dataCellStyle="Comma"/>
    <tableColumn id="4" xr3:uid="{EE2FEC0F-1355-7B49-BDF8-3D12B6AF49D4}" name="Canceled Campaigns" dataDxfId="120" dataCellStyle="Comma"/>
    <tableColumn id="5" xr3:uid="{CAA4A897-0707-AF4D-8A69-67ACCCB17714}" name="Live Campaigns" dataDxfId="119" dataCellStyle="Comma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FA75BF3-71D2-EA48-A678-3B17DF269FE7}" name="Table9" displayName="Table9" ref="A3:G9" totalsRowShown="0" headerRowDxfId="45" dataDxfId="44">
  <autoFilter ref="A3:G9" xr:uid="{3FA75BF3-71D2-EA48-A678-3B17DF269FE7}"/>
  <tableColumns count="7">
    <tableColumn id="1" xr3:uid="{17F2CA82-02E2-004C-8C1E-49C6A45C0DB5}" name="Column1" dataDxfId="43"/>
    <tableColumn id="2" xr3:uid="{955C554A-8D3C-9043-B92D-5D412CDB7C4E}" name="Goal" dataDxfId="42"/>
    <tableColumn id="3" xr3:uid="{82A6182A-8A86-434D-A7EB-1F728C097903}" name="Pledged"/>
    <tableColumn id="4" xr3:uid="{E3076F2A-B38D-874A-A360-8F24426EBAC0}" name="% Funded" dataDxfId="41"/>
    <tableColumn id="5" xr3:uid="{1189BDCA-A064-9B4D-AEB7-D31165E00D91}" name="Backers" dataDxfId="40"/>
    <tableColumn id="6" xr3:uid="{98317E25-7743-8B47-9AFA-E95B39B73D22}" name="Avg. Donation" dataDxfId="39"/>
    <tableColumn id="7" xr3:uid="{967C15B7-B1C6-6E41-ABBF-A878FC65FE99}" name="Duration" dataDxfId="38"/>
  </tableColumns>
  <tableStyleInfo name="Table Style 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24A63B6-01BF-D240-B096-90A9BD4547F8}" name="GoalAnalysisTable5" displayName="GoalAnalysisTable5" ref="A4:J8" totalsRowShown="0" headerRowDxfId="37" dataDxfId="35" totalsRowDxfId="33" headerRowBorderDxfId="36" tableBorderDxfId="34" headerRowCellStyle="Percent" dataCellStyle="Percent">
  <autoFilter ref="A4:J8" xr:uid="{D24A63B6-01BF-D240-B096-90A9BD4547F8}"/>
  <tableColumns count="10">
    <tableColumn id="1" xr3:uid="{8F1DD373-5634-CE44-A7A6-8FAD90CD0AB5}" name="Promotion Status" dataDxfId="32" totalsRowDxfId="31"/>
    <tableColumn id="2" xr3:uid="{EFD75A77-9A1E-884C-BE43-350736F0CB9F}" name="Successful" dataDxfId="30" totalsRowDxfId="29"/>
    <tableColumn id="3" xr3:uid="{7D43D9F4-7959-3648-9FDD-8CA78E0F584A}" name="Failed" dataDxfId="28" totalsRowDxfId="27"/>
    <tableColumn id="4" xr3:uid="{83C78D32-5038-8D41-8150-5C3C1D086C16}" name="Canceled" dataDxfId="26" totalsRowDxfId="25"/>
    <tableColumn id="9" xr3:uid="{850069DA-1242-B942-9B5D-2D3BC6373A66}" name="Live" dataDxfId="24" totalsRowDxfId="23"/>
    <tableColumn id="5" xr3:uid="{57425FA1-24D7-5842-A383-9B55CFA75DF6}" name="Count" dataDxfId="22" totalsRowDxfId="21">
      <calculatedColumnFormula>SUM(B5:E5)</calculatedColumnFormula>
    </tableColumn>
    <tableColumn id="6" xr3:uid="{EA8F67FD-2FE1-BA41-BCA5-B596A4D28246}" name="Success Rate (%)" dataDxfId="20" totalsRowDxfId="19" dataCellStyle="Percent">
      <calculatedColumnFormula>B5/$F5</calculatedColumnFormula>
    </tableColumn>
    <tableColumn id="7" xr3:uid="{18E9B207-CF82-FD47-A7F5-D2B6CB683B76}" name="Failure Rate (%)" dataDxfId="18" totalsRowDxfId="17" dataCellStyle="Percent">
      <calculatedColumnFormula>C5/$F5</calculatedColumnFormula>
    </tableColumn>
    <tableColumn id="8" xr3:uid="{69577BB8-EBCE-AC4C-9F16-3309A525A059}" name="Cancel Rate (%)" dataDxfId="16" totalsRowDxfId="15" dataCellStyle="Percent">
      <calculatedColumnFormula>D5/$F5</calculatedColumnFormula>
    </tableColumn>
    <tableColumn id="10" xr3:uid="{C84F8EEE-68C6-114C-8483-92AC8D4A1C66}" name="Live Rate (%)" dataDxfId="14" totalsRowDxfId="13" dataCellStyle="Percent">
      <calculatedColumnFormula>E5/$F5</calculatedColumnFormula>
    </tableColumn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E9D4D79-8A8C-C44E-A3DD-21DBA2E52DB9}" name="Table3" displayName="Table3" ref="A4:D11" totalsRowShown="0" headerRowDxfId="12" dataDxfId="11">
  <autoFilter ref="A4:D11" xr:uid="{6E9D4D79-8A8C-C44E-A3DD-21DBA2E52DB9}"/>
  <tableColumns count="4">
    <tableColumn id="1" xr3:uid="{A6A95687-2A47-3245-8E86-DFB2A74C8190}" name="Factor" dataDxfId="10"/>
    <tableColumn id="2" xr3:uid="{84ED8549-9D19-9D4C-A9F5-4F282EEE9AA7}" name="Best Value" dataDxfId="9"/>
    <tableColumn id="3" xr3:uid="{73EF3F84-8081-2B47-AC82-E87ED6B28ED0}" name="Worst Value" dataDxfId="8"/>
    <tableColumn id="4" xr3:uid="{913F544B-3AE8-9E44-A230-E39F51A6AE46}" name="Takeaway" dataDxfId="7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11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.xml"/><Relationship Id="rId2" Type="http://schemas.openxmlformats.org/officeDocument/2006/relationships/pivotTable" Target="../pivotTables/pivotTable13.xml"/><Relationship Id="rId1" Type="http://schemas.openxmlformats.org/officeDocument/2006/relationships/pivotTable" Target="../pivotTables/pivotTable12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4.xml"/><Relationship Id="rId2" Type="http://schemas.openxmlformats.org/officeDocument/2006/relationships/pivotTable" Target="../pivotTables/pivotTable15.xml"/><Relationship Id="rId1" Type="http://schemas.openxmlformats.org/officeDocument/2006/relationships/pivotTable" Target="../pivotTables/pivotTable14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01"/>
  <sheetViews>
    <sheetView tabSelected="1" zoomScaleNormal="100" workbookViewId="0">
      <selection activeCell="A2" sqref="A2"/>
    </sheetView>
  </sheetViews>
  <sheetFormatPr baseColWidth="10" defaultRowHeight="16" x14ac:dyDescent="0.2"/>
  <cols>
    <col min="1" max="1" width="5" style="5" customWidth="1"/>
    <col min="2" max="2" width="30.6640625" style="5" bestFit="1" customWidth="1"/>
    <col min="3" max="3" width="33.5" style="6" customWidth="1"/>
    <col min="4" max="4" width="12.5" style="94" bestFit="1" customWidth="1"/>
    <col min="5" max="5" width="13" style="94" bestFit="1" customWidth="1"/>
    <col min="6" max="6" width="16.1640625" style="7" customWidth="1"/>
    <col min="7" max="7" width="15.33203125" style="5" customWidth="1"/>
    <col min="8" max="8" width="19.6640625" style="62" customWidth="1"/>
    <col min="9" max="9" width="10.83203125" style="92"/>
    <col min="10" max="10" width="10.83203125" style="5"/>
    <col min="11" max="11" width="13.5" style="5" customWidth="1"/>
    <col min="12" max="12" width="11.1640625" style="5" bestFit="1" customWidth="1"/>
    <col min="13" max="14" width="24.83203125" style="8" customWidth="1"/>
    <col min="15" max="16" width="12.83203125" style="21" customWidth="1"/>
    <col min="17" max="17" width="11.6640625" style="5" customWidth="1"/>
    <col min="18" max="18" width="10.83203125" style="5"/>
    <col min="19" max="19" width="28" style="5" bestFit="1" customWidth="1"/>
    <col min="20" max="20" width="16.6640625" style="5" customWidth="1"/>
    <col min="21" max="21" width="15.83203125" style="5" customWidth="1"/>
    <col min="24" max="16384" width="10.83203125" style="5"/>
  </cols>
  <sheetData>
    <row r="1" spans="1:23" s="1" customFormat="1" ht="17" x14ac:dyDescent="0.2">
      <c r="A1" s="1" t="s">
        <v>2027</v>
      </c>
      <c r="B1" s="1" t="s">
        <v>0</v>
      </c>
      <c r="C1" s="2" t="s">
        <v>1</v>
      </c>
      <c r="D1" s="93" t="s">
        <v>2</v>
      </c>
      <c r="E1" s="93" t="s">
        <v>3</v>
      </c>
      <c r="F1" s="3" t="s">
        <v>2211</v>
      </c>
      <c r="G1" s="1" t="s">
        <v>4</v>
      </c>
      <c r="H1" s="1" t="s">
        <v>5</v>
      </c>
      <c r="I1" s="95" t="s">
        <v>2212</v>
      </c>
      <c r="J1" s="1" t="s">
        <v>6</v>
      </c>
      <c r="K1" s="1" t="s">
        <v>7</v>
      </c>
      <c r="L1" s="1" t="s">
        <v>8</v>
      </c>
      <c r="M1" s="1" t="s">
        <v>9</v>
      </c>
      <c r="N1" s="4" t="s">
        <v>2213</v>
      </c>
      <c r="O1" s="4" t="s">
        <v>2214</v>
      </c>
      <c r="P1" s="1" t="s">
        <v>2121</v>
      </c>
      <c r="Q1" s="1" t="s">
        <v>2120</v>
      </c>
      <c r="R1" s="1" t="s">
        <v>10</v>
      </c>
      <c r="S1" s="1" t="s">
        <v>11</v>
      </c>
      <c r="T1" s="1" t="s">
        <v>2217</v>
      </c>
      <c r="U1" s="1" t="s">
        <v>2215</v>
      </c>
      <c r="V1" s="1" t="s">
        <v>2216</v>
      </c>
    </row>
    <row r="2" spans="1:23" ht="17" x14ac:dyDescent="0.2">
      <c r="A2" s="5">
        <v>0</v>
      </c>
      <c r="B2" s="5" t="s">
        <v>12</v>
      </c>
      <c r="C2" s="6" t="s">
        <v>13</v>
      </c>
      <c r="D2" s="94">
        <v>100</v>
      </c>
      <c r="E2" s="94">
        <v>0</v>
      </c>
      <c r="F2" s="7">
        <f>E2/D2</f>
        <v>0</v>
      </c>
      <c r="G2" s="5" t="s">
        <v>14</v>
      </c>
      <c r="H2" s="5">
        <v>0</v>
      </c>
      <c r="I2" s="96">
        <f t="shared" ref="I2:I65" si="0">IF(H2&lt;&gt;0,E2/H2,0)</f>
        <v>0</v>
      </c>
      <c r="J2" s="5" t="s">
        <v>15</v>
      </c>
      <c r="K2" s="5" t="s">
        <v>16</v>
      </c>
      <c r="L2" s="5">
        <v>1448690400</v>
      </c>
      <c r="M2" s="5">
        <v>1450159200</v>
      </c>
      <c r="N2" s="8">
        <f>(((L2/60)/60)/24)+DATE(1970,1,1)</f>
        <v>42336.25</v>
      </c>
      <c r="O2" s="8">
        <f>(((M2/60)/60)/24)+DATE(1970,1,1)</f>
        <v>42353.25</v>
      </c>
      <c r="P2" s="21" t="str">
        <f>TEXT(CrowdfundingTable[[#This Row],[date_created]],"ddd")</f>
        <v>Sat</v>
      </c>
      <c r="Q2" s="21">
        <f>_xlfn.DAYS(CrowdfundingTable[[#This Row],[date_ended]],CrowdfundingTable[[#This Row],[date_created]])</f>
        <v>17</v>
      </c>
      <c r="R2" s="5" t="b">
        <v>0</v>
      </c>
      <c r="S2" s="5" t="b">
        <v>0</v>
      </c>
      <c r="T2" s="5" t="s">
        <v>17</v>
      </c>
      <c r="U2" s="5" t="s">
        <v>2033</v>
      </c>
      <c r="V2" s="5" t="s">
        <v>2048</v>
      </c>
      <c r="W2" s="5"/>
    </row>
    <row r="3" spans="1:23" ht="17" x14ac:dyDescent="0.2">
      <c r="A3" s="5">
        <v>1</v>
      </c>
      <c r="B3" s="5" t="s">
        <v>18</v>
      </c>
      <c r="C3" s="6" t="s">
        <v>19</v>
      </c>
      <c r="D3" s="94">
        <v>1400</v>
      </c>
      <c r="E3" s="94">
        <v>14560</v>
      </c>
      <c r="F3" s="7">
        <f>E3/D3</f>
        <v>10.4</v>
      </c>
      <c r="G3" s="5" t="s">
        <v>20</v>
      </c>
      <c r="H3" s="5">
        <v>158</v>
      </c>
      <c r="I3" s="96">
        <f t="shared" si="0"/>
        <v>92.151898734177209</v>
      </c>
      <c r="J3" s="5" t="s">
        <v>21</v>
      </c>
      <c r="K3" s="5" t="s">
        <v>22</v>
      </c>
      <c r="L3" s="5">
        <v>1408424400</v>
      </c>
      <c r="M3" s="5">
        <v>1408597200</v>
      </c>
      <c r="N3" s="8">
        <f>(((L3/60)/60)/24)+DATE(1970,1,1)</f>
        <v>41870.208333333336</v>
      </c>
      <c r="O3" s="8">
        <f t="shared" ref="O3:O66" si="1">(((M3/60)/60)/24)+DATE(1970,1,1)</f>
        <v>41872.208333333336</v>
      </c>
      <c r="P3" s="21" t="str">
        <f>TEXT(CrowdfundingTable[[#This Row],[date_created]],"ddd")</f>
        <v>Tue</v>
      </c>
      <c r="Q3" s="21">
        <f>_xlfn.DAYS(CrowdfundingTable[[#This Row],[date_ended]],CrowdfundingTable[[#This Row],[date_created]])</f>
        <v>2</v>
      </c>
      <c r="R3" s="5" t="b">
        <v>0</v>
      </c>
      <c r="S3" s="5" t="b">
        <v>1</v>
      </c>
      <c r="T3" s="5" t="s">
        <v>23</v>
      </c>
      <c r="U3" s="5" t="s">
        <v>2036</v>
      </c>
      <c r="V3" s="5" t="s">
        <v>2057</v>
      </c>
      <c r="W3" s="5"/>
    </row>
    <row r="4" spans="1:23" ht="34" x14ac:dyDescent="0.2">
      <c r="A4" s="5">
        <v>2</v>
      </c>
      <c r="B4" s="5" t="s">
        <v>24</v>
      </c>
      <c r="C4" s="6" t="s">
        <v>25</v>
      </c>
      <c r="D4" s="94">
        <v>108400</v>
      </c>
      <c r="E4" s="94">
        <v>142523</v>
      </c>
      <c r="F4" s="7">
        <v>1.31</v>
      </c>
      <c r="G4" s="5" t="s">
        <v>20</v>
      </c>
      <c r="H4" s="5">
        <v>1425</v>
      </c>
      <c r="I4" s="96">
        <f t="shared" si="0"/>
        <v>100.01614035087719</v>
      </c>
      <c r="J4" s="5" t="s">
        <v>26</v>
      </c>
      <c r="K4" s="5" t="s">
        <v>27</v>
      </c>
      <c r="L4" s="5">
        <v>1384668000</v>
      </c>
      <c r="M4" s="5">
        <v>1384840800</v>
      </c>
      <c r="N4" s="8">
        <f t="shared" ref="N4:N66" si="2">(((L4/60)/60)/24)+DATE(1970,1,1)</f>
        <v>41595.25</v>
      </c>
      <c r="O4" s="8">
        <f t="shared" si="1"/>
        <v>41597.25</v>
      </c>
      <c r="P4" s="21" t="str">
        <f>TEXT(CrowdfundingTable[[#This Row],[date_created]],"ddd")</f>
        <v>Sun</v>
      </c>
      <c r="Q4" s="21">
        <f>_xlfn.DAYS(CrowdfundingTable[[#This Row],[date_ended]],CrowdfundingTable[[#This Row],[date_created]])</f>
        <v>2</v>
      </c>
      <c r="R4" s="5" t="b">
        <v>0</v>
      </c>
      <c r="S4" s="5" t="b">
        <v>0</v>
      </c>
      <c r="T4" s="5" t="s">
        <v>28</v>
      </c>
      <c r="U4" s="5" t="s">
        <v>2039</v>
      </c>
      <c r="V4" s="5" t="s">
        <v>2064</v>
      </c>
      <c r="W4" s="5"/>
    </row>
    <row r="5" spans="1:23" ht="34" x14ac:dyDescent="0.2">
      <c r="A5" s="5">
        <v>3</v>
      </c>
      <c r="B5" s="5" t="s">
        <v>29</v>
      </c>
      <c r="C5" s="6" t="s">
        <v>30</v>
      </c>
      <c r="D5" s="94">
        <v>4200</v>
      </c>
      <c r="E5" s="94">
        <v>2477</v>
      </c>
      <c r="F5" s="7">
        <f t="shared" ref="F5:F67" si="3">E5/D5</f>
        <v>0.58976190476190471</v>
      </c>
      <c r="G5" s="5" t="s">
        <v>14</v>
      </c>
      <c r="H5" s="5">
        <v>24</v>
      </c>
      <c r="I5" s="96">
        <f t="shared" si="0"/>
        <v>103.20833333333333</v>
      </c>
      <c r="J5" s="5" t="s">
        <v>21</v>
      </c>
      <c r="K5" s="5" t="s">
        <v>22</v>
      </c>
      <c r="L5" s="5">
        <v>1565499600</v>
      </c>
      <c r="M5" s="5">
        <v>1568955600</v>
      </c>
      <c r="N5" s="8">
        <f t="shared" si="2"/>
        <v>43688.208333333328</v>
      </c>
      <c r="O5" s="8">
        <f t="shared" si="1"/>
        <v>43728.208333333328</v>
      </c>
      <c r="P5" s="21" t="str">
        <f>TEXT(CrowdfundingTable[[#This Row],[date_created]],"ddd")</f>
        <v>Sun</v>
      </c>
      <c r="Q5" s="21">
        <f>_xlfn.DAYS(CrowdfundingTable[[#This Row],[date_ended]],CrowdfundingTable[[#This Row],[date_created]])</f>
        <v>40</v>
      </c>
      <c r="R5" s="5" t="b">
        <v>0</v>
      </c>
      <c r="S5" s="5" t="b">
        <v>0</v>
      </c>
      <c r="T5" s="5" t="s">
        <v>23</v>
      </c>
      <c r="U5" s="5" t="s">
        <v>2036</v>
      </c>
      <c r="V5" s="5" t="s">
        <v>2057</v>
      </c>
      <c r="W5" s="5"/>
    </row>
    <row r="6" spans="1:23" ht="17" x14ac:dyDescent="0.2">
      <c r="A6" s="5">
        <v>4</v>
      </c>
      <c r="B6" s="5" t="s">
        <v>31</v>
      </c>
      <c r="C6" s="6" t="s">
        <v>32</v>
      </c>
      <c r="D6" s="94">
        <v>7600</v>
      </c>
      <c r="E6" s="94">
        <v>5265</v>
      </c>
      <c r="F6" s="7">
        <f t="shared" si="3"/>
        <v>0.69276315789473686</v>
      </c>
      <c r="G6" s="5" t="s">
        <v>14</v>
      </c>
      <c r="H6" s="5">
        <v>53</v>
      </c>
      <c r="I6" s="96">
        <f t="shared" si="0"/>
        <v>99.339622641509436</v>
      </c>
      <c r="J6" s="5" t="s">
        <v>21</v>
      </c>
      <c r="K6" s="5" t="s">
        <v>22</v>
      </c>
      <c r="L6" s="5">
        <v>1547964000</v>
      </c>
      <c r="M6" s="5">
        <v>1548309600</v>
      </c>
      <c r="N6" s="8">
        <f t="shared" si="2"/>
        <v>43485.25</v>
      </c>
      <c r="O6" s="8">
        <f t="shared" si="1"/>
        <v>43489.25</v>
      </c>
      <c r="P6" s="21" t="str">
        <f>TEXT(CrowdfundingTable[[#This Row],[date_created]],"ddd")</f>
        <v>Sun</v>
      </c>
      <c r="Q6" s="21">
        <f>_xlfn.DAYS(CrowdfundingTable[[#This Row],[date_ended]],CrowdfundingTable[[#This Row],[date_created]])</f>
        <v>4</v>
      </c>
      <c r="R6" s="5" t="b">
        <v>0</v>
      </c>
      <c r="S6" s="5" t="b">
        <v>0</v>
      </c>
      <c r="T6" s="5" t="s">
        <v>33</v>
      </c>
      <c r="U6" s="5" t="s">
        <v>2040</v>
      </c>
      <c r="V6" s="5" t="s">
        <v>2055</v>
      </c>
      <c r="W6" s="5"/>
    </row>
    <row r="7" spans="1:23" ht="17" x14ac:dyDescent="0.2">
      <c r="A7" s="5">
        <v>5</v>
      </c>
      <c r="B7" s="5" t="s">
        <v>34</v>
      </c>
      <c r="C7" s="6" t="s">
        <v>35</v>
      </c>
      <c r="D7" s="94">
        <v>7600</v>
      </c>
      <c r="E7" s="94">
        <v>13195</v>
      </c>
      <c r="F7" s="7">
        <f t="shared" si="3"/>
        <v>1.7361842105263159</v>
      </c>
      <c r="G7" s="5" t="s">
        <v>20</v>
      </c>
      <c r="H7" s="5">
        <v>174</v>
      </c>
      <c r="I7" s="96">
        <f t="shared" si="0"/>
        <v>75.833333333333329</v>
      </c>
      <c r="J7" s="5" t="s">
        <v>36</v>
      </c>
      <c r="K7" s="5" t="s">
        <v>37</v>
      </c>
      <c r="L7" s="5">
        <v>1346130000</v>
      </c>
      <c r="M7" s="5">
        <v>1347080400</v>
      </c>
      <c r="N7" s="8">
        <f t="shared" si="2"/>
        <v>41149.208333333336</v>
      </c>
      <c r="O7" s="8">
        <f t="shared" si="1"/>
        <v>41160.208333333336</v>
      </c>
      <c r="P7" s="21" t="str">
        <f>TEXT(CrowdfundingTable[[#This Row],[date_created]],"ddd")</f>
        <v>Tue</v>
      </c>
      <c r="Q7" s="21">
        <f>_xlfn.DAYS(CrowdfundingTable[[#This Row],[date_ended]],CrowdfundingTable[[#This Row],[date_created]])</f>
        <v>11</v>
      </c>
      <c r="R7" s="5" t="b">
        <v>0</v>
      </c>
      <c r="S7" s="5" t="b">
        <v>0</v>
      </c>
      <c r="T7" s="5" t="s">
        <v>33</v>
      </c>
      <c r="U7" s="5" t="s">
        <v>2040</v>
      </c>
      <c r="V7" s="5" t="s">
        <v>2055</v>
      </c>
      <c r="W7" s="5"/>
    </row>
    <row r="8" spans="1:23" ht="17" x14ac:dyDescent="0.2">
      <c r="A8" s="5">
        <v>6</v>
      </c>
      <c r="B8" s="5" t="s">
        <v>38</v>
      </c>
      <c r="C8" s="6" t="s">
        <v>39</v>
      </c>
      <c r="D8" s="94">
        <v>5200</v>
      </c>
      <c r="E8" s="94">
        <v>1090</v>
      </c>
      <c r="F8" s="7">
        <f t="shared" si="3"/>
        <v>0.20961538461538462</v>
      </c>
      <c r="G8" s="5" t="s">
        <v>14</v>
      </c>
      <c r="H8" s="5">
        <v>18</v>
      </c>
      <c r="I8" s="96">
        <f t="shared" si="0"/>
        <v>60.555555555555557</v>
      </c>
      <c r="J8" s="5" t="s">
        <v>40</v>
      </c>
      <c r="K8" s="5" t="s">
        <v>41</v>
      </c>
      <c r="L8" s="5">
        <v>1505278800</v>
      </c>
      <c r="M8" s="5">
        <v>1505365200</v>
      </c>
      <c r="N8" s="8">
        <f t="shared" si="2"/>
        <v>42991.208333333328</v>
      </c>
      <c r="O8" s="8">
        <f t="shared" si="1"/>
        <v>42992.208333333328</v>
      </c>
      <c r="P8" s="21" t="str">
        <f>TEXT(CrowdfundingTable[[#This Row],[date_created]],"ddd")</f>
        <v>Wed</v>
      </c>
      <c r="Q8" s="21">
        <f>_xlfn.DAYS(CrowdfundingTable[[#This Row],[date_ended]],CrowdfundingTable[[#This Row],[date_created]])</f>
        <v>1</v>
      </c>
      <c r="R8" s="5" t="b">
        <v>0</v>
      </c>
      <c r="S8" s="5" t="b">
        <v>0</v>
      </c>
      <c r="T8" s="5" t="s">
        <v>42</v>
      </c>
      <c r="U8" s="5" t="s">
        <v>2032</v>
      </c>
      <c r="V8" s="5" t="s">
        <v>2044</v>
      </c>
      <c r="W8" s="5"/>
    </row>
    <row r="9" spans="1:23" ht="17" x14ac:dyDescent="0.2">
      <c r="A9" s="5">
        <v>7</v>
      </c>
      <c r="B9" s="5" t="s">
        <v>43</v>
      </c>
      <c r="C9" s="6" t="s">
        <v>44</v>
      </c>
      <c r="D9" s="94">
        <v>4500</v>
      </c>
      <c r="E9" s="94">
        <v>14741</v>
      </c>
      <c r="F9" s="7">
        <f t="shared" si="3"/>
        <v>3.2757777777777779</v>
      </c>
      <c r="G9" s="5" t="s">
        <v>20</v>
      </c>
      <c r="H9" s="5">
        <v>227</v>
      </c>
      <c r="I9" s="96">
        <f t="shared" si="0"/>
        <v>64.93832599118943</v>
      </c>
      <c r="J9" s="5" t="s">
        <v>36</v>
      </c>
      <c r="K9" s="5" t="s">
        <v>37</v>
      </c>
      <c r="L9" s="5">
        <v>1439442000</v>
      </c>
      <c r="M9" s="5">
        <v>1439614800</v>
      </c>
      <c r="N9" s="8">
        <f t="shared" si="2"/>
        <v>42229.208333333328</v>
      </c>
      <c r="O9" s="8">
        <f t="shared" si="1"/>
        <v>42231.208333333328</v>
      </c>
      <c r="P9" s="21" t="str">
        <f>TEXT(CrowdfundingTable[[#This Row],[date_created]],"ddd")</f>
        <v>Thu</v>
      </c>
      <c r="Q9" s="21">
        <f>_xlfn.DAYS(CrowdfundingTable[[#This Row],[date_ended]],CrowdfundingTable[[#This Row],[date_created]])</f>
        <v>2</v>
      </c>
      <c r="R9" s="5" t="b">
        <v>0</v>
      </c>
      <c r="S9" s="5" t="b">
        <v>0</v>
      </c>
      <c r="T9" s="5" t="s">
        <v>33</v>
      </c>
      <c r="U9" s="5" t="s">
        <v>2040</v>
      </c>
      <c r="V9" s="5" t="s">
        <v>2055</v>
      </c>
      <c r="W9" s="5"/>
    </row>
    <row r="10" spans="1:23" ht="17" x14ac:dyDescent="0.2">
      <c r="A10" s="5">
        <v>8</v>
      </c>
      <c r="B10" s="5" t="s">
        <v>45</v>
      </c>
      <c r="C10" s="6" t="s">
        <v>46</v>
      </c>
      <c r="D10" s="94">
        <v>110100</v>
      </c>
      <c r="E10" s="94">
        <v>21946</v>
      </c>
      <c r="F10" s="7">
        <f t="shared" si="3"/>
        <v>0.19932788374205268</v>
      </c>
      <c r="G10" s="5" t="s">
        <v>47</v>
      </c>
      <c r="H10" s="5">
        <v>708</v>
      </c>
      <c r="I10" s="96">
        <f t="shared" si="0"/>
        <v>30.997175141242938</v>
      </c>
      <c r="J10" s="5" t="s">
        <v>36</v>
      </c>
      <c r="K10" s="5" t="s">
        <v>37</v>
      </c>
      <c r="L10" s="5">
        <v>1281330000</v>
      </c>
      <c r="M10" s="5">
        <v>1281502800</v>
      </c>
      <c r="N10" s="8">
        <f t="shared" si="2"/>
        <v>40399.208333333336</v>
      </c>
      <c r="O10" s="8">
        <f t="shared" si="1"/>
        <v>40401.208333333336</v>
      </c>
      <c r="P10" s="21" t="str">
        <f>TEXT(CrowdfundingTable[[#This Row],[date_created]],"ddd")</f>
        <v>Mon</v>
      </c>
      <c r="Q10" s="21">
        <f>_xlfn.DAYS(CrowdfundingTable[[#This Row],[date_ended]],CrowdfundingTable[[#This Row],[date_created]])</f>
        <v>2</v>
      </c>
      <c r="R10" s="5" t="b">
        <v>0</v>
      </c>
      <c r="S10" s="5" t="b">
        <v>0</v>
      </c>
      <c r="T10" s="5" t="s">
        <v>33</v>
      </c>
      <c r="U10" s="5" t="s">
        <v>2040</v>
      </c>
      <c r="V10" s="5" t="s">
        <v>2055</v>
      </c>
      <c r="W10" s="5"/>
    </row>
    <row r="11" spans="1:23" ht="17" x14ac:dyDescent="0.2">
      <c r="A11" s="5">
        <v>9</v>
      </c>
      <c r="B11" s="5" t="s">
        <v>48</v>
      </c>
      <c r="C11" s="6" t="s">
        <v>49</v>
      </c>
      <c r="D11" s="94">
        <v>6200</v>
      </c>
      <c r="E11" s="94">
        <v>3208</v>
      </c>
      <c r="F11" s="7">
        <f t="shared" si="3"/>
        <v>0.51741935483870971</v>
      </c>
      <c r="G11" s="5" t="s">
        <v>14</v>
      </c>
      <c r="H11" s="5">
        <v>44</v>
      </c>
      <c r="I11" s="96">
        <f t="shared" si="0"/>
        <v>72.909090909090907</v>
      </c>
      <c r="J11" s="5" t="s">
        <v>21</v>
      </c>
      <c r="K11" s="5" t="s">
        <v>22</v>
      </c>
      <c r="L11" s="5">
        <v>1379566800</v>
      </c>
      <c r="M11" s="5">
        <v>1383804000</v>
      </c>
      <c r="N11" s="8">
        <f t="shared" si="2"/>
        <v>41536.208333333336</v>
      </c>
      <c r="O11" s="8">
        <f t="shared" si="1"/>
        <v>41585.25</v>
      </c>
      <c r="P11" s="21" t="str">
        <f>TEXT(CrowdfundingTable[[#This Row],[date_created]],"ddd")</f>
        <v>Thu</v>
      </c>
      <c r="Q11" s="21">
        <f>_xlfn.DAYS(CrowdfundingTable[[#This Row],[date_ended]],CrowdfundingTable[[#This Row],[date_created]])</f>
        <v>49</v>
      </c>
      <c r="R11" s="5" t="b">
        <v>0</v>
      </c>
      <c r="S11" s="5" t="b">
        <v>0</v>
      </c>
      <c r="T11" s="5" t="s">
        <v>50</v>
      </c>
      <c r="U11" s="5" t="s">
        <v>2036</v>
      </c>
      <c r="V11" s="5" t="s">
        <v>2046</v>
      </c>
      <c r="W11" s="5"/>
    </row>
    <row r="12" spans="1:23" ht="17" x14ac:dyDescent="0.2">
      <c r="A12" s="5">
        <v>10</v>
      </c>
      <c r="B12" s="5" t="s">
        <v>51</v>
      </c>
      <c r="C12" s="6" t="s">
        <v>52</v>
      </c>
      <c r="D12" s="94">
        <v>5200</v>
      </c>
      <c r="E12" s="94">
        <v>13838</v>
      </c>
      <c r="F12" s="7">
        <f t="shared" si="3"/>
        <v>2.6611538461538462</v>
      </c>
      <c r="G12" s="5" t="s">
        <v>20</v>
      </c>
      <c r="H12" s="5">
        <v>220</v>
      </c>
      <c r="I12" s="96">
        <f t="shared" si="0"/>
        <v>62.9</v>
      </c>
      <c r="J12" s="5" t="s">
        <v>21</v>
      </c>
      <c r="K12" s="5" t="s">
        <v>22</v>
      </c>
      <c r="L12" s="5">
        <v>1281762000</v>
      </c>
      <c r="M12" s="5">
        <v>1285909200</v>
      </c>
      <c r="N12" s="8">
        <f t="shared" si="2"/>
        <v>40404.208333333336</v>
      </c>
      <c r="O12" s="8">
        <f t="shared" si="1"/>
        <v>40452.208333333336</v>
      </c>
      <c r="P12" s="21" t="str">
        <f>TEXT(CrowdfundingTable[[#This Row],[date_created]],"ddd")</f>
        <v>Sat</v>
      </c>
      <c r="Q12" s="21">
        <f>_xlfn.DAYS(CrowdfundingTable[[#This Row],[date_ended]],CrowdfundingTable[[#This Row],[date_created]])</f>
        <v>48</v>
      </c>
      <c r="R12" s="5" t="b">
        <v>0</v>
      </c>
      <c r="S12" s="5" t="b">
        <v>0</v>
      </c>
      <c r="T12" s="5" t="s">
        <v>53</v>
      </c>
      <c r="U12" s="5" t="s">
        <v>2032</v>
      </c>
      <c r="V12" s="5" t="s">
        <v>2045</v>
      </c>
      <c r="W12" s="5"/>
    </row>
    <row r="13" spans="1:23" ht="34" x14ac:dyDescent="0.2">
      <c r="A13" s="5">
        <v>11</v>
      </c>
      <c r="B13" s="5" t="s">
        <v>54</v>
      </c>
      <c r="C13" s="6" t="s">
        <v>55</v>
      </c>
      <c r="D13" s="94">
        <v>6300</v>
      </c>
      <c r="E13" s="94">
        <v>3030</v>
      </c>
      <c r="F13" s="7">
        <f t="shared" si="3"/>
        <v>0.48095238095238096</v>
      </c>
      <c r="G13" s="5" t="s">
        <v>14</v>
      </c>
      <c r="H13" s="5">
        <v>27</v>
      </c>
      <c r="I13" s="96">
        <f t="shared" si="0"/>
        <v>112.22222222222223</v>
      </c>
      <c r="J13" s="5" t="s">
        <v>21</v>
      </c>
      <c r="K13" s="5" t="s">
        <v>22</v>
      </c>
      <c r="L13" s="5">
        <v>1285045200</v>
      </c>
      <c r="M13" s="5">
        <v>1285563600</v>
      </c>
      <c r="N13" s="8">
        <f t="shared" si="2"/>
        <v>40442.208333333336</v>
      </c>
      <c r="O13" s="8">
        <f t="shared" si="1"/>
        <v>40448.208333333336</v>
      </c>
      <c r="P13" s="21" t="str">
        <f>TEXT(CrowdfundingTable[[#This Row],[date_created]],"ddd")</f>
        <v>Tue</v>
      </c>
      <c r="Q13" s="21">
        <f>_xlfn.DAYS(CrowdfundingTable[[#This Row],[date_ended]],CrowdfundingTable[[#This Row],[date_created]])</f>
        <v>6</v>
      </c>
      <c r="R13" s="5" t="b">
        <v>0</v>
      </c>
      <c r="S13" s="5" t="b">
        <v>1</v>
      </c>
      <c r="T13" s="5" t="s">
        <v>33</v>
      </c>
      <c r="U13" s="5" t="s">
        <v>2040</v>
      </c>
      <c r="V13" s="5" t="s">
        <v>2055</v>
      </c>
      <c r="W13" s="5"/>
    </row>
    <row r="14" spans="1:23" ht="17" x14ac:dyDescent="0.2">
      <c r="A14" s="5">
        <v>12</v>
      </c>
      <c r="B14" s="5" t="s">
        <v>56</v>
      </c>
      <c r="C14" s="6" t="s">
        <v>57</v>
      </c>
      <c r="D14" s="94">
        <v>6300</v>
      </c>
      <c r="E14" s="94">
        <v>5629</v>
      </c>
      <c r="F14" s="7">
        <f t="shared" si="3"/>
        <v>0.89349206349206345</v>
      </c>
      <c r="G14" s="5" t="s">
        <v>14</v>
      </c>
      <c r="H14" s="5">
        <v>55</v>
      </c>
      <c r="I14" s="96">
        <f t="shared" si="0"/>
        <v>102.34545454545454</v>
      </c>
      <c r="J14" s="5" t="s">
        <v>21</v>
      </c>
      <c r="K14" s="5" t="s">
        <v>22</v>
      </c>
      <c r="L14" s="5">
        <v>1571720400</v>
      </c>
      <c r="M14" s="5">
        <v>1572411600</v>
      </c>
      <c r="N14" s="8">
        <f t="shared" si="2"/>
        <v>43760.208333333328</v>
      </c>
      <c r="O14" s="8">
        <f t="shared" si="1"/>
        <v>43768.208333333328</v>
      </c>
      <c r="P14" s="21" t="str">
        <f>TEXT(CrowdfundingTable[[#This Row],[date_created]],"ddd")</f>
        <v>Tue</v>
      </c>
      <c r="Q14" s="21">
        <f>_xlfn.DAYS(CrowdfundingTable[[#This Row],[date_ended]],CrowdfundingTable[[#This Row],[date_created]])</f>
        <v>8</v>
      </c>
      <c r="R14" s="5" t="b">
        <v>0</v>
      </c>
      <c r="S14" s="5" t="b">
        <v>0</v>
      </c>
      <c r="T14" s="5" t="s">
        <v>53</v>
      </c>
      <c r="U14" s="5" t="s">
        <v>2032</v>
      </c>
      <c r="V14" s="5" t="s">
        <v>2045</v>
      </c>
      <c r="W14" s="5"/>
    </row>
    <row r="15" spans="1:23" ht="17" x14ac:dyDescent="0.2">
      <c r="A15" s="5">
        <v>13</v>
      </c>
      <c r="B15" s="5" t="s">
        <v>58</v>
      </c>
      <c r="C15" s="6" t="s">
        <v>59</v>
      </c>
      <c r="D15" s="94">
        <v>4200</v>
      </c>
      <c r="E15" s="94">
        <v>10295</v>
      </c>
      <c r="F15" s="7">
        <f t="shared" si="3"/>
        <v>2.4511904761904764</v>
      </c>
      <c r="G15" s="5" t="s">
        <v>20</v>
      </c>
      <c r="H15" s="5">
        <v>98</v>
      </c>
      <c r="I15" s="96">
        <f t="shared" si="0"/>
        <v>105.05102040816327</v>
      </c>
      <c r="J15" s="5" t="s">
        <v>21</v>
      </c>
      <c r="K15" s="5" t="s">
        <v>22</v>
      </c>
      <c r="L15" s="5">
        <v>1465621200</v>
      </c>
      <c r="M15" s="5">
        <v>1466658000</v>
      </c>
      <c r="N15" s="8">
        <f t="shared" si="2"/>
        <v>42532.208333333328</v>
      </c>
      <c r="O15" s="8">
        <f t="shared" si="1"/>
        <v>42544.208333333328</v>
      </c>
      <c r="P15" s="21" t="str">
        <f>TEXT(CrowdfundingTable[[#This Row],[date_created]],"ddd")</f>
        <v>Sat</v>
      </c>
      <c r="Q15" s="21">
        <f>_xlfn.DAYS(CrowdfundingTable[[#This Row],[date_ended]],CrowdfundingTable[[#This Row],[date_created]])</f>
        <v>12</v>
      </c>
      <c r="R15" s="5" t="b">
        <v>0</v>
      </c>
      <c r="S15" s="5" t="b">
        <v>0</v>
      </c>
      <c r="T15" s="5" t="s">
        <v>60</v>
      </c>
      <c r="U15" s="5" t="s">
        <v>2036</v>
      </c>
      <c r="V15" s="5" t="s">
        <v>2049</v>
      </c>
      <c r="W15" s="5"/>
    </row>
    <row r="16" spans="1:23" ht="17" x14ac:dyDescent="0.2">
      <c r="A16" s="5">
        <v>14</v>
      </c>
      <c r="B16" s="5" t="s">
        <v>61</v>
      </c>
      <c r="C16" s="6" t="s">
        <v>62</v>
      </c>
      <c r="D16" s="94">
        <v>28200</v>
      </c>
      <c r="E16" s="94">
        <v>18829</v>
      </c>
      <c r="F16" s="7">
        <f t="shared" si="3"/>
        <v>0.66769503546099296</v>
      </c>
      <c r="G16" s="5" t="s">
        <v>14</v>
      </c>
      <c r="H16" s="5">
        <v>200</v>
      </c>
      <c r="I16" s="96">
        <f t="shared" si="0"/>
        <v>94.144999999999996</v>
      </c>
      <c r="J16" s="5" t="s">
        <v>21</v>
      </c>
      <c r="K16" s="5" t="s">
        <v>22</v>
      </c>
      <c r="L16" s="5">
        <v>1331013600</v>
      </c>
      <c r="M16" s="5">
        <v>1333342800</v>
      </c>
      <c r="N16" s="8">
        <f t="shared" si="2"/>
        <v>40974.25</v>
      </c>
      <c r="O16" s="8">
        <f t="shared" si="1"/>
        <v>41001.208333333336</v>
      </c>
      <c r="P16" s="21" t="str">
        <f>TEXT(CrowdfundingTable[[#This Row],[date_created]],"ddd")</f>
        <v>Tue</v>
      </c>
      <c r="Q16" s="21">
        <f>_xlfn.DAYS(CrowdfundingTable[[#This Row],[date_ended]],CrowdfundingTable[[#This Row],[date_created]])</f>
        <v>27</v>
      </c>
      <c r="R16" s="5" t="b">
        <v>0</v>
      </c>
      <c r="S16" s="5" t="b">
        <v>0</v>
      </c>
      <c r="T16" s="5" t="s">
        <v>60</v>
      </c>
      <c r="U16" s="5" t="s">
        <v>2036</v>
      </c>
      <c r="V16" s="5" t="s">
        <v>2049</v>
      </c>
      <c r="W16" s="5"/>
    </row>
    <row r="17" spans="1:23" ht="17" x14ac:dyDescent="0.2">
      <c r="A17" s="5">
        <v>15</v>
      </c>
      <c r="B17" s="5" t="s">
        <v>63</v>
      </c>
      <c r="C17" s="6" t="s">
        <v>64</v>
      </c>
      <c r="D17" s="94">
        <v>81200</v>
      </c>
      <c r="E17" s="94">
        <v>38414</v>
      </c>
      <c r="F17" s="7">
        <f t="shared" si="3"/>
        <v>0.47307881773399013</v>
      </c>
      <c r="G17" s="5" t="s">
        <v>14</v>
      </c>
      <c r="H17" s="5">
        <v>452</v>
      </c>
      <c r="I17" s="96">
        <f t="shared" si="0"/>
        <v>84.986725663716811</v>
      </c>
      <c r="J17" s="5" t="s">
        <v>21</v>
      </c>
      <c r="K17" s="5" t="s">
        <v>22</v>
      </c>
      <c r="L17" s="5">
        <v>1575957600</v>
      </c>
      <c r="M17" s="5">
        <v>1576303200</v>
      </c>
      <c r="N17" s="8">
        <f t="shared" si="2"/>
        <v>43809.25</v>
      </c>
      <c r="O17" s="8">
        <f t="shared" si="1"/>
        <v>43813.25</v>
      </c>
      <c r="P17" s="21" t="str">
        <f>TEXT(CrowdfundingTable[[#This Row],[date_created]],"ddd")</f>
        <v>Tue</v>
      </c>
      <c r="Q17" s="21">
        <f>_xlfn.DAYS(CrowdfundingTable[[#This Row],[date_ended]],CrowdfundingTable[[#This Row],[date_created]])</f>
        <v>4</v>
      </c>
      <c r="R17" s="5" t="b">
        <v>0</v>
      </c>
      <c r="S17" s="5" t="b">
        <v>0</v>
      </c>
      <c r="T17" s="5" t="s">
        <v>65</v>
      </c>
      <c r="U17" s="5" t="s">
        <v>2039</v>
      </c>
      <c r="V17" s="5" t="s">
        <v>2063</v>
      </c>
      <c r="W17" s="5"/>
    </row>
    <row r="18" spans="1:23" ht="17" x14ac:dyDescent="0.2">
      <c r="A18" s="5">
        <v>16</v>
      </c>
      <c r="B18" s="5" t="s">
        <v>66</v>
      </c>
      <c r="C18" s="6" t="s">
        <v>67</v>
      </c>
      <c r="D18" s="94">
        <v>1700</v>
      </c>
      <c r="E18" s="94">
        <v>11041</v>
      </c>
      <c r="F18" s="7">
        <f t="shared" si="3"/>
        <v>6.4947058823529416</v>
      </c>
      <c r="G18" s="5" t="s">
        <v>20</v>
      </c>
      <c r="H18" s="5">
        <v>100</v>
      </c>
      <c r="I18" s="96">
        <f t="shared" si="0"/>
        <v>110.41</v>
      </c>
      <c r="J18" s="5" t="s">
        <v>21</v>
      </c>
      <c r="K18" s="5" t="s">
        <v>22</v>
      </c>
      <c r="L18" s="5">
        <v>1390370400</v>
      </c>
      <c r="M18" s="5">
        <v>1392271200</v>
      </c>
      <c r="N18" s="8">
        <f t="shared" si="2"/>
        <v>41661.25</v>
      </c>
      <c r="O18" s="8">
        <f t="shared" si="1"/>
        <v>41683.25</v>
      </c>
      <c r="P18" s="21" t="str">
        <f>TEXT(CrowdfundingTable[[#This Row],[date_created]],"ddd")</f>
        <v>Wed</v>
      </c>
      <c r="Q18" s="21">
        <f>_xlfn.DAYS(CrowdfundingTable[[#This Row],[date_ended]],CrowdfundingTable[[#This Row],[date_created]])</f>
        <v>22</v>
      </c>
      <c r="R18" s="5" t="b">
        <v>0</v>
      </c>
      <c r="S18" s="5" t="b">
        <v>0</v>
      </c>
      <c r="T18" s="5" t="s">
        <v>68</v>
      </c>
      <c r="U18" s="5" t="s">
        <v>2038</v>
      </c>
      <c r="V18" s="5" t="s">
        <v>2053</v>
      </c>
      <c r="W18" s="5"/>
    </row>
    <row r="19" spans="1:23" ht="17" x14ac:dyDescent="0.2">
      <c r="A19" s="5">
        <v>17</v>
      </c>
      <c r="B19" s="5" t="s">
        <v>69</v>
      </c>
      <c r="C19" s="6" t="s">
        <v>70</v>
      </c>
      <c r="D19" s="94">
        <v>84600</v>
      </c>
      <c r="E19" s="94">
        <v>134845</v>
      </c>
      <c r="F19" s="7">
        <f t="shared" si="3"/>
        <v>1.5939125295508274</v>
      </c>
      <c r="G19" s="5" t="s">
        <v>20</v>
      </c>
      <c r="H19" s="5">
        <v>1249</v>
      </c>
      <c r="I19" s="96">
        <f t="shared" si="0"/>
        <v>107.96236989591674</v>
      </c>
      <c r="J19" s="5" t="s">
        <v>21</v>
      </c>
      <c r="K19" s="5" t="s">
        <v>22</v>
      </c>
      <c r="L19" s="5">
        <v>1294812000</v>
      </c>
      <c r="M19" s="5">
        <v>1294898400</v>
      </c>
      <c r="N19" s="8">
        <f t="shared" si="2"/>
        <v>40555.25</v>
      </c>
      <c r="O19" s="8">
        <f t="shared" si="1"/>
        <v>40556.25</v>
      </c>
      <c r="P19" s="21" t="str">
        <f>TEXT(CrowdfundingTable[[#This Row],[date_created]],"ddd")</f>
        <v>Wed</v>
      </c>
      <c r="Q19" s="21">
        <f>_xlfn.DAYS(CrowdfundingTable[[#This Row],[date_ended]],CrowdfundingTable[[#This Row],[date_created]])</f>
        <v>1</v>
      </c>
      <c r="R19" s="5" t="b">
        <v>0</v>
      </c>
      <c r="S19" s="5" t="b">
        <v>0</v>
      </c>
      <c r="T19" s="5" t="s">
        <v>71</v>
      </c>
      <c r="U19" s="5" t="s">
        <v>2032</v>
      </c>
      <c r="V19" s="5" t="s">
        <v>2042</v>
      </c>
      <c r="W19" s="5"/>
    </row>
    <row r="20" spans="1:23" ht="17" x14ac:dyDescent="0.2">
      <c r="A20" s="5">
        <v>18</v>
      </c>
      <c r="B20" s="5" t="s">
        <v>72</v>
      </c>
      <c r="C20" s="6" t="s">
        <v>73</v>
      </c>
      <c r="D20" s="94">
        <v>9100</v>
      </c>
      <c r="E20" s="94">
        <v>6089</v>
      </c>
      <c r="F20" s="7">
        <f t="shared" si="3"/>
        <v>0.66912087912087914</v>
      </c>
      <c r="G20" s="5" t="s">
        <v>74</v>
      </c>
      <c r="H20" s="5">
        <v>135</v>
      </c>
      <c r="I20" s="96">
        <f t="shared" si="0"/>
        <v>45.103703703703701</v>
      </c>
      <c r="J20" s="5" t="s">
        <v>21</v>
      </c>
      <c r="K20" s="5" t="s">
        <v>22</v>
      </c>
      <c r="L20" s="5">
        <v>1536382800</v>
      </c>
      <c r="M20" s="5">
        <v>1537074000</v>
      </c>
      <c r="N20" s="8">
        <f t="shared" si="2"/>
        <v>43351.208333333328</v>
      </c>
      <c r="O20" s="8">
        <f t="shared" si="1"/>
        <v>43359.208333333328</v>
      </c>
      <c r="P20" s="21" t="str">
        <f>TEXT(CrowdfundingTable[[#This Row],[date_created]],"ddd")</f>
        <v>Sat</v>
      </c>
      <c r="Q20" s="21">
        <f>_xlfn.DAYS(CrowdfundingTable[[#This Row],[date_ended]],CrowdfundingTable[[#This Row],[date_created]])</f>
        <v>8</v>
      </c>
      <c r="R20" s="5" t="b">
        <v>0</v>
      </c>
      <c r="S20" s="5" t="b">
        <v>0</v>
      </c>
      <c r="T20" s="5" t="s">
        <v>33</v>
      </c>
      <c r="U20" s="5" t="s">
        <v>2040</v>
      </c>
      <c r="V20" s="5" t="s">
        <v>2055</v>
      </c>
      <c r="W20" s="5"/>
    </row>
    <row r="21" spans="1:23" ht="17" x14ac:dyDescent="0.2">
      <c r="A21" s="5">
        <v>19</v>
      </c>
      <c r="B21" s="5" t="s">
        <v>75</v>
      </c>
      <c r="C21" s="6" t="s">
        <v>76</v>
      </c>
      <c r="D21" s="94">
        <v>62500</v>
      </c>
      <c r="E21" s="94">
        <v>30331</v>
      </c>
      <c r="F21" s="7">
        <f t="shared" si="3"/>
        <v>0.48529600000000001</v>
      </c>
      <c r="G21" s="5" t="s">
        <v>14</v>
      </c>
      <c r="H21" s="5">
        <v>674</v>
      </c>
      <c r="I21" s="96">
        <f t="shared" si="0"/>
        <v>45.001483679525222</v>
      </c>
      <c r="J21" s="5" t="s">
        <v>21</v>
      </c>
      <c r="K21" s="5" t="s">
        <v>22</v>
      </c>
      <c r="L21" s="5">
        <v>1551679200</v>
      </c>
      <c r="M21" s="5">
        <v>1553490000</v>
      </c>
      <c r="N21" s="8">
        <f t="shared" si="2"/>
        <v>43528.25</v>
      </c>
      <c r="O21" s="8">
        <f t="shared" si="1"/>
        <v>43549.208333333328</v>
      </c>
      <c r="P21" s="21" t="str">
        <f>TEXT(CrowdfundingTable[[#This Row],[date_created]],"ddd")</f>
        <v>Mon</v>
      </c>
      <c r="Q21" s="21">
        <f>_xlfn.DAYS(CrowdfundingTable[[#This Row],[date_ended]],CrowdfundingTable[[#This Row],[date_created]])</f>
        <v>21</v>
      </c>
      <c r="R21" s="5" t="b">
        <v>0</v>
      </c>
      <c r="S21" s="5" t="b">
        <v>1</v>
      </c>
      <c r="T21" s="5" t="s">
        <v>33</v>
      </c>
      <c r="U21" s="5" t="s">
        <v>2040</v>
      </c>
      <c r="V21" s="5" t="s">
        <v>2055</v>
      </c>
      <c r="W21" s="5"/>
    </row>
    <row r="22" spans="1:23" ht="17" x14ac:dyDescent="0.2">
      <c r="A22" s="5">
        <v>20</v>
      </c>
      <c r="B22" s="5" t="s">
        <v>77</v>
      </c>
      <c r="C22" s="6" t="s">
        <v>78</v>
      </c>
      <c r="D22" s="94">
        <v>131800</v>
      </c>
      <c r="E22" s="94">
        <v>147936</v>
      </c>
      <c r="F22" s="7">
        <f t="shared" si="3"/>
        <v>1.1224279210925645</v>
      </c>
      <c r="G22" s="5" t="s">
        <v>20</v>
      </c>
      <c r="H22" s="5">
        <v>1396</v>
      </c>
      <c r="I22" s="96">
        <f t="shared" si="0"/>
        <v>105.97134670487107</v>
      </c>
      <c r="J22" s="5" t="s">
        <v>21</v>
      </c>
      <c r="K22" s="5" t="s">
        <v>22</v>
      </c>
      <c r="L22" s="5">
        <v>1406523600</v>
      </c>
      <c r="M22" s="5">
        <v>1406523600</v>
      </c>
      <c r="N22" s="8">
        <f t="shared" si="2"/>
        <v>41848.208333333336</v>
      </c>
      <c r="O22" s="8">
        <f t="shared" si="1"/>
        <v>41848.208333333336</v>
      </c>
      <c r="P22" s="21" t="str">
        <f>TEXT(CrowdfundingTable[[#This Row],[date_created]],"ddd")</f>
        <v>Mon</v>
      </c>
      <c r="Q22" s="21">
        <f>_xlfn.DAYS(CrowdfundingTable[[#This Row],[date_ended]],CrowdfundingTable[[#This Row],[date_created]])</f>
        <v>0</v>
      </c>
      <c r="R22" s="5" t="b">
        <v>0</v>
      </c>
      <c r="S22" s="5" t="b">
        <v>0</v>
      </c>
      <c r="T22" s="5" t="s">
        <v>53</v>
      </c>
      <c r="U22" s="5" t="s">
        <v>2032</v>
      </c>
      <c r="V22" s="5" t="s">
        <v>2045</v>
      </c>
      <c r="W22" s="5"/>
    </row>
    <row r="23" spans="1:23" ht="17" x14ac:dyDescent="0.2">
      <c r="A23" s="5">
        <v>21</v>
      </c>
      <c r="B23" s="5" t="s">
        <v>79</v>
      </c>
      <c r="C23" s="6" t="s">
        <v>80</v>
      </c>
      <c r="D23" s="94">
        <v>94000</v>
      </c>
      <c r="E23" s="94">
        <v>38533</v>
      </c>
      <c r="F23" s="7">
        <f t="shared" si="3"/>
        <v>0.40992553191489361</v>
      </c>
      <c r="G23" s="5" t="s">
        <v>14</v>
      </c>
      <c r="H23" s="5">
        <v>558</v>
      </c>
      <c r="I23" s="96">
        <f t="shared" si="0"/>
        <v>69.055555555555557</v>
      </c>
      <c r="J23" s="5" t="s">
        <v>21</v>
      </c>
      <c r="K23" s="5" t="s">
        <v>22</v>
      </c>
      <c r="L23" s="5">
        <v>1313384400</v>
      </c>
      <c r="M23" s="5">
        <v>1316322000</v>
      </c>
      <c r="N23" s="8">
        <f t="shared" si="2"/>
        <v>40770.208333333336</v>
      </c>
      <c r="O23" s="8">
        <f t="shared" si="1"/>
        <v>40804.208333333336</v>
      </c>
      <c r="P23" s="21" t="str">
        <f>TEXT(CrowdfundingTable[[#This Row],[date_created]],"ddd")</f>
        <v>Mon</v>
      </c>
      <c r="Q23" s="21">
        <f>_xlfn.DAYS(CrowdfundingTable[[#This Row],[date_ended]],CrowdfundingTable[[#This Row],[date_created]])</f>
        <v>34</v>
      </c>
      <c r="R23" s="5" t="b">
        <v>0</v>
      </c>
      <c r="S23" s="5" t="b">
        <v>0</v>
      </c>
      <c r="T23" s="5" t="s">
        <v>33</v>
      </c>
      <c r="U23" s="5" t="s">
        <v>2040</v>
      </c>
      <c r="V23" s="5" t="s">
        <v>2055</v>
      </c>
      <c r="W23" s="5"/>
    </row>
    <row r="24" spans="1:23" ht="17" x14ac:dyDescent="0.2">
      <c r="A24" s="5">
        <v>22</v>
      </c>
      <c r="B24" s="5" t="s">
        <v>81</v>
      </c>
      <c r="C24" s="6" t="s">
        <v>82</v>
      </c>
      <c r="D24" s="94">
        <v>59100</v>
      </c>
      <c r="E24" s="94">
        <v>75690</v>
      </c>
      <c r="F24" s="7">
        <f t="shared" si="3"/>
        <v>1.2807106598984772</v>
      </c>
      <c r="G24" s="5" t="s">
        <v>20</v>
      </c>
      <c r="H24" s="5">
        <v>890</v>
      </c>
      <c r="I24" s="96">
        <f t="shared" si="0"/>
        <v>85.044943820224717</v>
      </c>
      <c r="J24" s="5" t="s">
        <v>21</v>
      </c>
      <c r="K24" s="5" t="s">
        <v>22</v>
      </c>
      <c r="L24" s="5">
        <v>1522731600</v>
      </c>
      <c r="M24" s="5">
        <v>1524027600</v>
      </c>
      <c r="N24" s="8">
        <f t="shared" si="2"/>
        <v>43193.208333333328</v>
      </c>
      <c r="O24" s="8">
        <f t="shared" si="1"/>
        <v>43208.208333333328</v>
      </c>
      <c r="P24" s="21" t="str">
        <f>TEXT(CrowdfundingTable[[#This Row],[date_created]],"ddd")</f>
        <v>Tue</v>
      </c>
      <c r="Q24" s="21">
        <f>_xlfn.DAYS(CrowdfundingTable[[#This Row],[date_ended]],CrowdfundingTable[[#This Row],[date_created]])</f>
        <v>15</v>
      </c>
      <c r="R24" s="5" t="b">
        <v>0</v>
      </c>
      <c r="S24" s="5" t="b">
        <v>0</v>
      </c>
      <c r="T24" s="5" t="s">
        <v>33</v>
      </c>
      <c r="U24" s="5" t="s">
        <v>2040</v>
      </c>
      <c r="V24" s="5" t="s">
        <v>2055</v>
      </c>
      <c r="W24" s="5"/>
    </row>
    <row r="25" spans="1:23" ht="17" x14ac:dyDescent="0.2">
      <c r="A25" s="5">
        <v>23</v>
      </c>
      <c r="B25" s="5" t="s">
        <v>83</v>
      </c>
      <c r="C25" s="6" t="s">
        <v>84</v>
      </c>
      <c r="D25" s="94">
        <v>4500</v>
      </c>
      <c r="E25" s="94">
        <v>14942</v>
      </c>
      <c r="F25" s="7">
        <f t="shared" si="3"/>
        <v>3.3204444444444445</v>
      </c>
      <c r="G25" s="5" t="s">
        <v>20</v>
      </c>
      <c r="H25" s="5">
        <v>142</v>
      </c>
      <c r="I25" s="96">
        <f t="shared" si="0"/>
        <v>105.22535211267606</v>
      </c>
      <c r="J25" s="5" t="s">
        <v>40</v>
      </c>
      <c r="K25" s="5" t="s">
        <v>41</v>
      </c>
      <c r="L25" s="5">
        <v>1550124000</v>
      </c>
      <c r="M25" s="5">
        <v>1554699600</v>
      </c>
      <c r="N25" s="8">
        <f t="shared" si="2"/>
        <v>43510.25</v>
      </c>
      <c r="O25" s="8">
        <f t="shared" si="1"/>
        <v>43563.208333333328</v>
      </c>
      <c r="P25" s="21" t="str">
        <f>TEXT(CrowdfundingTable[[#This Row],[date_created]],"ddd")</f>
        <v>Thu</v>
      </c>
      <c r="Q25" s="21">
        <f>_xlfn.DAYS(CrowdfundingTable[[#This Row],[date_ended]],CrowdfundingTable[[#This Row],[date_created]])</f>
        <v>53</v>
      </c>
      <c r="R25" s="5" t="b">
        <v>0</v>
      </c>
      <c r="S25" s="5" t="b">
        <v>0</v>
      </c>
      <c r="T25" s="5" t="s">
        <v>42</v>
      </c>
      <c r="U25" s="5" t="s">
        <v>2032</v>
      </c>
      <c r="V25" s="5" t="s">
        <v>2044</v>
      </c>
      <c r="W25" s="5"/>
    </row>
    <row r="26" spans="1:23" ht="17" x14ac:dyDescent="0.2">
      <c r="A26" s="5">
        <v>24</v>
      </c>
      <c r="B26" s="5" t="s">
        <v>85</v>
      </c>
      <c r="C26" s="6" t="s">
        <v>86</v>
      </c>
      <c r="D26" s="94">
        <v>92400</v>
      </c>
      <c r="E26" s="94">
        <v>104257</v>
      </c>
      <c r="F26" s="7">
        <f t="shared" si="3"/>
        <v>1.1283225108225108</v>
      </c>
      <c r="G26" s="5" t="s">
        <v>20</v>
      </c>
      <c r="H26" s="5">
        <v>2673</v>
      </c>
      <c r="I26" s="96">
        <f t="shared" si="0"/>
        <v>39.003741114852225</v>
      </c>
      <c r="J26" s="5" t="s">
        <v>21</v>
      </c>
      <c r="K26" s="5" t="s">
        <v>22</v>
      </c>
      <c r="L26" s="5">
        <v>1403326800</v>
      </c>
      <c r="M26" s="5">
        <v>1403499600</v>
      </c>
      <c r="N26" s="8">
        <f t="shared" si="2"/>
        <v>41811.208333333336</v>
      </c>
      <c r="O26" s="8">
        <f t="shared" si="1"/>
        <v>41813.208333333336</v>
      </c>
      <c r="P26" s="21" t="str">
        <f>TEXT(CrowdfundingTable[[#This Row],[date_created]],"ddd")</f>
        <v>Sat</v>
      </c>
      <c r="Q26" s="21">
        <f>_xlfn.DAYS(CrowdfundingTable[[#This Row],[date_ended]],CrowdfundingTable[[#This Row],[date_created]])</f>
        <v>2</v>
      </c>
      <c r="R26" s="5" t="b">
        <v>0</v>
      </c>
      <c r="S26" s="5" t="b">
        <v>0</v>
      </c>
      <c r="T26" s="5" t="s">
        <v>65</v>
      </c>
      <c r="U26" s="5" t="s">
        <v>2039</v>
      </c>
      <c r="V26" s="5" t="s">
        <v>2063</v>
      </c>
      <c r="W26" s="5"/>
    </row>
    <row r="27" spans="1:23" ht="17" x14ac:dyDescent="0.2">
      <c r="A27" s="5">
        <v>25</v>
      </c>
      <c r="B27" s="5" t="s">
        <v>87</v>
      </c>
      <c r="C27" s="6" t="s">
        <v>88</v>
      </c>
      <c r="D27" s="94">
        <v>5500</v>
      </c>
      <c r="E27" s="94">
        <v>11904</v>
      </c>
      <c r="F27" s="7">
        <f t="shared" si="3"/>
        <v>2.1643636363636363</v>
      </c>
      <c r="G27" s="5" t="s">
        <v>20</v>
      </c>
      <c r="H27" s="5">
        <v>163</v>
      </c>
      <c r="I27" s="96">
        <f t="shared" si="0"/>
        <v>73.030674846625772</v>
      </c>
      <c r="J27" s="5" t="s">
        <v>21</v>
      </c>
      <c r="K27" s="5" t="s">
        <v>22</v>
      </c>
      <c r="L27" s="5">
        <v>1305694800</v>
      </c>
      <c r="M27" s="5">
        <v>1307422800</v>
      </c>
      <c r="N27" s="8">
        <f t="shared" si="2"/>
        <v>40681.208333333336</v>
      </c>
      <c r="O27" s="8">
        <f t="shared" si="1"/>
        <v>40701.208333333336</v>
      </c>
      <c r="P27" s="21" t="str">
        <f>TEXT(CrowdfundingTable[[#This Row],[date_created]],"ddd")</f>
        <v>Wed</v>
      </c>
      <c r="Q27" s="21">
        <f>_xlfn.DAYS(CrowdfundingTable[[#This Row],[date_ended]],CrowdfundingTable[[#This Row],[date_created]])</f>
        <v>20</v>
      </c>
      <c r="R27" s="5" t="b">
        <v>0</v>
      </c>
      <c r="S27" s="5" t="b">
        <v>1</v>
      </c>
      <c r="T27" s="5" t="s">
        <v>89</v>
      </c>
      <c r="U27" s="5" t="s">
        <v>2034</v>
      </c>
      <c r="V27" s="5" t="s">
        <v>2062</v>
      </c>
      <c r="W27" s="5"/>
    </row>
    <row r="28" spans="1:23" ht="17" x14ac:dyDescent="0.2">
      <c r="A28" s="5">
        <v>26</v>
      </c>
      <c r="B28" s="5" t="s">
        <v>90</v>
      </c>
      <c r="C28" s="6" t="s">
        <v>91</v>
      </c>
      <c r="D28" s="94">
        <v>107500</v>
      </c>
      <c r="E28" s="94">
        <v>51814</v>
      </c>
      <c r="F28" s="7">
        <f t="shared" si="3"/>
        <v>0.4819906976744186</v>
      </c>
      <c r="G28" s="5" t="s">
        <v>74</v>
      </c>
      <c r="H28" s="5">
        <v>1480</v>
      </c>
      <c r="I28" s="96">
        <f t="shared" si="0"/>
        <v>35.009459459459457</v>
      </c>
      <c r="J28" s="5" t="s">
        <v>21</v>
      </c>
      <c r="K28" s="5" t="s">
        <v>22</v>
      </c>
      <c r="L28" s="5">
        <v>1533013200</v>
      </c>
      <c r="M28" s="5">
        <v>1535346000</v>
      </c>
      <c r="N28" s="8">
        <f t="shared" si="2"/>
        <v>43312.208333333328</v>
      </c>
      <c r="O28" s="8">
        <f t="shared" si="1"/>
        <v>43339.208333333328</v>
      </c>
      <c r="P28" s="21" t="str">
        <f>TEXT(CrowdfundingTable[[#This Row],[date_created]],"ddd")</f>
        <v>Tue</v>
      </c>
      <c r="Q28" s="21">
        <f>_xlfn.DAYS(CrowdfundingTable[[#This Row],[date_ended]],CrowdfundingTable[[#This Row],[date_created]])</f>
        <v>27</v>
      </c>
      <c r="R28" s="5" t="b">
        <v>0</v>
      </c>
      <c r="S28" s="5" t="b">
        <v>0</v>
      </c>
      <c r="T28" s="5" t="s">
        <v>33</v>
      </c>
      <c r="U28" s="5" t="s">
        <v>2040</v>
      </c>
      <c r="V28" s="5" t="s">
        <v>2055</v>
      </c>
      <c r="W28" s="5"/>
    </row>
    <row r="29" spans="1:23" ht="17" x14ac:dyDescent="0.2">
      <c r="A29" s="5">
        <v>27</v>
      </c>
      <c r="B29" s="5" t="s">
        <v>92</v>
      </c>
      <c r="C29" s="6" t="s">
        <v>93</v>
      </c>
      <c r="D29" s="94">
        <v>2000</v>
      </c>
      <c r="E29" s="94">
        <v>1599</v>
      </c>
      <c r="F29" s="7">
        <f t="shared" si="3"/>
        <v>0.79949999999999999</v>
      </c>
      <c r="G29" s="5" t="s">
        <v>14</v>
      </c>
      <c r="H29" s="5">
        <v>15</v>
      </c>
      <c r="I29" s="96">
        <f t="shared" si="0"/>
        <v>106.6</v>
      </c>
      <c r="J29" s="5" t="s">
        <v>21</v>
      </c>
      <c r="K29" s="5" t="s">
        <v>22</v>
      </c>
      <c r="L29" s="5">
        <v>1443848400</v>
      </c>
      <c r="M29" s="5">
        <v>1444539600</v>
      </c>
      <c r="N29" s="8">
        <f t="shared" si="2"/>
        <v>42280.208333333328</v>
      </c>
      <c r="O29" s="8">
        <f t="shared" si="1"/>
        <v>42288.208333333328</v>
      </c>
      <c r="P29" s="21" t="str">
        <f>TEXT(CrowdfundingTable[[#This Row],[date_created]],"ddd")</f>
        <v>Sat</v>
      </c>
      <c r="Q29" s="21">
        <f>_xlfn.DAYS(CrowdfundingTable[[#This Row],[date_ended]],CrowdfundingTable[[#This Row],[date_created]])</f>
        <v>8</v>
      </c>
      <c r="R29" s="5" t="b">
        <v>0</v>
      </c>
      <c r="S29" s="5" t="b">
        <v>0</v>
      </c>
      <c r="T29" s="5" t="s">
        <v>23</v>
      </c>
      <c r="U29" s="5" t="s">
        <v>2036</v>
      </c>
      <c r="V29" s="5" t="s">
        <v>2057</v>
      </c>
      <c r="W29" s="5"/>
    </row>
    <row r="30" spans="1:23" ht="17" x14ac:dyDescent="0.2">
      <c r="A30" s="5">
        <v>28</v>
      </c>
      <c r="B30" s="5" t="s">
        <v>94</v>
      </c>
      <c r="C30" s="6" t="s">
        <v>95</v>
      </c>
      <c r="D30" s="94">
        <v>130800</v>
      </c>
      <c r="E30" s="94">
        <v>137635</v>
      </c>
      <c r="F30" s="7">
        <f t="shared" si="3"/>
        <v>1.0522553516819573</v>
      </c>
      <c r="G30" s="5" t="s">
        <v>20</v>
      </c>
      <c r="H30" s="5">
        <v>2220</v>
      </c>
      <c r="I30" s="96">
        <f t="shared" si="0"/>
        <v>61.997747747747745</v>
      </c>
      <c r="J30" s="5" t="s">
        <v>21</v>
      </c>
      <c r="K30" s="5" t="s">
        <v>22</v>
      </c>
      <c r="L30" s="5">
        <v>1265695200</v>
      </c>
      <c r="M30" s="5">
        <v>1267682400</v>
      </c>
      <c r="N30" s="8">
        <f t="shared" si="2"/>
        <v>40218.25</v>
      </c>
      <c r="O30" s="8">
        <f t="shared" si="1"/>
        <v>40241.25</v>
      </c>
      <c r="P30" s="21" t="str">
        <f>TEXT(CrowdfundingTable[[#This Row],[date_created]],"ddd")</f>
        <v>Tue</v>
      </c>
      <c r="Q30" s="21">
        <f>_xlfn.DAYS(CrowdfundingTable[[#This Row],[date_ended]],CrowdfundingTable[[#This Row],[date_created]])</f>
        <v>23</v>
      </c>
      <c r="R30" s="5" t="b">
        <v>0</v>
      </c>
      <c r="S30" s="5" t="b">
        <v>1</v>
      </c>
      <c r="T30" s="5" t="s">
        <v>33</v>
      </c>
      <c r="U30" s="5" t="s">
        <v>2040</v>
      </c>
      <c r="V30" s="5" t="s">
        <v>2055</v>
      </c>
      <c r="W30" s="5"/>
    </row>
    <row r="31" spans="1:23" ht="17" x14ac:dyDescent="0.2">
      <c r="A31" s="5">
        <v>29</v>
      </c>
      <c r="B31" s="5" t="s">
        <v>96</v>
      </c>
      <c r="C31" s="6" t="s">
        <v>97</v>
      </c>
      <c r="D31" s="94">
        <v>45900</v>
      </c>
      <c r="E31" s="94">
        <v>150965</v>
      </c>
      <c r="F31" s="7">
        <f t="shared" si="3"/>
        <v>3.2889978213507627</v>
      </c>
      <c r="G31" s="5" t="s">
        <v>20</v>
      </c>
      <c r="H31" s="5">
        <v>1606</v>
      </c>
      <c r="I31" s="96">
        <f t="shared" si="0"/>
        <v>94.000622665006233</v>
      </c>
      <c r="J31" s="5" t="s">
        <v>98</v>
      </c>
      <c r="K31" s="5" t="s">
        <v>99</v>
      </c>
      <c r="L31" s="5">
        <v>1532062800</v>
      </c>
      <c r="M31" s="5">
        <v>1535518800</v>
      </c>
      <c r="N31" s="8">
        <f t="shared" si="2"/>
        <v>43301.208333333328</v>
      </c>
      <c r="O31" s="8">
        <f t="shared" si="1"/>
        <v>43341.208333333328</v>
      </c>
      <c r="P31" s="21" t="str">
        <f>TEXT(CrowdfundingTable[[#This Row],[date_created]],"ddd")</f>
        <v>Fri</v>
      </c>
      <c r="Q31" s="21">
        <f>_xlfn.DAYS(CrowdfundingTable[[#This Row],[date_ended]],CrowdfundingTable[[#This Row],[date_created]])</f>
        <v>40</v>
      </c>
      <c r="R31" s="5" t="b">
        <v>0</v>
      </c>
      <c r="S31" s="5" t="b">
        <v>0</v>
      </c>
      <c r="T31" s="5" t="s">
        <v>100</v>
      </c>
      <c r="U31" s="5" t="s">
        <v>2032</v>
      </c>
      <c r="V31" s="5" t="s">
        <v>2059</v>
      </c>
      <c r="W31" s="5"/>
    </row>
    <row r="32" spans="1:23" ht="17" x14ac:dyDescent="0.2">
      <c r="A32" s="5">
        <v>30</v>
      </c>
      <c r="B32" s="5" t="s">
        <v>101</v>
      </c>
      <c r="C32" s="6" t="s">
        <v>102</v>
      </c>
      <c r="D32" s="94">
        <v>9000</v>
      </c>
      <c r="E32" s="94">
        <v>14455</v>
      </c>
      <c r="F32" s="7">
        <f t="shared" si="3"/>
        <v>1.606111111111111</v>
      </c>
      <c r="G32" s="5" t="s">
        <v>20</v>
      </c>
      <c r="H32" s="5">
        <v>129</v>
      </c>
      <c r="I32" s="96">
        <f t="shared" si="0"/>
        <v>112.05426356589147</v>
      </c>
      <c r="J32" s="5" t="s">
        <v>21</v>
      </c>
      <c r="K32" s="5" t="s">
        <v>22</v>
      </c>
      <c r="L32" s="5">
        <v>1558674000</v>
      </c>
      <c r="M32" s="5">
        <v>1559106000</v>
      </c>
      <c r="N32" s="8">
        <f t="shared" si="2"/>
        <v>43609.208333333328</v>
      </c>
      <c r="O32" s="8">
        <f t="shared" si="1"/>
        <v>43614.208333333328</v>
      </c>
      <c r="P32" s="21" t="str">
        <f>TEXT(CrowdfundingTable[[#This Row],[date_created]],"ddd")</f>
        <v>Fri</v>
      </c>
      <c r="Q32" s="21">
        <f>_xlfn.DAYS(CrowdfundingTable[[#This Row],[date_ended]],CrowdfundingTable[[#This Row],[date_created]])</f>
        <v>5</v>
      </c>
      <c r="R32" s="5" t="b">
        <v>0</v>
      </c>
      <c r="S32" s="5" t="b">
        <v>0</v>
      </c>
      <c r="T32" s="5" t="s">
        <v>71</v>
      </c>
      <c r="U32" s="5" t="s">
        <v>2032</v>
      </c>
      <c r="V32" s="5" t="s">
        <v>2042</v>
      </c>
      <c r="W32" s="5"/>
    </row>
    <row r="33" spans="1:23" ht="17" x14ac:dyDescent="0.2">
      <c r="A33" s="5">
        <v>31</v>
      </c>
      <c r="B33" s="5" t="s">
        <v>103</v>
      </c>
      <c r="C33" s="6" t="s">
        <v>104</v>
      </c>
      <c r="D33" s="94">
        <v>3500</v>
      </c>
      <c r="E33" s="94">
        <v>10850</v>
      </c>
      <c r="F33" s="7">
        <f t="shared" si="3"/>
        <v>3.1</v>
      </c>
      <c r="G33" s="5" t="s">
        <v>20</v>
      </c>
      <c r="H33" s="5">
        <v>226</v>
      </c>
      <c r="I33" s="96">
        <f t="shared" si="0"/>
        <v>48.008849557522126</v>
      </c>
      <c r="J33" s="5" t="s">
        <v>40</v>
      </c>
      <c r="K33" s="5" t="s">
        <v>41</v>
      </c>
      <c r="L33" s="5">
        <v>1451973600</v>
      </c>
      <c r="M33" s="5">
        <v>1454392800</v>
      </c>
      <c r="N33" s="8">
        <f t="shared" si="2"/>
        <v>42374.25</v>
      </c>
      <c r="O33" s="8">
        <f t="shared" si="1"/>
        <v>42402.25</v>
      </c>
      <c r="P33" s="21" t="str">
        <f>TEXT(CrowdfundingTable[[#This Row],[date_created]],"ddd")</f>
        <v>Tue</v>
      </c>
      <c r="Q33" s="21">
        <f>_xlfn.DAYS(CrowdfundingTable[[#This Row],[date_ended]],CrowdfundingTable[[#This Row],[date_created]])</f>
        <v>28</v>
      </c>
      <c r="R33" s="5" t="b">
        <v>0</v>
      </c>
      <c r="S33" s="5" t="b">
        <v>0</v>
      </c>
      <c r="T33" s="5" t="s">
        <v>89</v>
      </c>
      <c r="U33" s="5" t="s">
        <v>2034</v>
      </c>
      <c r="V33" s="5" t="s">
        <v>2062</v>
      </c>
      <c r="W33" s="5"/>
    </row>
    <row r="34" spans="1:23" ht="17" x14ac:dyDescent="0.2">
      <c r="A34" s="5">
        <v>32</v>
      </c>
      <c r="B34" s="5" t="s">
        <v>105</v>
      </c>
      <c r="C34" s="6" t="s">
        <v>106</v>
      </c>
      <c r="D34" s="94">
        <v>101000</v>
      </c>
      <c r="E34" s="94">
        <v>87676</v>
      </c>
      <c r="F34" s="7">
        <f t="shared" si="3"/>
        <v>0.86807920792079207</v>
      </c>
      <c r="G34" s="5" t="s">
        <v>14</v>
      </c>
      <c r="H34" s="5">
        <v>2307</v>
      </c>
      <c r="I34" s="96">
        <f t="shared" si="0"/>
        <v>38.004334633723452</v>
      </c>
      <c r="J34" s="5" t="s">
        <v>107</v>
      </c>
      <c r="K34" s="5" t="s">
        <v>108</v>
      </c>
      <c r="L34" s="5">
        <v>1515564000</v>
      </c>
      <c r="M34" s="5">
        <v>1517896800</v>
      </c>
      <c r="N34" s="8">
        <f t="shared" si="2"/>
        <v>43110.25</v>
      </c>
      <c r="O34" s="8">
        <f t="shared" si="1"/>
        <v>43137.25</v>
      </c>
      <c r="P34" s="21" t="str">
        <f>TEXT(CrowdfundingTable[[#This Row],[date_created]],"ddd")</f>
        <v>Wed</v>
      </c>
      <c r="Q34" s="21">
        <f>_xlfn.DAYS(CrowdfundingTable[[#This Row],[date_ended]],CrowdfundingTable[[#This Row],[date_created]])</f>
        <v>27</v>
      </c>
      <c r="R34" s="5" t="b">
        <v>0</v>
      </c>
      <c r="S34" s="5" t="b">
        <v>0</v>
      </c>
      <c r="T34" s="5" t="s">
        <v>42</v>
      </c>
      <c r="U34" s="5" t="s">
        <v>2032</v>
      </c>
      <c r="V34" s="5" t="s">
        <v>2044</v>
      </c>
      <c r="W34" s="5"/>
    </row>
    <row r="35" spans="1:23" ht="17" x14ac:dyDescent="0.2">
      <c r="A35" s="5">
        <v>33</v>
      </c>
      <c r="B35" s="5" t="s">
        <v>109</v>
      </c>
      <c r="C35" s="6" t="s">
        <v>110</v>
      </c>
      <c r="D35" s="94">
        <v>50200</v>
      </c>
      <c r="E35" s="94">
        <v>189666</v>
      </c>
      <c r="F35" s="7">
        <f t="shared" si="3"/>
        <v>3.7782071713147412</v>
      </c>
      <c r="G35" s="5" t="s">
        <v>20</v>
      </c>
      <c r="H35" s="5">
        <v>5419</v>
      </c>
      <c r="I35" s="96">
        <f t="shared" si="0"/>
        <v>35.000184535892231</v>
      </c>
      <c r="J35" s="5" t="s">
        <v>21</v>
      </c>
      <c r="K35" s="5" t="s">
        <v>22</v>
      </c>
      <c r="L35" s="5">
        <v>1412485200</v>
      </c>
      <c r="M35" s="5">
        <v>1415685600</v>
      </c>
      <c r="N35" s="8">
        <f t="shared" si="2"/>
        <v>41917.208333333336</v>
      </c>
      <c r="O35" s="8">
        <f t="shared" si="1"/>
        <v>41954.25</v>
      </c>
      <c r="P35" s="21" t="str">
        <f>TEXT(CrowdfundingTable[[#This Row],[date_created]],"ddd")</f>
        <v>Sun</v>
      </c>
      <c r="Q35" s="21">
        <f>_xlfn.DAYS(CrowdfundingTable[[#This Row],[date_ended]],CrowdfundingTable[[#This Row],[date_created]])</f>
        <v>37</v>
      </c>
      <c r="R35" s="5" t="b">
        <v>0</v>
      </c>
      <c r="S35" s="5" t="b">
        <v>0</v>
      </c>
      <c r="T35" s="5" t="s">
        <v>33</v>
      </c>
      <c r="U35" s="5" t="s">
        <v>2040</v>
      </c>
      <c r="V35" s="5" t="s">
        <v>2055</v>
      </c>
      <c r="W35" s="5"/>
    </row>
    <row r="36" spans="1:23" ht="34" x14ac:dyDescent="0.2">
      <c r="A36" s="5">
        <v>34</v>
      </c>
      <c r="B36" s="5" t="s">
        <v>111</v>
      </c>
      <c r="C36" s="6" t="s">
        <v>112</v>
      </c>
      <c r="D36" s="94">
        <v>9300</v>
      </c>
      <c r="E36" s="94">
        <v>14025</v>
      </c>
      <c r="F36" s="7">
        <f t="shared" si="3"/>
        <v>1.5080645161290323</v>
      </c>
      <c r="G36" s="5" t="s">
        <v>20</v>
      </c>
      <c r="H36" s="5">
        <v>165</v>
      </c>
      <c r="I36" s="96">
        <f t="shared" si="0"/>
        <v>85</v>
      </c>
      <c r="J36" s="5" t="s">
        <v>21</v>
      </c>
      <c r="K36" s="5" t="s">
        <v>22</v>
      </c>
      <c r="L36" s="5">
        <v>1490245200</v>
      </c>
      <c r="M36" s="5">
        <v>1490677200</v>
      </c>
      <c r="N36" s="8">
        <f t="shared" si="2"/>
        <v>42817.208333333328</v>
      </c>
      <c r="O36" s="8">
        <f t="shared" si="1"/>
        <v>42822.208333333328</v>
      </c>
      <c r="P36" s="21" t="str">
        <f>TEXT(CrowdfundingTable[[#This Row],[date_created]],"ddd")</f>
        <v>Thu</v>
      </c>
      <c r="Q36" s="21">
        <f>_xlfn.DAYS(CrowdfundingTable[[#This Row],[date_ended]],CrowdfundingTable[[#This Row],[date_created]])</f>
        <v>5</v>
      </c>
      <c r="R36" s="5" t="b">
        <v>0</v>
      </c>
      <c r="S36" s="5" t="b">
        <v>0</v>
      </c>
      <c r="T36" s="5" t="s">
        <v>42</v>
      </c>
      <c r="U36" s="5" t="s">
        <v>2032</v>
      </c>
      <c r="V36" s="5" t="s">
        <v>2044</v>
      </c>
      <c r="W36" s="5"/>
    </row>
    <row r="37" spans="1:23" ht="17" x14ac:dyDescent="0.2">
      <c r="A37" s="5">
        <v>35</v>
      </c>
      <c r="B37" s="5" t="s">
        <v>113</v>
      </c>
      <c r="C37" s="6" t="s">
        <v>114</v>
      </c>
      <c r="D37" s="94">
        <v>125500</v>
      </c>
      <c r="E37" s="94">
        <v>188628</v>
      </c>
      <c r="F37" s="7">
        <f t="shared" si="3"/>
        <v>1.5030119521912351</v>
      </c>
      <c r="G37" s="5" t="s">
        <v>20</v>
      </c>
      <c r="H37" s="5">
        <v>1965</v>
      </c>
      <c r="I37" s="96">
        <f t="shared" si="0"/>
        <v>95.993893129770996</v>
      </c>
      <c r="J37" s="5" t="s">
        <v>36</v>
      </c>
      <c r="K37" s="5" t="s">
        <v>37</v>
      </c>
      <c r="L37" s="5">
        <v>1547877600</v>
      </c>
      <c r="M37" s="5">
        <v>1551506400</v>
      </c>
      <c r="N37" s="8">
        <f t="shared" si="2"/>
        <v>43484.25</v>
      </c>
      <c r="O37" s="8">
        <f t="shared" si="1"/>
        <v>43526.25</v>
      </c>
      <c r="P37" s="21" t="str">
        <f>TEXT(CrowdfundingTable[[#This Row],[date_created]],"ddd")</f>
        <v>Sat</v>
      </c>
      <c r="Q37" s="21">
        <f>_xlfn.DAYS(CrowdfundingTable[[#This Row],[date_ended]],CrowdfundingTable[[#This Row],[date_created]])</f>
        <v>42</v>
      </c>
      <c r="R37" s="5" t="b">
        <v>0</v>
      </c>
      <c r="S37" s="5" t="b">
        <v>1</v>
      </c>
      <c r="T37" s="5" t="s">
        <v>53</v>
      </c>
      <c r="U37" s="5" t="s">
        <v>2032</v>
      </c>
      <c r="V37" s="5" t="s">
        <v>2045</v>
      </c>
      <c r="W37" s="5"/>
    </row>
    <row r="38" spans="1:23" ht="17" x14ac:dyDescent="0.2">
      <c r="A38" s="5">
        <v>36</v>
      </c>
      <c r="B38" s="5" t="s">
        <v>115</v>
      </c>
      <c r="C38" s="6" t="s">
        <v>116</v>
      </c>
      <c r="D38" s="94">
        <v>700</v>
      </c>
      <c r="E38" s="94">
        <v>1101</v>
      </c>
      <c r="F38" s="7">
        <f t="shared" si="3"/>
        <v>1.572857142857143</v>
      </c>
      <c r="G38" s="5" t="s">
        <v>20</v>
      </c>
      <c r="H38" s="5">
        <v>16</v>
      </c>
      <c r="I38" s="96">
        <f t="shared" si="0"/>
        <v>68.8125</v>
      </c>
      <c r="J38" s="5" t="s">
        <v>21</v>
      </c>
      <c r="K38" s="5" t="s">
        <v>22</v>
      </c>
      <c r="L38" s="5">
        <v>1298700000</v>
      </c>
      <c r="M38" s="5">
        <v>1300856400</v>
      </c>
      <c r="N38" s="8">
        <f t="shared" si="2"/>
        <v>40600.25</v>
      </c>
      <c r="O38" s="8">
        <f t="shared" si="1"/>
        <v>40625.208333333336</v>
      </c>
      <c r="P38" s="21" t="str">
        <f>TEXT(CrowdfundingTable[[#This Row],[date_created]],"ddd")</f>
        <v>Sat</v>
      </c>
      <c r="Q38" s="21">
        <f>_xlfn.DAYS(CrowdfundingTable[[#This Row],[date_ended]],CrowdfundingTable[[#This Row],[date_created]])</f>
        <v>25</v>
      </c>
      <c r="R38" s="5" t="b">
        <v>0</v>
      </c>
      <c r="S38" s="5" t="b">
        <v>0</v>
      </c>
      <c r="T38" s="5" t="s">
        <v>33</v>
      </c>
      <c r="U38" s="5" t="s">
        <v>2040</v>
      </c>
      <c r="V38" s="5" t="s">
        <v>2055</v>
      </c>
      <c r="W38" s="5"/>
    </row>
    <row r="39" spans="1:23" ht="34" x14ac:dyDescent="0.2">
      <c r="A39" s="5">
        <v>37</v>
      </c>
      <c r="B39" s="5" t="s">
        <v>117</v>
      </c>
      <c r="C39" s="6" t="s">
        <v>118</v>
      </c>
      <c r="D39" s="94">
        <v>8100</v>
      </c>
      <c r="E39" s="94">
        <v>11339</v>
      </c>
      <c r="F39" s="7">
        <f t="shared" si="3"/>
        <v>1.3998765432098765</v>
      </c>
      <c r="G39" s="5" t="s">
        <v>20</v>
      </c>
      <c r="H39" s="5">
        <v>107</v>
      </c>
      <c r="I39" s="96">
        <f t="shared" si="0"/>
        <v>105.97196261682242</v>
      </c>
      <c r="J39" s="5" t="s">
        <v>21</v>
      </c>
      <c r="K39" s="5" t="s">
        <v>22</v>
      </c>
      <c r="L39" s="5">
        <v>1570338000</v>
      </c>
      <c r="M39" s="5">
        <v>1573192800</v>
      </c>
      <c r="N39" s="8">
        <f t="shared" si="2"/>
        <v>43744.208333333328</v>
      </c>
      <c r="O39" s="8">
        <f t="shared" si="1"/>
        <v>43777.25</v>
      </c>
      <c r="P39" s="21" t="str">
        <f>TEXT(CrowdfundingTable[[#This Row],[date_created]],"ddd")</f>
        <v>Sun</v>
      </c>
      <c r="Q39" s="21">
        <f>_xlfn.DAYS(CrowdfundingTable[[#This Row],[date_ended]],CrowdfundingTable[[#This Row],[date_created]])</f>
        <v>33</v>
      </c>
      <c r="R39" s="5" t="b">
        <v>0</v>
      </c>
      <c r="S39" s="5" t="b">
        <v>1</v>
      </c>
      <c r="T39" s="5" t="s">
        <v>119</v>
      </c>
      <c r="U39" s="5" t="s">
        <v>2038</v>
      </c>
      <c r="V39" s="5" t="s">
        <v>2047</v>
      </c>
      <c r="W39" s="5"/>
    </row>
    <row r="40" spans="1:23" ht="17" x14ac:dyDescent="0.2">
      <c r="A40" s="5">
        <v>38</v>
      </c>
      <c r="B40" s="5" t="s">
        <v>120</v>
      </c>
      <c r="C40" s="6" t="s">
        <v>121</v>
      </c>
      <c r="D40" s="94">
        <v>3100</v>
      </c>
      <c r="E40" s="94">
        <v>10085</v>
      </c>
      <c r="F40" s="7">
        <f t="shared" si="3"/>
        <v>3.2532258064516131</v>
      </c>
      <c r="G40" s="5" t="s">
        <v>20</v>
      </c>
      <c r="H40" s="5">
        <v>134</v>
      </c>
      <c r="I40" s="96">
        <f t="shared" si="0"/>
        <v>75.261194029850742</v>
      </c>
      <c r="J40" s="5" t="s">
        <v>21</v>
      </c>
      <c r="K40" s="5" t="s">
        <v>22</v>
      </c>
      <c r="L40" s="5">
        <v>1287378000</v>
      </c>
      <c r="M40" s="5">
        <v>1287810000</v>
      </c>
      <c r="N40" s="8">
        <f t="shared" si="2"/>
        <v>40469.208333333336</v>
      </c>
      <c r="O40" s="8">
        <f t="shared" si="1"/>
        <v>40474.208333333336</v>
      </c>
      <c r="P40" s="21" t="str">
        <f>TEXT(CrowdfundingTable[[#This Row],[date_created]],"ddd")</f>
        <v>Mon</v>
      </c>
      <c r="Q40" s="21">
        <f>_xlfn.DAYS(CrowdfundingTable[[#This Row],[date_ended]],CrowdfundingTable[[#This Row],[date_created]])</f>
        <v>5</v>
      </c>
      <c r="R40" s="5" t="b">
        <v>0</v>
      </c>
      <c r="S40" s="5" t="b">
        <v>0</v>
      </c>
      <c r="T40" s="5" t="s">
        <v>122</v>
      </c>
      <c r="U40" s="5" t="s">
        <v>2037</v>
      </c>
      <c r="V40" s="5" t="s">
        <v>2054</v>
      </c>
      <c r="W40" s="5"/>
    </row>
    <row r="41" spans="1:23" ht="17" x14ac:dyDescent="0.2">
      <c r="A41" s="5">
        <v>39</v>
      </c>
      <c r="B41" s="5" t="s">
        <v>123</v>
      </c>
      <c r="C41" s="6" t="s">
        <v>124</v>
      </c>
      <c r="D41" s="94">
        <v>9900</v>
      </c>
      <c r="E41" s="94">
        <v>5027</v>
      </c>
      <c r="F41" s="7">
        <f t="shared" si="3"/>
        <v>0.50777777777777777</v>
      </c>
      <c r="G41" s="5" t="s">
        <v>14</v>
      </c>
      <c r="H41" s="5">
        <v>88</v>
      </c>
      <c r="I41" s="96">
        <f t="shared" si="0"/>
        <v>57.125</v>
      </c>
      <c r="J41" s="5" t="s">
        <v>36</v>
      </c>
      <c r="K41" s="5" t="s">
        <v>37</v>
      </c>
      <c r="L41" s="5">
        <v>1361772000</v>
      </c>
      <c r="M41" s="5">
        <v>1362978000</v>
      </c>
      <c r="N41" s="8">
        <f t="shared" si="2"/>
        <v>41330.25</v>
      </c>
      <c r="O41" s="8">
        <f t="shared" si="1"/>
        <v>41344.208333333336</v>
      </c>
      <c r="P41" s="21" t="str">
        <f>TEXT(CrowdfundingTable[[#This Row],[date_created]],"ddd")</f>
        <v>Mon</v>
      </c>
      <c r="Q41" s="21">
        <f>_xlfn.DAYS(CrowdfundingTable[[#This Row],[date_ended]],CrowdfundingTable[[#This Row],[date_created]])</f>
        <v>14</v>
      </c>
      <c r="R41" s="5" t="b">
        <v>0</v>
      </c>
      <c r="S41" s="5" t="b">
        <v>0</v>
      </c>
      <c r="T41" s="5" t="s">
        <v>33</v>
      </c>
      <c r="U41" s="5" t="s">
        <v>2040</v>
      </c>
      <c r="V41" s="5" t="s">
        <v>2055</v>
      </c>
      <c r="W41" s="5"/>
    </row>
    <row r="42" spans="1:23" ht="17" x14ac:dyDescent="0.2">
      <c r="A42" s="5">
        <v>40</v>
      </c>
      <c r="B42" s="5" t="s">
        <v>125</v>
      </c>
      <c r="C42" s="6" t="s">
        <v>126</v>
      </c>
      <c r="D42" s="94">
        <v>8800</v>
      </c>
      <c r="E42" s="94">
        <v>14878</v>
      </c>
      <c r="F42" s="7">
        <f t="shared" si="3"/>
        <v>1.6906818181818182</v>
      </c>
      <c r="G42" s="5" t="s">
        <v>20</v>
      </c>
      <c r="H42" s="5">
        <v>198</v>
      </c>
      <c r="I42" s="96">
        <f t="shared" si="0"/>
        <v>75.141414141414145</v>
      </c>
      <c r="J42" s="5" t="s">
        <v>21</v>
      </c>
      <c r="K42" s="5" t="s">
        <v>22</v>
      </c>
      <c r="L42" s="5">
        <v>1275714000</v>
      </c>
      <c r="M42" s="5">
        <v>1277355600</v>
      </c>
      <c r="N42" s="8">
        <f t="shared" si="2"/>
        <v>40334.208333333336</v>
      </c>
      <c r="O42" s="8">
        <f t="shared" si="1"/>
        <v>40353.208333333336</v>
      </c>
      <c r="P42" s="21" t="str">
        <f>TEXT(CrowdfundingTable[[#This Row],[date_created]],"ddd")</f>
        <v>Sat</v>
      </c>
      <c r="Q42" s="21">
        <f>_xlfn.DAYS(CrowdfundingTable[[#This Row],[date_ended]],CrowdfundingTable[[#This Row],[date_created]])</f>
        <v>19</v>
      </c>
      <c r="R42" s="5" t="b">
        <v>0</v>
      </c>
      <c r="S42" s="5" t="b">
        <v>1</v>
      </c>
      <c r="T42" s="5" t="s">
        <v>65</v>
      </c>
      <c r="U42" s="5" t="s">
        <v>2039</v>
      </c>
      <c r="V42" s="5" t="s">
        <v>2063</v>
      </c>
      <c r="W42" s="5"/>
    </row>
    <row r="43" spans="1:23" ht="17" x14ac:dyDescent="0.2">
      <c r="A43" s="5">
        <v>41</v>
      </c>
      <c r="B43" s="5" t="s">
        <v>127</v>
      </c>
      <c r="C43" s="6" t="s">
        <v>128</v>
      </c>
      <c r="D43" s="94">
        <v>5600</v>
      </c>
      <c r="E43" s="94">
        <v>11924</v>
      </c>
      <c r="F43" s="7">
        <f t="shared" si="3"/>
        <v>2.1292857142857144</v>
      </c>
      <c r="G43" s="5" t="s">
        <v>20</v>
      </c>
      <c r="H43" s="5">
        <v>111</v>
      </c>
      <c r="I43" s="96">
        <f t="shared" si="0"/>
        <v>107.42342342342343</v>
      </c>
      <c r="J43" s="5" t="s">
        <v>107</v>
      </c>
      <c r="K43" s="5" t="s">
        <v>108</v>
      </c>
      <c r="L43" s="5">
        <v>1346734800</v>
      </c>
      <c r="M43" s="5">
        <v>1348981200</v>
      </c>
      <c r="N43" s="8">
        <f t="shared" si="2"/>
        <v>41156.208333333336</v>
      </c>
      <c r="O43" s="8">
        <f t="shared" si="1"/>
        <v>41182.208333333336</v>
      </c>
      <c r="P43" s="21" t="str">
        <f>TEXT(CrowdfundingTable[[#This Row],[date_created]],"ddd")</f>
        <v>Tue</v>
      </c>
      <c r="Q43" s="21">
        <f>_xlfn.DAYS(CrowdfundingTable[[#This Row],[date_ended]],CrowdfundingTable[[#This Row],[date_created]])</f>
        <v>26</v>
      </c>
      <c r="R43" s="5" t="b">
        <v>0</v>
      </c>
      <c r="S43" s="5" t="b">
        <v>1</v>
      </c>
      <c r="T43" s="5" t="s">
        <v>23</v>
      </c>
      <c r="U43" s="5" t="s">
        <v>2036</v>
      </c>
      <c r="V43" s="5" t="s">
        <v>2057</v>
      </c>
      <c r="W43" s="5"/>
    </row>
    <row r="44" spans="1:23" ht="17" x14ac:dyDescent="0.2">
      <c r="A44" s="5">
        <v>42</v>
      </c>
      <c r="B44" s="5" t="s">
        <v>129</v>
      </c>
      <c r="C44" s="6" t="s">
        <v>130</v>
      </c>
      <c r="D44" s="94">
        <v>1800</v>
      </c>
      <c r="E44" s="94">
        <v>7991</v>
      </c>
      <c r="F44" s="7">
        <f t="shared" si="3"/>
        <v>4.4394444444444447</v>
      </c>
      <c r="G44" s="5" t="s">
        <v>20</v>
      </c>
      <c r="H44" s="5">
        <v>222</v>
      </c>
      <c r="I44" s="96">
        <f t="shared" si="0"/>
        <v>35.995495495495497</v>
      </c>
      <c r="J44" s="5" t="s">
        <v>21</v>
      </c>
      <c r="K44" s="5" t="s">
        <v>22</v>
      </c>
      <c r="L44" s="5">
        <v>1309755600</v>
      </c>
      <c r="M44" s="5">
        <v>1310533200</v>
      </c>
      <c r="N44" s="8">
        <f t="shared" si="2"/>
        <v>40728.208333333336</v>
      </c>
      <c r="O44" s="8">
        <f t="shared" si="1"/>
        <v>40737.208333333336</v>
      </c>
      <c r="P44" s="21" t="str">
        <f>TEXT(CrowdfundingTable[[#This Row],[date_created]],"ddd")</f>
        <v>Mon</v>
      </c>
      <c r="Q44" s="21">
        <f>_xlfn.DAYS(CrowdfundingTable[[#This Row],[date_ended]],CrowdfundingTable[[#This Row],[date_created]])</f>
        <v>9</v>
      </c>
      <c r="R44" s="5" t="b">
        <v>0</v>
      </c>
      <c r="S44" s="5" t="b">
        <v>0</v>
      </c>
      <c r="T44" s="5" t="s">
        <v>17</v>
      </c>
      <c r="U44" s="5" t="s">
        <v>2033</v>
      </c>
      <c r="V44" s="5" t="s">
        <v>2048</v>
      </c>
      <c r="W44" s="5"/>
    </row>
    <row r="45" spans="1:23" ht="17" x14ac:dyDescent="0.2">
      <c r="A45" s="5">
        <v>43</v>
      </c>
      <c r="B45" s="5" t="s">
        <v>131</v>
      </c>
      <c r="C45" s="6" t="s">
        <v>132</v>
      </c>
      <c r="D45" s="94">
        <v>90200</v>
      </c>
      <c r="E45" s="94">
        <v>167717</v>
      </c>
      <c r="F45" s="7">
        <f t="shared" si="3"/>
        <v>1.859390243902439</v>
      </c>
      <c r="G45" s="5" t="s">
        <v>20</v>
      </c>
      <c r="H45" s="5">
        <v>6212</v>
      </c>
      <c r="I45" s="96">
        <f t="shared" si="0"/>
        <v>26.998873148744366</v>
      </c>
      <c r="J45" s="5" t="s">
        <v>21</v>
      </c>
      <c r="K45" s="5" t="s">
        <v>22</v>
      </c>
      <c r="L45" s="5">
        <v>1406178000</v>
      </c>
      <c r="M45" s="5">
        <v>1407560400</v>
      </c>
      <c r="N45" s="8">
        <f t="shared" si="2"/>
        <v>41844.208333333336</v>
      </c>
      <c r="O45" s="8">
        <f t="shared" si="1"/>
        <v>41860.208333333336</v>
      </c>
      <c r="P45" s="21" t="str">
        <f>TEXT(CrowdfundingTable[[#This Row],[date_created]],"ddd")</f>
        <v>Thu</v>
      </c>
      <c r="Q45" s="21">
        <f>_xlfn.DAYS(CrowdfundingTable[[#This Row],[date_ended]],CrowdfundingTable[[#This Row],[date_created]])</f>
        <v>16</v>
      </c>
      <c r="R45" s="5" t="b">
        <v>0</v>
      </c>
      <c r="S45" s="5" t="b">
        <v>0</v>
      </c>
      <c r="T45" s="5" t="s">
        <v>133</v>
      </c>
      <c r="U45" s="5" t="s">
        <v>2038</v>
      </c>
      <c r="V45" s="5" t="s">
        <v>2056</v>
      </c>
      <c r="W45" s="5"/>
    </row>
    <row r="46" spans="1:23" ht="17" x14ac:dyDescent="0.2">
      <c r="A46" s="5">
        <v>44</v>
      </c>
      <c r="B46" s="5" t="s">
        <v>134</v>
      </c>
      <c r="C46" s="6" t="s">
        <v>135</v>
      </c>
      <c r="D46" s="94">
        <v>1600</v>
      </c>
      <c r="E46" s="94">
        <v>10541</v>
      </c>
      <c r="F46" s="7">
        <f t="shared" si="3"/>
        <v>6.5881249999999998</v>
      </c>
      <c r="G46" s="5" t="s">
        <v>20</v>
      </c>
      <c r="H46" s="5">
        <v>98</v>
      </c>
      <c r="I46" s="96">
        <f t="shared" si="0"/>
        <v>107.56122448979592</v>
      </c>
      <c r="J46" s="5" t="s">
        <v>36</v>
      </c>
      <c r="K46" s="5" t="s">
        <v>37</v>
      </c>
      <c r="L46" s="5">
        <v>1552798800</v>
      </c>
      <c r="M46" s="5">
        <v>1552885200</v>
      </c>
      <c r="N46" s="8">
        <f t="shared" si="2"/>
        <v>43541.208333333328</v>
      </c>
      <c r="O46" s="8">
        <f t="shared" si="1"/>
        <v>43542.208333333328</v>
      </c>
      <c r="P46" s="21" t="str">
        <f>TEXT(CrowdfundingTable[[#This Row],[date_created]],"ddd")</f>
        <v>Sun</v>
      </c>
      <c r="Q46" s="21">
        <f>_xlfn.DAYS(CrowdfundingTable[[#This Row],[date_ended]],CrowdfundingTable[[#This Row],[date_created]])</f>
        <v>1</v>
      </c>
      <c r="R46" s="5" t="b">
        <v>0</v>
      </c>
      <c r="S46" s="5" t="b">
        <v>0</v>
      </c>
      <c r="T46" s="5" t="s">
        <v>119</v>
      </c>
      <c r="U46" s="5" t="s">
        <v>2038</v>
      </c>
      <c r="V46" s="5" t="s">
        <v>2047</v>
      </c>
      <c r="W46" s="5"/>
    </row>
    <row r="47" spans="1:23" ht="34" x14ac:dyDescent="0.2">
      <c r="A47" s="5">
        <v>45</v>
      </c>
      <c r="B47" s="5" t="s">
        <v>136</v>
      </c>
      <c r="C47" s="6" t="s">
        <v>137</v>
      </c>
      <c r="D47" s="94">
        <v>9500</v>
      </c>
      <c r="E47" s="94">
        <v>4530</v>
      </c>
      <c r="F47" s="7">
        <f t="shared" si="3"/>
        <v>0.4768421052631579</v>
      </c>
      <c r="G47" s="5" t="s">
        <v>14</v>
      </c>
      <c r="H47" s="5">
        <v>48</v>
      </c>
      <c r="I47" s="96">
        <f t="shared" si="0"/>
        <v>94.375</v>
      </c>
      <c r="J47" s="5" t="s">
        <v>21</v>
      </c>
      <c r="K47" s="5" t="s">
        <v>22</v>
      </c>
      <c r="L47" s="5">
        <v>1478062800</v>
      </c>
      <c r="M47" s="5">
        <v>1479362400</v>
      </c>
      <c r="N47" s="8">
        <f t="shared" si="2"/>
        <v>42676.208333333328</v>
      </c>
      <c r="O47" s="8">
        <f t="shared" si="1"/>
        <v>42691.25</v>
      </c>
      <c r="P47" s="21" t="str">
        <f>TEXT(CrowdfundingTable[[#This Row],[date_created]],"ddd")</f>
        <v>Wed</v>
      </c>
      <c r="Q47" s="21">
        <f>_xlfn.DAYS(CrowdfundingTable[[#This Row],[date_ended]],CrowdfundingTable[[#This Row],[date_created]])</f>
        <v>15</v>
      </c>
      <c r="R47" s="5" t="b">
        <v>0</v>
      </c>
      <c r="S47" s="5" t="b">
        <v>1</v>
      </c>
      <c r="T47" s="5" t="s">
        <v>33</v>
      </c>
      <c r="U47" s="5" t="s">
        <v>2040</v>
      </c>
      <c r="V47" s="5" t="s">
        <v>2055</v>
      </c>
      <c r="W47" s="5"/>
    </row>
    <row r="48" spans="1:23" ht="17" x14ac:dyDescent="0.2">
      <c r="A48" s="5">
        <v>46</v>
      </c>
      <c r="B48" s="5" t="s">
        <v>138</v>
      </c>
      <c r="C48" s="6" t="s">
        <v>139</v>
      </c>
      <c r="D48" s="94">
        <v>3700</v>
      </c>
      <c r="E48" s="94">
        <v>4247</v>
      </c>
      <c r="F48" s="7">
        <f t="shared" si="3"/>
        <v>1.1478378378378378</v>
      </c>
      <c r="G48" s="5" t="s">
        <v>20</v>
      </c>
      <c r="H48" s="5">
        <v>92</v>
      </c>
      <c r="I48" s="96">
        <f t="shared" si="0"/>
        <v>46.163043478260867</v>
      </c>
      <c r="J48" s="5" t="s">
        <v>21</v>
      </c>
      <c r="K48" s="5" t="s">
        <v>22</v>
      </c>
      <c r="L48" s="5">
        <v>1278565200</v>
      </c>
      <c r="M48" s="5">
        <v>1280552400</v>
      </c>
      <c r="N48" s="8">
        <f t="shared" si="2"/>
        <v>40367.208333333336</v>
      </c>
      <c r="O48" s="8">
        <f t="shared" si="1"/>
        <v>40390.208333333336</v>
      </c>
      <c r="P48" s="21" t="str">
        <f>TEXT(CrowdfundingTable[[#This Row],[date_created]],"ddd")</f>
        <v>Thu</v>
      </c>
      <c r="Q48" s="21">
        <f>_xlfn.DAYS(CrowdfundingTable[[#This Row],[date_ended]],CrowdfundingTable[[#This Row],[date_created]])</f>
        <v>23</v>
      </c>
      <c r="R48" s="5" t="b">
        <v>0</v>
      </c>
      <c r="S48" s="5" t="b">
        <v>0</v>
      </c>
      <c r="T48" s="5" t="s">
        <v>23</v>
      </c>
      <c r="U48" s="5" t="s">
        <v>2036</v>
      </c>
      <c r="V48" s="5" t="s">
        <v>2057</v>
      </c>
      <c r="W48" s="5"/>
    </row>
    <row r="49" spans="1:23" ht="17" x14ac:dyDescent="0.2">
      <c r="A49" s="5">
        <v>47</v>
      </c>
      <c r="B49" s="5" t="s">
        <v>140</v>
      </c>
      <c r="C49" s="6" t="s">
        <v>141</v>
      </c>
      <c r="D49" s="94">
        <v>1500</v>
      </c>
      <c r="E49" s="94">
        <v>7129</v>
      </c>
      <c r="F49" s="7">
        <f t="shared" si="3"/>
        <v>4.7526666666666664</v>
      </c>
      <c r="G49" s="5" t="s">
        <v>20</v>
      </c>
      <c r="H49" s="5">
        <v>149</v>
      </c>
      <c r="I49" s="96">
        <f t="shared" si="0"/>
        <v>47.845637583892618</v>
      </c>
      <c r="J49" s="5" t="s">
        <v>21</v>
      </c>
      <c r="K49" s="5" t="s">
        <v>22</v>
      </c>
      <c r="L49" s="5">
        <v>1396069200</v>
      </c>
      <c r="M49" s="5">
        <v>1398661200</v>
      </c>
      <c r="N49" s="8">
        <f t="shared" si="2"/>
        <v>41727.208333333336</v>
      </c>
      <c r="O49" s="8">
        <f t="shared" si="1"/>
        <v>41757.208333333336</v>
      </c>
      <c r="P49" s="21" t="str">
        <f>TEXT(CrowdfundingTable[[#This Row],[date_created]],"ddd")</f>
        <v>Sat</v>
      </c>
      <c r="Q49" s="21">
        <f>_xlfn.DAYS(CrowdfundingTable[[#This Row],[date_ended]],CrowdfundingTable[[#This Row],[date_created]])</f>
        <v>30</v>
      </c>
      <c r="R49" s="5" t="b">
        <v>0</v>
      </c>
      <c r="S49" s="5" t="b">
        <v>0</v>
      </c>
      <c r="T49" s="5" t="s">
        <v>33</v>
      </c>
      <c r="U49" s="5" t="s">
        <v>2040</v>
      </c>
      <c r="V49" s="5" t="s">
        <v>2055</v>
      </c>
      <c r="W49" s="5"/>
    </row>
    <row r="50" spans="1:23" ht="17" x14ac:dyDescent="0.2">
      <c r="A50" s="5">
        <v>48</v>
      </c>
      <c r="B50" s="5" t="s">
        <v>142</v>
      </c>
      <c r="C50" s="6" t="s">
        <v>143</v>
      </c>
      <c r="D50" s="94">
        <v>33300</v>
      </c>
      <c r="E50" s="94">
        <v>128862</v>
      </c>
      <c r="F50" s="7">
        <f t="shared" si="3"/>
        <v>3.86972972972973</v>
      </c>
      <c r="G50" s="5" t="s">
        <v>20</v>
      </c>
      <c r="H50" s="5">
        <v>2431</v>
      </c>
      <c r="I50" s="96">
        <f t="shared" si="0"/>
        <v>53.007815713698065</v>
      </c>
      <c r="J50" s="5" t="s">
        <v>21</v>
      </c>
      <c r="K50" s="5" t="s">
        <v>22</v>
      </c>
      <c r="L50" s="5">
        <v>1435208400</v>
      </c>
      <c r="M50" s="5">
        <v>1436245200</v>
      </c>
      <c r="N50" s="8">
        <f t="shared" si="2"/>
        <v>42180.208333333328</v>
      </c>
      <c r="O50" s="8">
        <f t="shared" si="1"/>
        <v>42192.208333333328</v>
      </c>
      <c r="P50" s="21" t="str">
        <f>TEXT(CrowdfundingTable[[#This Row],[date_created]],"ddd")</f>
        <v>Thu</v>
      </c>
      <c r="Q50" s="21">
        <f>_xlfn.DAYS(CrowdfundingTable[[#This Row],[date_ended]],CrowdfundingTable[[#This Row],[date_created]])</f>
        <v>12</v>
      </c>
      <c r="R50" s="5" t="b">
        <v>0</v>
      </c>
      <c r="S50" s="5" t="b">
        <v>0</v>
      </c>
      <c r="T50" s="5" t="s">
        <v>33</v>
      </c>
      <c r="U50" s="5" t="s">
        <v>2040</v>
      </c>
      <c r="V50" s="5" t="s">
        <v>2055</v>
      </c>
      <c r="W50" s="5"/>
    </row>
    <row r="51" spans="1:23" ht="17" x14ac:dyDescent="0.2">
      <c r="A51" s="5">
        <v>49</v>
      </c>
      <c r="B51" s="5" t="s">
        <v>144</v>
      </c>
      <c r="C51" s="6" t="s">
        <v>145</v>
      </c>
      <c r="D51" s="94">
        <v>7200</v>
      </c>
      <c r="E51" s="94">
        <v>13653</v>
      </c>
      <c r="F51" s="7">
        <f t="shared" si="3"/>
        <v>1.89625</v>
      </c>
      <c r="G51" s="5" t="s">
        <v>20</v>
      </c>
      <c r="H51" s="5">
        <v>303</v>
      </c>
      <c r="I51" s="96">
        <f t="shared" si="0"/>
        <v>45.059405940594061</v>
      </c>
      <c r="J51" s="5" t="s">
        <v>21</v>
      </c>
      <c r="K51" s="5" t="s">
        <v>22</v>
      </c>
      <c r="L51" s="5">
        <v>1571547600</v>
      </c>
      <c r="M51" s="5">
        <v>1575439200</v>
      </c>
      <c r="N51" s="8">
        <f t="shared" si="2"/>
        <v>43758.208333333328</v>
      </c>
      <c r="O51" s="8">
        <f t="shared" si="1"/>
        <v>43803.25</v>
      </c>
      <c r="P51" s="21" t="str">
        <f>TEXT(CrowdfundingTable[[#This Row],[date_created]],"ddd")</f>
        <v>Sun</v>
      </c>
      <c r="Q51" s="21">
        <f>_xlfn.DAYS(CrowdfundingTable[[#This Row],[date_ended]],CrowdfundingTable[[#This Row],[date_created]])</f>
        <v>45</v>
      </c>
      <c r="R51" s="5" t="b">
        <v>0</v>
      </c>
      <c r="S51" s="5" t="b">
        <v>0</v>
      </c>
      <c r="T51" s="5" t="s">
        <v>23</v>
      </c>
      <c r="U51" s="5" t="s">
        <v>2036</v>
      </c>
      <c r="V51" s="5" t="s">
        <v>2057</v>
      </c>
      <c r="W51" s="5"/>
    </row>
    <row r="52" spans="1:23" ht="17" x14ac:dyDescent="0.2">
      <c r="A52" s="5">
        <v>50</v>
      </c>
      <c r="B52" s="5" t="s">
        <v>146</v>
      </c>
      <c r="C52" s="6" t="s">
        <v>147</v>
      </c>
      <c r="D52" s="94">
        <v>100</v>
      </c>
      <c r="E52" s="94">
        <v>2</v>
      </c>
      <c r="F52" s="7">
        <f t="shared" si="3"/>
        <v>0.02</v>
      </c>
      <c r="G52" s="5" t="s">
        <v>14</v>
      </c>
      <c r="H52" s="5">
        <v>1</v>
      </c>
      <c r="I52" s="96">
        <f t="shared" si="0"/>
        <v>2</v>
      </c>
      <c r="J52" s="5" t="s">
        <v>107</v>
      </c>
      <c r="K52" s="5" t="s">
        <v>108</v>
      </c>
      <c r="L52" s="5">
        <v>1375333200</v>
      </c>
      <c r="M52" s="5">
        <v>1377752400</v>
      </c>
      <c r="N52" s="8">
        <f t="shared" si="2"/>
        <v>41487.208333333336</v>
      </c>
      <c r="O52" s="8">
        <f t="shared" si="1"/>
        <v>41515.208333333336</v>
      </c>
      <c r="P52" s="21" t="str">
        <f>TEXT(CrowdfundingTable[[#This Row],[date_created]],"ddd")</f>
        <v>Thu</v>
      </c>
      <c r="Q52" s="21">
        <f>_xlfn.DAYS(CrowdfundingTable[[#This Row],[date_ended]],CrowdfundingTable[[#This Row],[date_created]])</f>
        <v>28</v>
      </c>
      <c r="R52" s="5" t="b">
        <v>0</v>
      </c>
      <c r="S52" s="5" t="b">
        <v>0</v>
      </c>
      <c r="T52" s="5" t="s">
        <v>148</v>
      </c>
      <c r="U52" s="5" t="s">
        <v>2036</v>
      </c>
      <c r="V52" s="5" t="s">
        <v>2051</v>
      </c>
      <c r="W52" s="5"/>
    </row>
    <row r="53" spans="1:23" ht="17" x14ac:dyDescent="0.2">
      <c r="A53" s="5">
        <v>51</v>
      </c>
      <c r="B53" s="5" t="s">
        <v>149</v>
      </c>
      <c r="C53" s="6" t="s">
        <v>150</v>
      </c>
      <c r="D53" s="94">
        <v>158100</v>
      </c>
      <c r="E53" s="94">
        <v>145243</v>
      </c>
      <c r="F53" s="7">
        <f t="shared" si="3"/>
        <v>0.91867805186590767</v>
      </c>
      <c r="G53" s="5" t="s">
        <v>14</v>
      </c>
      <c r="H53" s="5">
        <v>1467</v>
      </c>
      <c r="I53" s="96">
        <f t="shared" si="0"/>
        <v>99.006816632583508</v>
      </c>
      <c r="J53" s="5" t="s">
        <v>40</v>
      </c>
      <c r="K53" s="5" t="s">
        <v>41</v>
      </c>
      <c r="L53" s="5">
        <v>1332824400</v>
      </c>
      <c r="M53" s="5">
        <v>1334206800</v>
      </c>
      <c r="N53" s="8">
        <f t="shared" si="2"/>
        <v>40995.208333333336</v>
      </c>
      <c r="O53" s="8">
        <f t="shared" si="1"/>
        <v>41011.208333333336</v>
      </c>
      <c r="P53" s="21" t="str">
        <f>TEXT(CrowdfundingTable[[#This Row],[date_created]],"ddd")</f>
        <v>Tue</v>
      </c>
      <c r="Q53" s="21">
        <f>_xlfn.DAYS(CrowdfundingTable[[#This Row],[date_ended]],CrowdfundingTable[[#This Row],[date_created]])</f>
        <v>16</v>
      </c>
      <c r="R53" s="5" t="b">
        <v>0</v>
      </c>
      <c r="S53" s="5" t="b">
        <v>1</v>
      </c>
      <c r="T53" s="5" t="s">
        <v>65</v>
      </c>
      <c r="U53" s="5" t="s">
        <v>2039</v>
      </c>
      <c r="V53" s="5" t="s">
        <v>2063</v>
      </c>
      <c r="W53" s="5"/>
    </row>
    <row r="54" spans="1:23" ht="17" x14ac:dyDescent="0.2">
      <c r="A54" s="5">
        <v>52</v>
      </c>
      <c r="B54" s="5" t="s">
        <v>151</v>
      </c>
      <c r="C54" s="6" t="s">
        <v>152</v>
      </c>
      <c r="D54" s="94">
        <v>7200</v>
      </c>
      <c r="E54" s="94">
        <v>2459</v>
      </c>
      <c r="F54" s="7">
        <f t="shared" si="3"/>
        <v>0.34152777777777776</v>
      </c>
      <c r="G54" s="5" t="s">
        <v>14</v>
      </c>
      <c r="H54" s="5">
        <v>75</v>
      </c>
      <c r="I54" s="96">
        <f t="shared" si="0"/>
        <v>32.786666666666669</v>
      </c>
      <c r="J54" s="5" t="s">
        <v>21</v>
      </c>
      <c r="K54" s="5" t="s">
        <v>22</v>
      </c>
      <c r="L54" s="5">
        <v>1284526800</v>
      </c>
      <c r="M54" s="5">
        <v>1284872400</v>
      </c>
      <c r="N54" s="8">
        <f t="shared" si="2"/>
        <v>40436.208333333336</v>
      </c>
      <c r="O54" s="8">
        <f t="shared" si="1"/>
        <v>40440.208333333336</v>
      </c>
      <c r="P54" s="21" t="str">
        <f>TEXT(CrowdfundingTable[[#This Row],[date_created]],"ddd")</f>
        <v>Wed</v>
      </c>
      <c r="Q54" s="21">
        <f>_xlfn.DAYS(CrowdfundingTable[[#This Row],[date_ended]],CrowdfundingTable[[#This Row],[date_created]])</f>
        <v>4</v>
      </c>
      <c r="R54" s="5" t="b">
        <v>0</v>
      </c>
      <c r="S54" s="5" t="b">
        <v>0</v>
      </c>
      <c r="T54" s="5" t="s">
        <v>33</v>
      </c>
      <c r="U54" s="5" t="s">
        <v>2040</v>
      </c>
      <c r="V54" s="5" t="s">
        <v>2055</v>
      </c>
      <c r="W54" s="5"/>
    </row>
    <row r="55" spans="1:23" ht="17" x14ac:dyDescent="0.2">
      <c r="A55" s="5">
        <v>53</v>
      </c>
      <c r="B55" s="5" t="s">
        <v>153</v>
      </c>
      <c r="C55" s="6" t="s">
        <v>154</v>
      </c>
      <c r="D55" s="94">
        <v>8800</v>
      </c>
      <c r="E55" s="94">
        <v>12356</v>
      </c>
      <c r="F55" s="7">
        <f t="shared" si="3"/>
        <v>1.4040909090909091</v>
      </c>
      <c r="G55" s="5" t="s">
        <v>20</v>
      </c>
      <c r="H55" s="5">
        <v>209</v>
      </c>
      <c r="I55" s="96">
        <f t="shared" si="0"/>
        <v>59.119617224880386</v>
      </c>
      <c r="J55" s="5" t="s">
        <v>21</v>
      </c>
      <c r="K55" s="5" t="s">
        <v>22</v>
      </c>
      <c r="L55" s="5">
        <v>1400562000</v>
      </c>
      <c r="M55" s="5">
        <v>1403931600</v>
      </c>
      <c r="N55" s="8">
        <f t="shared" si="2"/>
        <v>41779.208333333336</v>
      </c>
      <c r="O55" s="8">
        <f t="shared" si="1"/>
        <v>41818.208333333336</v>
      </c>
      <c r="P55" s="21" t="str">
        <f>TEXT(CrowdfundingTable[[#This Row],[date_created]],"ddd")</f>
        <v>Tue</v>
      </c>
      <c r="Q55" s="21">
        <f>_xlfn.DAYS(CrowdfundingTable[[#This Row],[date_ended]],CrowdfundingTable[[#This Row],[date_created]])</f>
        <v>39</v>
      </c>
      <c r="R55" s="5" t="b">
        <v>0</v>
      </c>
      <c r="S55" s="5" t="b">
        <v>0</v>
      </c>
      <c r="T55" s="5" t="s">
        <v>53</v>
      </c>
      <c r="U55" s="5" t="s">
        <v>2032</v>
      </c>
      <c r="V55" s="5" t="s">
        <v>2045</v>
      </c>
      <c r="W55" s="5"/>
    </row>
    <row r="56" spans="1:23" ht="17" x14ac:dyDescent="0.2">
      <c r="A56" s="5">
        <v>54</v>
      </c>
      <c r="B56" s="5" t="s">
        <v>155</v>
      </c>
      <c r="C56" s="6" t="s">
        <v>156</v>
      </c>
      <c r="D56" s="94">
        <v>6000</v>
      </c>
      <c r="E56" s="94">
        <v>5392</v>
      </c>
      <c r="F56" s="7">
        <f t="shared" si="3"/>
        <v>0.89866666666666661</v>
      </c>
      <c r="G56" s="5" t="s">
        <v>14</v>
      </c>
      <c r="H56" s="5">
        <v>120</v>
      </c>
      <c r="I56" s="96">
        <f t="shared" si="0"/>
        <v>44.93333333333333</v>
      </c>
      <c r="J56" s="5" t="s">
        <v>21</v>
      </c>
      <c r="K56" s="5" t="s">
        <v>22</v>
      </c>
      <c r="L56" s="5">
        <v>1520748000</v>
      </c>
      <c r="M56" s="5">
        <v>1521262800</v>
      </c>
      <c r="N56" s="8">
        <f t="shared" si="2"/>
        <v>43170.25</v>
      </c>
      <c r="O56" s="8">
        <f t="shared" si="1"/>
        <v>43176.208333333328</v>
      </c>
      <c r="P56" s="21" t="str">
        <f>TEXT(CrowdfundingTable[[#This Row],[date_created]],"ddd")</f>
        <v>Sun</v>
      </c>
      <c r="Q56" s="21">
        <f>_xlfn.DAYS(CrowdfundingTable[[#This Row],[date_ended]],CrowdfundingTable[[#This Row],[date_created]])</f>
        <v>6</v>
      </c>
      <c r="R56" s="5" t="b">
        <v>0</v>
      </c>
      <c r="S56" s="5" t="b">
        <v>0</v>
      </c>
      <c r="T56" s="5" t="s">
        <v>65</v>
      </c>
      <c r="U56" s="5" t="s">
        <v>2039</v>
      </c>
      <c r="V56" s="5" t="s">
        <v>2063</v>
      </c>
      <c r="W56" s="5"/>
    </row>
    <row r="57" spans="1:23" ht="17" x14ac:dyDescent="0.2">
      <c r="A57" s="5">
        <v>55</v>
      </c>
      <c r="B57" s="5" t="s">
        <v>157</v>
      </c>
      <c r="C57" s="6" t="s">
        <v>158</v>
      </c>
      <c r="D57" s="94">
        <v>6600</v>
      </c>
      <c r="E57" s="94">
        <v>11746</v>
      </c>
      <c r="F57" s="7">
        <f t="shared" si="3"/>
        <v>1.7796969696969698</v>
      </c>
      <c r="G57" s="5" t="s">
        <v>20</v>
      </c>
      <c r="H57" s="5">
        <v>131</v>
      </c>
      <c r="I57" s="96">
        <f t="shared" si="0"/>
        <v>89.664122137404576</v>
      </c>
      <c r="J57" s="5" t="s">
        <v>21</v>
      </c>
      <c r="K57" s="5" t="s">
        <v>22</v>
      </c>
      <c r="L57" s="5">
        <v>1532926800</v>
      </c>
      <c r="M57" s="5">
        <v>1533358800</v>
      </c>
      <c r="N57" s="8">
        <f t="shared" si="2"/>
        <v>43311.208333333328</v>
      </c>
      <c r="O57" s="8">
        <f t="shared" si="1"/>
        <v>43316.208333333328</v>
      </c>
      <c r="P57" s="21" t="str">
        <f>TEXT(CrowdfundingTable[[#This Row],[date_created]],"ddd")</f>
        <v>Mon</v>
      </c>
      <c r="Q57" s="21">
        <f>_xlfn.DAYS(CrowdfundingTable[[#This Row],[date_ended]],CrowdfundingTable[[#This Row],[date_created]])</f>
        <v>5</v>
      </c>
      <c r="R57" s="5" t="b">
        <v>0</v>
      </c>
      <c r="S57" s="5" t="b">
        <v>0</v>
      </c>
      <c r="T57" s="5" t="s">
        <v>159</v>
      </c>
      <c r="U57" s="5" t="s">
        <v>2036</v>
      </c>
      <c r="V57" s="5" t="s">
        <v>2050</v>
      </c>
      <c r="W57" s="5"/>
    </row>
    <row r="58" spans="1:23" ht="34" x14ac:dyDescent="0.2">
      <c r="A58" s="5">
        <v>56</v>
      </c>
      <c r="B58" s="5" t="s">
        <v>160</v>
      </c>
      <c r="C58" s="6" t="s">
        <v>161</v>
      </c>
      <c r="D58" s="94">
        <v>8000</v>
      </c>
      <c r="E58" s="94">
        <v>11493</v>
      </c>
      <c r="F58" s="7">
        <f t="shared" si="3"/>
        <v>1.436625</v>
      </c>
      <c r="G58" s="5" t="s">
        <v>20</v>
      </c>
      <c r="H58" s="5">
        <v>164</v>
      </c>
      <c r="I58" s="96">
        <f t="shared" si="0"/>
        <v>70.079268292682926</v>
      </c>
      <c r="J58" s="5" t="s">
        <v>21</v>
      </c>
      <c r="K58" s="5" t="s">
        <v>22</v>
      </c>
      <c r="L58" s="5">
        <v>1420869600</v>
      </c>
      <c r="M58" s="5">
        <v>1421474400</v>
      </c>
      <c r="N58" s="8">
        <f t="shared" si="2"/>
        <v>42014.25</v>
      </c>
      <c r="O58" s="8">
        <f t="shared" si="1"/>
        <v>42021.25</v>
      </c>
      <c r="P58" s="21" t="str">
        <f>TEXT(CrowdfundingTable[[#This Row],[date_created]],"ddd")</f>
        <v>Sat</v>
      </c>
      <c r="Q58" s="21">
        <f>_xlfn.DAYS(CrowdfundingTable[[#This Row],[date_ended]],CrowdfundingTable[[#This Row],[date_created]])</f>
        <v>7</v>
      </c>
      <c r="R58" s="5" t="b">
        <v>0</v>
      </c>
      <c r="S58" s="5" t="b">
        <v>0</v>
      </c>
      <c r="T58" s="5" t="s">
        <v>65</v>
      </c>
      <c r="U58" s="5" t="s">
        <v>2039</v>
      </c>
      <c r="V58" s="5" t="s">
        <v>2063</v>
      </c>
      <c r="W58" s="5"/>
    </row>
    <row r="59" spans="1:23" ht="17" x14ac:dyDescent="0.2">
      <c r="A59" s="5">
        <v>57</v>
      </c>
      <c r="B59" s="5" t="s">
        <v>162</v>
      </c>
      <c r="C59" s="6" t="s">
        <v>163</v>
      </c>
      <c r="D59" s="94">
        <v>2900</v>
      </c>
      <c r="E59" s="94">
        <v>6243</v>
      </c>
      <c r="F59" s="7">
        <f t="shared" si="3"/>
        <v>2.1527586206896552</v>
      </c>
      <c r="G59" s="5" t="s">
        <v>20</v>
      </c>
      <c r="H59" s="5">
        <v>201</v>
      </c>
      <c r="I59" s="96">
        <f t="shared" si="0"/>
        <v>31.059701492537314</v>
      </c>
      <c r="J59" s="5" t="s">
        <v>21</v>
      </c>
      <c r="K59" s="5" t="s">
        <v>22</v>
      </c>
      <c r="L59" s="5">
        <v>1504242000</v>
      </c>
      <c r="M59" s="5">
        <v>1505278800</v>
      </c>
      <c r="N59" s="8">
        <f t="shared" si="2"/>
        <v>42979.208333333328</v>
      </c>
      <c r="O59" s="8">
        <f t="shared" si="1"/>
        <v>42991.208333333328</v>
      </c>
      <c r="P59" s="21" t="str">
        <f>TEXT(CrowdfundingTable[[#This Row],[date_created]],"ddd")</f>
        <v>Fri</v>
      </c>
      <c r="Q59" s="21">
        <f>_xlfn.DAYS(CrowdfundingTable[[#This Row],[date_ended]],CrowdfundingTable[[#This Row],[date_created]])</f>
        <v>12</v>
      </c>
      <c r="R59" s="5" t="b">
        <v>0</v>
      </c>
      <c r="S59" s="5" t="b">
        <v>0</v>
      </c>
      <c r="T59" s="5" t="s">
        <v>89</v>
      </c>
      <c r="U59" s="5" t="s">
        <v>2034</v>
      </c>
      <c r="V59" s="5" t="s">
        <v>2062</v>
      </c>
      <c r="W59" s="5"/>
    </row>
    <row r="60" spans="1:23" ht="17" x14ac:dyDescent="0.2">
      <c r="A60" s="5">
        <v>58</v>
      </c>
      <c r="B60" s="5" t="s">
        <v>164</v>
      </c>
      <c r="C60" s="6" t="s">
        <v>165</v>
      </c>
      <c r="D60" s="94">
        <v>2700</v>
      </c>
      <c r="E60" s="94">
        <v>6132</v>
      </c>
      <c r="F60" s="7">
        <f t="shared" si="3"/>
        <v>2.2711111111111113</v>
      </c>
      <c r="G60" s="5" t="s">
        <v>20</v>
      </c>
      <c r="H60" s="5">
        <v>211</v>
      </c>
      <c r="I60" s="96">
        <f t="shared" si="0"/>
        <v>29.061611374407583</v>
      </c>
      <c r="J60" s="5" t="s">
        <v>21</v>
      </c>
      <c r="K60" s="5" t="s">
        <v>22</v>
      </c>
      <c r="L60" s="5">
        <v>1442811600</v>
      </c>
      <c r="M60" s="5">
        <v>1443934800</v>
      </c>
      <c r="N60" s="8">
        <f t="shared" si="2"/>
        <v>42268.208333333328</v>
      </c>
      <c r="O60" s="8">
        <f t="shared" si="1"/>
        <v>42281.208333333328</v>
      </c>
      <c r="P60" s="21" t="str">
        <f>TEXT(CrowdfundingTable[[#This Row],[date_created]],"ddd")</f>
        <v>Mon</v>
      </c>
      <c r="Q60" s="21">
        <f>_xlfn.DAYS(CrowdfundingTable[[#This Row],[date_ended]],CrowdfundingTable[[#This Row],[date_created]])</f>
        <v>13</v>
      </c>
      <c r="R60" s="5" t="b">
        <v>0</v>
      </c>
      <c r="S60" s="5" t="b">
        <v>0</v>
      </c>
      <c r="T60" s="5" t="s">
        <v>33</v>
      </c>
      <c r="U60" s="5" t="s">
        <v>2040</v>
      </c>
      <c r="V60" s="5" t="s">
        <v>2055</v>
      </c>
      <c r="W60" s="5"/>
    </row>
    <row r="61" spans="1:23" ht="17" x14ac:dyDescent="0.2">
      <c r="A61" s="5">
        <v>59</v>
      </c>
      <c r="B61" s="5" t="s">
        <v>166</v>
      </c>
      <c r="C61" s="6" t="s">
        <v>167</v>
      </c>
      <c r="D61" s="94">
        <v>1400</v>
      </c>
      <c r="E61" s="94">
        <v>3851</v>
      </c>
      <c r="F61" s="7">
        <f t="shared" si="3"/>
        <v>2.7507142857142859</v>
      </c>
      <c r="G61" s="5" t="s">
        <v>20</v>
      </c>
      <c r="H61" s="5">
        <v>128</v>
      </c>
      <c r="I61" s="96">
        <f t="shared" si="0"/>
        <v>30.0859375</v>
      </c>
      <c r="J61" s="5" t="s">
        <v>21</v>
      </c>
      <c r="K61" s="5" t="s">
        <v>22</v>
      </c>
      <c r="L61" s="5">
        <v>1497243600</v>
      </c>
      <c r="M61" s="5">
        <v>1498539600</v>
      </c>
      <c r="N61" s="8">
        <f t="shared" si="2"/>
        <v>42898.208333333328</v>
      </c>
      <c r="O61" s="8">
        <f t="shared" si="1"/>
        <v>42913.208333333328</v>
      </c>
      <c r="P61" s="21" t="str">
        <f>TEXT(CrowdfundingTable[[#This Row],[date_created]],"ddd")</f>
        <v>Mon</v>
      </c>
      <c r="Q61" s="21">
        <f>_xlfn.DAYS(CrowdfundingTable[[#This Row],[date_ended]],CrowdfundingTable[[#This Row],[date_created]])</f>
        <v>15</v>
      </c>
      <c r="R61" s="5" t="b">
        <v>0</v>
      </c>
      <c r="S61" s="5" t="b">
        <v>1</v>
      </c>
      <c r="T61" s="5" t="s">
        <v>33</v>
      </c>
      <c r="U61" s="5" t="s">
        <v>2040</v>
      </c>
      <c r="V61" s="5" t="s">
        <v>2055</v>
      </c>
      <c r="W61" s="5"/>
    </row>
    <row r="62" spans="1:23" ht="17" x14ac:dyDescent="0.2">
      <c r="A62" s="5">
        <v>60</v>
      </c>
      <c r="B62" s="5" t="s">
        <v>168</v>
      </c>
      <c r="C62" s="6" t="s">
        <v>169</v>
      </c>
      <c r="D62" s="94">
        <v>94200</v>
      </c>
      <c r="E62" s="94">
        <v>135997</v>
      </c>
      <c r="F62" s="7">
        <f t="shared" si="3"/>
        <v>1.4437048832271762</v>
      </c>
      <c r="G62" s="5" t="s">
        <v>20</v>
      </c>
      <c r="H62" s="5">
        <v>1600</v>
      </c>
      <c r="I62" s="96">
        <f t="shared" si="0"/>
        <v>84.998125000000002</v>
      </c>
      <c r="J62" s="5" t="s">
        <v>15</v>
      </c>
      <c r="K62" s="5" t="s">
        <v>16</v>
      </c>
      <c r="L62" s="5">
        <v>1342501200</v>
      </c>
      <c r="M62" s="5">
        <v>1342760400</v>
      </c>
      <c r="N62" s="8">
        <f t="shared" si="2"/>
        <v>41107.208333333336</v>
      </c>
      <c r="O62" s="8">
        <f t="shared" si="1"/>
        <v>41110.208333333336</v>
      </c>
      <c r="P62" s="21" t="str">
        <f>TEXT(CrowdfundingTable[[#This Row],[date_created]],"ddd")</f>
        <v>Tue</v>
      </c>
      <c r="Q62" s="21">
        <f>_xlfn.DAYS(CrowdfundingTable[[#This Row],[date_ended]],CrowdfundingTable[[#This Row],[date_created]])</f>
        <v>3</v>
      </c>
      <c r="R62" s="5" t="b">
        <v>0</v>
      </c>
      <c r="S62" s="5" t="b">
        <v>0</v>
      </c>
      <c r="T62" s="5" t="s">
        <v>33</v>
      </c>
      <c r="U62" s="5" t="s">
        <v>2040</v>
      </c>
      <c r="V62" s="5" t="s">
        <v>2055</v>
      </c>
      <c r="W62" s="5"/>
    </row>
    <row r="63" spans="1:23" ht="34" x14ac:dyDescent="0.2">
      <c r="A63" s="5">
        <v>61</v>
      </c>
      <c r="B63" s="5" t="s">
        <v>170</v>
      </c>
      <c r="C63" s="6" t="s">
        <v>171</v>
      </c>
      <c r="D63" s="94">
        <v>199200</v>
      </c>
      <c r="E63" s="94">
        <v>184750</v>
      </c>
      <c r="F63" s="7">
        <f t="shared" si="3"/>
        <v>0.92745983935742971</v>
      </c>
      <c r="G63" s="5" t="s">
        <v>14</v>
      </c>
      <c r="H63" s="5">
        <v>2253</v>
      </c>
      <c r="I63" s="96">
        <f t="shared" si="0"/>
        <v>82.001775410563695</v>
      </c>
      <c r="J63" s="5" t="s">
        <v>15</v>
      </c>
      <c r="K63" s="5" t="s">
        <v>16</v>
      </c>
      <c r="L63" s="5">
        <v>1298268000</v>
      </c>
      <c r="M63" s="5">
        <v>1301720400</v>
      </c>
      <c r="N63" s="8">
        <f t="shared" si="2"/>
        <v>40595.25</v>
      </c>
      <c r="O63" s="8">
        <f t="shared" si="1"/>
        <v>40635.208333333336</v>
      </c>
      <c r="P63" s="21" t="str">
        <f>TEXT(CrowdfundingTable[[#This Row],[date_created]],"ddd")</f>
        <v>Mon</v>
      </c>
      <c r="Q63" s="21">
        <f>_xlfn.DAYS(CrowdfundingTable[[#This Row],[date_ended]],CrowdfundingTable[[#This Row],[date_created]])</f>
        <v>40</v>
      </c>
      <c r="R63" s="5" t="b">
        <v>0</v>
      </c>
      <c r="S63" s="5" t="b">
        <v>0</v>
      </c>
      <c r="T63" s="5" t="s">
        <v>33</v>
      </c>
      <c r="U63" s="5" t="s">
        <v>2040</v>
      </c>
      <c r="V63" s="5" t="s">
        <v>2055</v>
      </c>
      <c r="W63" s="5"/>
    </row>
    <row r="64" spans="1:23" ht="17" x14ac:dyDescent="0.2">
      <c r="A64" s="5">
        <v>62</v>
      </c>
      <c r="B64" s="5" t="s">
        <v>172</v>
      </c>
      <c r="C64" s="6" t="s">
        <v>173</v>
      </c>
      <c r="D64" s="94">
        <v>2000</v>
      </c>
      <c r="E64" s="94">
        <v>14452</v>
      </c>
      <c r="F64" s="7">
        <f t="shared" si="3"/>
        <v>7.226</v>
      </c>
      <c r="G64" s="5" t="s">
        <v>20</v>
      </c>
      <c r="H64" s="5">
        <v>249</v>
      </c>
      <c r="I64" s="96">
        <f t="shared" si="0"/>
        <v>58.040160642570278</v>
      </c>
      <c r="J64" s="5" t="s">
        <v>21</v>
      </c>
      <c r="K64" s="5" t="s">
        <v>22</v>
      </c>
      <c r="L64" s="5">
        <v>1433480400</v>
      </c>
      <c r="M64" s="5">
        <v>1433566800</v>
      </c>
      <c r="N64" s="8">
        <f t="shared" si="2"/>
        <v>42160.208333333328</v>
      </c>
      <c r="O64" s="8">
        <f t="shared" si="1"/>
        <v>42161.208333333328</v>
      </c>
      <c r="P64" s="21" t="str">
        <f>TEXT(CrowdfundingTable[[#This Row],[date_created]],"ddd")</f>
        <v>Fri</v>
      </c>
      <c r="Q64" s="21">
        <f>_xlfn.DAYS(CrowdfundingTable[[#This Row],[date_ended]],CrowdfundingTable[[#This Row],[date_created]])</f>
        <v>1</v>
      </c>
      <c r="R64" s="5" t="b">
        <v>0</v>
      </c>
      <c r="S64" s="5" t="b">
        <v>0</v>
      </c>
      <c r="T64" s="5" t="s">
        <v>28</v>
      </c>
      <c r="U64" s="5" t="s">
        <v>2039</v>
      </c>
      <c r="V64" s="5" t="s">
        <v>2064</v>
      </c>
      <c r="W64" s="5"/>
    </row>
    <row r="65" spans="1:23" ht="17" x14ac:dyDescent="0.2">
      <c r="A65" s="5">
        <v>63</v>
      </c>
      <c r="B65" s="5" t="s">
        <v>174</v>
      </c>
      <c r="C65" s="6" t="s">
        <v>175</v>
      </c>
      <c r="D65" s="94">
        <v>4700</v>
      </c>
      <c r="E65" s="94">
        <v>557</v>
      </c>
      <c r="F65" s="7">
        <f t="shared" si="3"/>
        <v>0.11851063829787234</v>
      </c>
      <c r="G65" s="5" t="s">
        <v>14</v>
      </c>
      <c r="H65" s="5">
        <v>5</v>
      </c>
      <c r="I65" s="96">
        <f t="shared" si="0"/>
        <v>111.4</v>
      </c>
      <c r="J65" s="5" t="s">
        <v>21</v>
      </c>
      <c r="K65" s="5" t="s">
        <v>22</v>
      </c>
      <c r="L65" s="5">
        <v>1493355600</v>
      </c>
      <c r="M65" s="5">
        <v>1493874000</v>
      </c>
      <c r="N65" s="8">
        <f t="shared" si="2"/>
        <v>42853.208333333328</v>
      </c>
      <c r="O65" s="8">
        <f t="shared" si="1"/>
        <v>42859.208333333328</v>
      </c>
      <c r="P65" s="21" t="str">
        <f>TEXT(CrowdfundingTable[[#This Row],[date_created]],"ddd")</f>
        <v>Fri</v>
      </c>
      <c r="Q65" s="21">
        <f>_xlfn.DAYS(CrowdfundingTable[[#This Row],[date_ended]],CrowdfundingTable[[#This Row],[date_created]])</f>
        <v>6</v>
      </c>
      <c r="R65" s="5" t="b">
        <v>0</v>
      </c>
      <c r="S65" s="5" t="b">
        <v>0</v>
      </c>
      <c r="T65" s="5" t="s">
        <v>33</v>
      </c>
      <c r="U65" s="5" t="s">
        <v>2040</v>
      </c>
      <c r="V65" s="5" t="s">
        <v>2055</v>
      </c>
      <c r="W65" s="5"/>
    </row>
    <row r="66" spans="1:23" ht="17" x14ac:dyDescent="0.2">
      <c r="A66" s="5">
        <v>64</v>
      </c>
      <c r="B66" s="5" t="s">
        <v>176</v>
      </c>
      <c r="C66" s="6" t="s">
        <v>177</v>
      </c>
      <c r="D66" s="94">
        <v>2800</v>
      </c>
      <c r="E66" s="94">
        <v>2734</v>
      </c>
      <c r="F66" s="7">
        <f t="shared" si="3"/>
        <v>0.97642857142857142</v>
      </c>
      <c r="G66" s="5" t="s">
        <v>14</v>
      </c>
      <c r="H66" s="5">
        <v>38</v>
      </c>
      <c r="I66" s="96">
        <f t="shared" ref="I66:I129" si="4">IF(H66&lt;&gt;0,E66/H66,0)</f>
        <v>71.94736842105263</v>
      </c>
      <c r="J66" s="5" t="s">
        <v>21</v>
      </c>
      <c r="K66" s="5" t="s">
        <v>22</v>
      </c>
      <c r="L66" s="5">
        <v>1530507600</v>
      </c>
      <c r="M66" s="5">
        <v>1531803600</v>
      </c>
      <c r="N66" s="8">
        <f t="shared" si="2"/>
        <v>43283.208333333328</v>
      </c>
      <c r="O66" s="8">
        <f t="shared" si="1"/>
        <v>43298.208333333328</v>
      </c>
      <c r="P66" s="21" t="str">
        <f>TEXT(CrowdfundingTable[[#This Row],[date_created]],"ddd")</f>
        <v>Mon</v>
      </c>
      <c r="Q66" s="21">
        <f>_xlfn.DAYS(CrowdfundingTable[[#This Row],[date_ended]],CrowdfundingTable[[#This Row],[date_created]])</f>
        <v>15</v>
      </c>
      <c r="R66" s="5" t="b">
        <v>0</v>
      </c>
      <c r="S66" s="5" t="b">
        <v>1</v>
      </c>
      <c r="T66" s="5" t="s">
        <v>28</v>
      </c>
      <c r="U66" s="5" t="s">
        <v>2039</v>
      </c>
      <c r="V66" s="5" t="s">
        <v>2064</v>
      </c>
      <c r="W66" s="5"/>
    </row>
    <row r="67" spans="1:23" ht="17" x14ac:dyDescent="0.2">
      <c r="A67" s="5">
        <v>65</v>
      </c>
      <c r="B67" s="5" t="s">
        <v>178</v>
      </c>
      <c r="C67" s="6" t="s">
        <v>179</v>
      </c>
      <c r="D67" s="94">
        <v>6100</v>
      </c>
      <c r="E67" s="94">
        <v>14405</v>
      </c>
      <c r="F67" s="7">
        <f t="shared" si="3"/>
        <v>2.3614754098360655</v>
      </c>
      <c r="G67" s="5" t="s">
        <v>20</v>
      </c>
      <c r="H67" s="5">
        <v>236</v>
      </c>
      <c r="I67" s="96">
        <f t="shared" si="4"/>
        <v>61.038135593220339</v>
      </c>
      <c r="J67" s="5" t="s">
        <v>21</v>
      </c>
      <c r="K67" s="5" t="s">
        <v>22</v>
      </c>
      <c r="L67" s="5">
        <v>1296108000</v>
      </c>
      <c r="M67" s="5">
        <v>1296712800</v>
      </c>
      <c r="N67" s="8">
        <f t="shared" ref="N67:N130" si="5">(((L67/60)/60)/24)+DATE(1970,1,1)</f>
        <v>40570.25</v>
      </c>
      <c r="O67" s="8">
        <f t="shared" ref="O67:O130" si="6">(((M67/60)/60)/24)+DATE(1970,1,1)</f>
        <v>40577.25</v>
      </c>
      <c r="P67" s="21" t="str">
        <f>TEXT(CrowdfundingTable[[#This Row],[date_created]],"ddd")</f>
        <v>Thu</v>
      </c>
      <c r="Q67" s="21">
        <f>_xlfn.DAYS(CrowdfundingTable[[#This Row],[date_ended]],CrowdfundingTable[[#This Row],[date_created]])</f>
        <v>7</v>
      </c>
      <c r="R67" s="5" t="b">
        <v>0</v>
      </c>
      <c r="S67" s="5" t="b">
        <v>0</v>
      </c>
      <c r="T67" s="5" t="s">
        <v>33</v>
      </c>
      <c r="U67" s="5" t="s">
        <v>2040</v>
      </c>
      <c r="V67" s="5" t="s">
        <v>2055</v>
      </c>
      <c r="W67" s="5"/>
    </row>
    <row r="68" spans="1:23" ht="17" x14ac:dyDescent="0.2">
      <c r="A68" s="5">
        <v>66</v>
      </c>
      <c r="B68" s="5" t="s">
        <v>180</v>
      </c>
      <c r="C68" s="6" t="s">
        <v>181</v>
      </c>
      <c r="D68" s="94">
        <v>2900</v>
      </c>
      <c r="E68" s="94">
        <v>1307</v>
      </c>
      <c r="F68" s="7">
        <f t="shared" ref="F68:F131" si="7">E68/D68</f>
        <v>0.45068965517241377</v>
      </c>
      <c r="G68" s="5" t="s">
        <v>14</v>
      </c>
      <c r="H68" s="5">
        <v>12</v>
      </c>
      <c r="I68" s="96">
        <f t="shared" si="4"/>
        <v>108.91666666666667</v>
      </c>
      <c r="J68" s="5" t="s">
        <v>21</v>
      </c>
      <c r="K68" s="5" t="s">
        <v>22</v>
      </c>
      <c r="L68" s="5">
        <v>1428469200</v>
      </c>
      <c r="M68" s="5">
        <v>1428901200</v>
      </c>
      <c r="N68" s="8">
        <f t="shared" si="5"/>
        <v>42102.208333333328</v>
      </c>
      <c r="O68" s="8">
        <f t="shared" si="6"/>
        <v>42107.208333333328</v>
      </c>
      <c r="P68" s="21" t="str">
        <f>TEXT(CrowdfundingTable[[#This Row],[date_created]],"ddd")</f>
        <v>Wed</v>
      </c>
      <c r="Q68" s="21">
        <f>_xlfn.DAYS(CrowdfundingTable[[#This Row],[date_ended]],CrowdfundingTable[[#This Row],[date_created]])</f>
        <v>5</v>
      </c>
      <c r="R68" s="5" t="b">
        <v>0</v>
      </c>
      <c r="S68" s="5" t="b">
        <v>1</v>
      </c>
      <c r="T68" s="5" t="s">
        <v>33</v>
      </c>
      <c r="U68" s="5" t="s">
        <v>2040</v>
      </c>
      <c r="V68" s="5" t="s">
        <v>2055</v>
      </c>
      <c r="W68" s="5"/>
    </row>
    <row r="69" spans="1:23" ht="34" x14ac:dyDescent="0.2">
      <c r="A69" s="5">
        <v>67</v>
      </c>
      <c r="B69" s="5" t="s">
        <v>182</v>
      </c>
      <c r="C69" s="6" t="s">
        <v>183</v>
      </c>
      <c r="D69" s="94">
        <v>72600</v>
      </c>
      <c r="E69" s="94">
        <v>117892</v>
      </c>
      <c r="F69" s="7">
        <f t="shared" si="7"/>
        <v>1.6238567493112948</v>
      </c>
      <c r="G69" s="5" t="s">
        <v>20</v>
      </c>
      <c r="H69" s="5">
        <v>4065</v>
      </c>
      <c r="I69" s="96">
        <f t="shared" si="4"/>
        <v>29.001722017220171</v>
      </c>
      <c r="J69" s="5" t="s">
        <v>40</v>
      </c>
      <c r="K69" s="5" t="s">
        <v>41</v>
      </c>
      <c r="L69" s="5">
        <v>1264399200</v>
      </c>
      <c r="M69" s="5">
        <v>1264831200</v>
      </c>
      <c r="N69" s="8">
        <f t="shared" si="5"/>
        <v>40203.25</v>
      </c>
      <c r="O69" s="8">
        <f t="shared" si="6"/>
        <v>40208.25</v>
      </c>
      <c r="P69" s="21" t="str">
        <f>TEXT(CrowdfundingTable[[#This Row],[date_created]],"ddd")</f>
        <v>Mon</v>
      </c>
      <c r="Q69" s="21">
        <f>_xlfn.DAYS(CrowdfundingTable[[#This Row],[date_ended]],CrowdfundingTable[[#This Row],[date_created]])</f>
        <v>5</v>
      </c>
      <c r="R69" s="5" t="b">
        <v>0</v>
      </c>
      <c r="S69" s="5" t="b">
        <v>1</v>
      </c>
      <c r="T69" s="5" t="s">
        <v>65</v>
      </c>
      <c r="U69" s="5" t="s">
        <v>2039</v>
      </c>
      <c r="V69" s="5" t="s">
        <v>2063</v>
      </c>
      <c r="W69" s="5"/>
    </row>
    <row r="70" spans="1:23" ht="17" x14ac:dyDescent="0.2">
      <c r="A70" s="5">
        <v>68</v>
      </c>
      <c r="B70" s="5" t="s">
        <v>184</v>
      </c>
      <c r="C70" s="6" t="s">
        <v>185</v>
      </c>
      <c r="D70" s="94">
        <v>5700</v>
      </c>
      <c r="E70" s="94">
        <v>14508</v>
      </c>
      <c r="F70" s="7">
        <f t="shared" si="7"/>
        <v>2.5452631578947367</v>
      </c>
      <c r="G70" s="5" t="s">
        <v>20</v>
      </c>
      <c r="H70" s="5">
        <v>246</v>
      </c>
      <c r="I70" s="96">
        <f t="shared" si="4"/>
        <v>58.975609756097562</v>
      </c>
      <c r="J70" s="5" t="s">
        <v>107</v>
      </c>
      <c r="K70" s="5" t="s">
        <v>108</v>
      </c>
      <c r="L70" s="5">
        <v>1501131600</v>
      </c>
      <c r="M70" s="5">
        <v>1505192400</v>
      </c>
      <c r="N70" s="8">
        <f t="shared" si="5"/>
        <v>42943.208333333328</v>
      </c>
      <c r="O70" s="8">
        <f t="shared" si="6"/>
        <v>42990.208333333328</v>
      </c>
      <c r="P70" s="21" t="str">
        <f>TEXT(CrowdfundingTable[[#This Row],[date_created]],"ddd")</f>
        <v>Thu</v>
      </c>
      <c r="Q70" s="21">
        <f>_xlfn.DAYS(CrowdfundingTable[[#This Row],[date_ended]],CrowdfundingTable[[#This Row],[date_created]])</f>
        <v>47</v>
      </c>
      <c r="R70" s="5" t="b">
        <v>0</v>
      </c>
      <c r="S70" s="5" t="b">
        <v>1</v>
      </c>
      <c r="T70" s="5" t="s">
        <v>33</v>
      </c>
      <c r="U70" s="5" t="s">
        <v>2040</v>
      </c>
      <c r="V70" s="5" t="s">
        <v>2055</v>
      </c>
      <c r="W70" s="5"/>
    </row>
    <row r="71" spans="1:23" ht="17" x14ac:dyDescent="0.2">
      <c r="A71" s="5">
        <v>69</v>
      </c>
      <c r="B71" s="5" t="s">
        <v>186</v>
      </c>
      <c r="C71" s="6" t="s">
        <v>187</v>
      </c>
      <c r="D71" s="94">
        <v>7900</v>
      </c>
      <c r="E71" s="94">
        <v>1901</v>
      </c>
      <c r="F71" s="7">
        <f t="shared" si="7"/>
        <v>0.24063291139240506</v>
      </c>
      <c r="G71" s="5" t="s">
        <v>74</v>
      </c>
      <c r="H71" s="5">
        <v>17</v>
      </c>
      <c r="I71" s="96">
        <f t="shared" si="4"/>
        <v>111.82352941176471</v>
      </c>
      <c r="J71" s="5" t="s">
        <v>21</v>
      </c>
      <c r="K71" s="5" t="s">
        <v>22</v>
      </c>
      <c r="L71" s="5">
        <v>1292738400</v>
      </c>
      <c r="M71" s="5">
        <v>1295676000</v>
      </c>
      <c r="N71" s="8">
        <f t="shared" si="5"/>
        <v>40531.25</v>
      </c>
      <c r="O71" s="8">
        <f t="shared" si="6"/>
        <v>40565.25</v>
      </c>
      <c r="P71" s="21" t="str">
        <f>TEXT(CrowdfundingTable[[#This Row],[date_created]],"ddd")</f>
        <v>Sun</v>
      </c>
      <c r="Q71" s="21">
        <f>_xlfn.DAYS(CrowdfundingTable[[#This Row],[date_ended]],CrowdfundingTable[[#This Row],[date_created]])</f>
        <v>34</v>
      </c>
      <c r="R71" s="5" t="b">
        <v>0</v>
      </c>
      <c r="S71" s="5" t="b">
        <v>0</v>
      </c>
      <c r="T71" s="5" t="s">
        <v>33</v>
      </c>
      <c r="U71" s="5" t="s">
        <v>2040</v>
      </c>
      <c r="V71" s="5" t="s">
        <v>2055</v>
      </c>
      <c r="W71" s="5"/>
    </row>
    <row r="72" spans="1:23" ht="17" x14ac:dyDescent="0.2">
      <c r="A72" s="5">
        <v>70</v>
      </c>
      <c r="B72" s="5" t="s">
        <v>188</v>
      </c>
      <c r="C72" s="6" t="s">
        <v>189</v>
      </c>
      <c r="D72" s="94">
        <v>128000</v>
      </c>
      <c r="E72" s="94">
        <v>158389</v>
      </c>
      <c r="F72" s="7">
        <f t="shared" si="7"/>
        <v>1.2374140625000001</v>
      </c>
      <c r="G72" s="5" t="s">
        <v>20</v>
      </c>
      <c r="H72" s="5">
        <v>2475</v>
      </c>
      <c r="I72" s="96">
        <f t="shared" si="4"/>
        <v>63.995555555555555</v>
      </c>
      <c r="J72" s="5" t="s">
        <v>107</v>
      </c>
      <c r="K72" s="5" t="s">
        <v>108</v>
      </c>
      <c r="L72" s="5">
        <v>1288674000</v>
      </c>
      <c r="M72" s="5">
        <v>1292911200</v>
      </c>
      <c r="N72" s="8">
        <f t="shared" si="5"/>
        <v>40484.208333333336</v>
      </c>
      <c r="O72" s="8">
        <f t="shared" si="6"/>
        <v>40533.25</v>
      </c>
      <c r="P72" s="21" t="str">
        <f>TEXT(CrowdfundingTable[[#This Row],[date_created]],"ddd")</f>
        <v>Tue</v>
      </c>
      <c r="Q72" s="21">
        <f>_xlfn.DAYS(CrowdfundingTable[[#This Row],[date_ended]],CrowdfundingTable[[#This Row],[date_created]])</f>
        <v>49</v>
      </c>
      <c r="R72" s="5" t="b">
        <v>0</v>
      </c>
      <c r="S72" s="5" t="b">
        <v>1</v>
      </c>
      <c r="T72" s="5" t="s">
        <v>33</v>
      </c>
      <c r="U72" s="5" t="s">
        <v>2040</v>
      </c>
      <c r="V72" s="5" t="s">
        <v>2055</v>
      </c>
      <c r="W72" s="5"/>
    </row>
    <row r="73" spans="1:23" ht="34" x14ac:dyDescent="0.2">
      <c r="A73" s="5">
        <v>71</v>
      </c>
      <c r="B73" s="5" t="s">
        <v>190</v>
      </c>
      <c r="C73" s="6" t="s">
        <v>191</v>
      </c>
      <c r="D73" s="94">
        <v>6000</v>
      </c>
      <c r="E73" s="94">
        <v>6484</v>
      </c>
      <c r="F73" s="7">
        <f t="shared" si="7"/>
        <v>1.0806666666666667</v>
      </c>
      <c r="G73" s="5" t="s">
        <v>20</v>
      </c>
      <c r="H73" s="5">
        <v>76</v>
      </c>
      <c r="I73" s="96">
        <f t="shared" si="4"/>
        <v>85.315789473684205</v>
      </c>
      <c r="J73" s="5" t="s">
        <v>21</v>
      </c>
      <c r="K73" s="5" t="s">
        <v>22</v>
      </c>
      <c r="L73" s="5">
        <v>1575093600</v>
      </c>
      <c r="M73" s="5">
        <v>1575439200</v>
      </c>
      <c r="N73" s="8">
        <f t="shared" si="5"/>
        <v>43799.25</v>
      </c>
      <c r="O73" s="8">
        <f t="shared" si="6"/>
        <v>43803.25</v>
      </c>
      <c r="P73" s="21" t="str">
        <f>TEXT(CrowdfundingTable[[#This Row],[date_created]],"ddd")</f>
        <v>Sat</v>
      </c>
      <c r="Q73" s="21">
        <f>_xlfn.DAYS(CrowdfundingTable[[#This Row],[date_ended]],CrowdfundingTable[[#This Row],[date_created]])</f>
        <v>4</v>
      </c>
      <c r="R73" s="5" t="b">
        <v>0</v>
      </c>
      <c r="S73" s="5" t="b">
        <v>0</v>
      </c>
      <c r="T73" s="5" t="s">
        <v>33</v>
      </c>
      <c r="U73" s="5" t="s">
        <v>2040</v>
      </c>
      <c r="V73" s="5" t="s">
        <v>2055</v>
      </c>
      <c r="W73" s="5"/>
    </row>
    <row r="74" spans="1:23" ht="17" x14ac:dyDescent="0.2">
      <c r="A74" s="5">
        <v>72</v>
      </c>
      <c r="B74" s="5" t="s">
        <v>192</v>
      </c>
      <c r="C74" s="6" t="s">
        <v>193</v>
      </c>
      <c r="D74" s="94">
        <v>600</v>
      </c>
      <c r="E74" s="94">
        <v>4022</v>
      </c>
      <c r="F74" s="7">
        <f t="shared" si="7"/>
        <v>6.7033333333333331</v>
      </c>
      <c r="G74" s="5" t="s">
        <v>20</v>
      </c>
      <c r="H74" s="5">
        <v>54</v>
      </c>
      <c r="I74" s="96">
        <f t="shared" si="4"/>
        <v>74.481481481481481</v>
      </c>
      <c r="J74" s="5" t="s">
        <v>21</v>
      </c>
      <c r="K74" s="5" t="s">
        <v>22</v>
      </c>
      <c r="L74" s="5">
        <v>1435726800</v>
      </c>
      <c r="M74" s="5">
        <v>1438837200</v>
      </c>
      <c r="N74" s="8">
        <f t="shared" si="5"/>
        <v>42186.208333333328</v>
      </c>
      <c r="O74" s="8">
        <f t="shared" si="6"/>
        <v>42222.208333333328</v>
      </c>
      <c r="P74" s="21" t="str">
        <f>TEXT(CrowdfundingTable[[#This Row],[date_created]],"ddd")</f>
        <v>Wed</v>
      </c>
      <c r="Q74" s="21">
        <f>_xlfn.DAYS(CrowdfundingTable[[#This Row],[date_ended]],CrowdfundingTable[[#This Row],[date_created]])</f>
        <v>36</v>
      </c>
      <c r="R74" s="5" t="b">
        <v>0</v>
      </c>
      <c r="S74" s="5" t="b">
        <v>0</v>
      </c>
      <c r="T74" s="5" t="s">
        <v>71</v>
      </c>
      <c r="U74" s="5" t="s">
        <v>2032</v>
      </c>
      <c r="V74" s="5" t="s">
        <v>2042</v>
      </c>
      <c r="W74" s="5"/>
    </row>
    <row r="75" spans="1:23" ht="17" x14ac:dyDescent="0.2">
      <c r="A75" s="5">
        <v>73</v>
      </c>
      <c r="B75" s="5" t="s">
        <v>194</v>
      </c>
      <c r="C75" s="6" t="s">
        <v>195</v>
      </c>
      <c r="D75" s="94">
        <v>1400</v>
      </c>
      <c r="E75" s="94">
        <v>9253</v>
      </c>
      <c r="F75" s="7">
        <f t="shared" si="7"/>
        <v>6.609285714285714</v>
      </c>
      <c r="G75" s="5" t="s">
        <v>20</v>
      </c>
      <c r="H75" s="5">
        <v>88</v>
      </c>
      <c r="I75" s="96">
        <f t="shared" si="4"/>
        <v>105.14772727272727</v>
      </c>
      <c r="J75" s="5" t="s">
        <v>21</v>
      </c>
      <c r="K75" s="5" t="s">
        <v>22</v>
      </c>
      <c r="L75" s="5">
        <v>1480226400</v>
      </c>
      <c r="M75" s="5">
        <v>1480485600</v>
      </c>
      <c r="N75" s="8">
        <f t="shared" si="5"/>
        <v>42701.25</v>
      </c>
      <c r="O75" s="8">
        <f t="shared" si="6"/>
        <v>42704.25</v>
      </c>
      <c r="P75" s="21" t="str">
        <f>TEXT(CrowdfundingTable[[#This Row],[date_created]],"ddd")</f>
        <v>Sun</v>
      </c>
      <c r="Q75" s="21">
        <f>_xlfn.DAYS(CrowdfundingTable[[#This Row],[date_ended]],CrowdfundingTable[[#This Row],[date_created]])</f>
        <v>3</v>
      </c>
      <c r="R75" s="5" t="b">
        <v>0</v>
      </c>
      <c r="S75" s="5" t="b">
        <v>0</v>
      </c>
      <c r="T75" s="5" t="s">
        <v>159</v>
      </c>
      <c r="U75" s="5" t="s">
        <v>2036</v>
      </c>
      <c r="V75" s="5" t="s">
        <v>2050</v>
      </c>
      <c r="W75" s="5"/>
    </row>
    <row r="76" spans="1:23" ht="17" x14ac:dyDescent="0.2">
      <c r="A76" s="5">
        <v>74</v>
      </c>
      <c r="B76" s="5" t="s">
        <v>196</v>
      </c>
      <c r="C76" s="6" t="s">
        <v>197</v>
      </c>
      <c r="D76" s="94">
        <v>3900</v>
      </c>
      <c r="E76" s="94">
        <v>4776</v>
      </c>
      <c r="F76" s="7">
        <f t="shared" si="7"/>
        <v>1.2246153846153847</v>
      </c>
      <c r="G76" s="5" t="s">
        <v>20</v>
      </c>
      <c r="H76" s="5">
        <v>85</v>
      </c>
      <c r="I76" s="96">
        <f t="shared" si="4"/>
        <v>56.188235294117646</v>
      </c>
      <c r="J76" s="5" t="s">
        <v>40</v>
      </c>
      <c r="K76" s="5" t="s">
        <v>41</v>
      </c>
      <c r="L76" s="5">
        <v>1459054800</v>
      </c>
      <c r="M76" s="5">
        <v>1459141200</v>
      </c>
      <c r="N76" s="8">
        <f t="shared" si="5"/>
        <v>42456.208333333328</v>
      </c>
      <c r="O76" s="8">
        <f t="shared" si="6"/>
        <v>42457.208333333328</v>
      </c>
      <c r="P76" s="21" t="str">
        <f>TEXT(CrowdfundingTable[[#This Row],[date_created]],"ddd")</f>
        <v>Sun</v>
      </c>
      <c r="Q76" s="21">
        <f>_xlfn.DAYS(CrowdfundingTable[[#This Row],[date_ended]],CrowdfundingTable[[#This Row],[date_created]])</f>
        <v>1</v>
      </c>
      <c r="R76" s="5" t="b">
        <v>0</v>
      </c>
      <c r="S76" s="5" t="b">
        <v>0</v>
      </c>
      <c r="T76" s="5" t="s">
        <v>148</v>
      </c>
      <c r="U76" s="5" t="s">
        <v>2036</v>
      </c>
      <c r="V76" s="5" t="s">
        <v>2051</v>
      </c>
      <c r="W76" s="5"/>
    </row>
    <row r="77" spans="1:23" ht="17" x14ac:dyDescent="0.2">
      <c r="A77" s="5">
        <v>75</v>
      </c>
      <c r="B77" s="5" t="s">
        <v>198</v>
      </c>
      <c r="C77" s="6" t="s">
        <v>199</v>
      </c>
      <c r="D77" s="94">
        <v>9700</v>
      </c>
      <c r="E77" s="94">
        <v>14606</v>
      </c>
      <c r="F77" s="7">
        <f t="shared" si="7"/>
        <v>1.5057731958762886</v>
      </c>
      <c r="G77" s="5" t="s">
        <v>20</v>
      </c>
      <c r="H77" s="5">
        <v>170</v>
      </c>
      <c r="I77" s="96">
        <f t="shared" si="4"/>
        <v>85.917647058823533</v>
      </c>
      <c r="J77" s="5" t="s">
        <v>21</v>
      </c>
      <c r="K77" s="5" t="s">
        <v>22</v>
      </c>
      <c r="L77" s="5">
        <v>1531630800</v>
      </c>
      <c r="M77" s="5">
        <v>1532322000</v>
      </c>
      <c r="N77" s="8">
        <f t="shared" si="5"/>
        <v>43296.208333333328</v>
      </c>
      <c r="O77" s="8">
        <f t="shared" si="6"/>
        <v>43304.208333333328</v>
      </c>
      <c r="P77" s="21" t="str">
        <f>TEXT(CrowdfundingTable[[#This Row],[date_created]],"ddd")</f>
        <v>Sun</v>
      </c>
      <c r="Q77" s="21">
        <f>_xlfn.DAYS(CrowdfundingTable[[#This Row],[date_ended]],CrowdfundingTable[[#This Row],[date_created]])</f>
        <v>8</v>
      </c>
      <c r="R77" s="5" t="b">
        <v>0</v>
      </c>
      <c r="S77" s="5" t="b">
        <v>0</v>
      </c>
      <c r="T77" s="5" t="s">
        <v>122</v>
      </c>
      <c r="U77" s="5" t="s">
        <v>2037</v>
      </c>
      <c r="V77" s="5" t="s">
        <v>2054</v>
      </c>
      <c r="W77" s="5"/>
    </row>
    <row r="78" spans="1:23" ht="17" x14ac:dyDescent="0.2">
      <c r="A78" s="5">
        <v>76</v>
      </c>
      <c r="B78" s="5" t="s">
        <v>200</v>
      </c>
      <c r="C78" s="6" t="s">
        <v>201</v>
      </c>
      <c r="D78" s="94">
        <v>122900</v>
      </c>
      <c r="E78" s="94">
        <v>95993</v>
      </c>
      <c r="F78" s="7">
        <f t="shared" si="7"/>
        <v>0.78106590724165992</v>
      </c>
      <c r="G78" s="5" t="s">
        <v>14</v>
      </c>
      <c r="H78" s="5">
        <v>1684</v>
      </c>
      <c r="I78" s="96">
        <f t="shared" si="4"/>
        <v>57.00296912114014</v>
      </c>
      <c r="J78" s="5" t="s">
        <v>21</v>
      </c>
      <c r="K78" s="5" t="s">
        <v>22</v>
      </c>
      <c r="L78" s="5">
        <v>1421992800</v>
      </c>
      <c r="M78" s="5">
        <v>1426222800</v>
      </c>
      <c r="N78" s="8">
        <f t="shared" si="5"/>
        <v>42027.25</v>
      </c>
      <c r="O78" s="8">
        <f t="shared" si="6"/>
        <v>42076.208333333328</v>
      </c>
      <c r="P78" s="21" t="str">
        <f>TEXT(CrowdfundingTable[[#This Row],[date_created]],"ddd")</f>
        <v>Fri</v>
      </c>
      <c r="Q78" s="21">
        <f>_xlfn.DAYS(CrowdfundingTable[[#This Row],[date_ended]],CrowdfundingTable[[#This Row],[date_created]])</f>
        <v>49</v>
      </c>
      <c r="R78" s="5" t="b">
        <v>1</v>
      </c>
      <c r="S78" s="5" t="b">
        <v>1</v>
      </c>
      <c r="T78" s="5" t="s">
        <v>33</v>
      </c>
      <c r="U78" s="5" t="s">
        <v>2040</v>
      </c>
      <c r="V78" s="5" t="s">
        <v>2055</v>
      </c>
      <c r="W78" s="5"/>
    </row>
    <row r="79" spans="1:23" ht="17" x14ac:dyDescent="0.2">
      <c r="A79" s="5">
        <v>77</v>
      </c>
      <c r="B79" s="5" t="s">
        <v>202</v>
      </c>
      <c r="C79" s="6" t="s">
        <v>203</v>
      </c>
      <c r="D79" s="94">
        <v>9500</v>
      </c>
      <c r="E79" s="94">
        <v>4460</v>
      </c>
      <c r="F79" s="7">
        <f t="shared" si="7"/>
        <v>0.46947368421052632</v>
      </c>
      <c r="G79" s="5" t="s">
        <v>14</v>
      </c>
      <c r="H79" s="5">
        <v>56</v>
      </c>
      <c r="I79" s="96">
        <f t="shared" si="4"/>
        <v>79.642857142857139</v>
      </c>
      <c r="J79" s="5" t="s">
        <v>21</v>
      </c>
      <c r="K79" s="5" t="s">
        <v>22</v>
      </c>
      <c r="L79" s="5">
        <v>1285563600</v>
      </c>
      <c r="M79" s="5">
        <v>1286773200</v>
      </c>
      <c r="N79" s="8">
        <f t="shared" si="5"/>
        <v>40448.208333333336</v>
      </c>
      <c r="O79" s="8">
        <f t="shared" si="6"/>
        <v>40462.208333333336</v>
      </c>
      <c r="P79" s="21" t="str">
        <f>TEXT(CrowdfundingTable[[#This Row],[date_created]],"ddd")</f>
        <v>Mon</v>
      </c>
      <c r="Q79" s="21">
        <f>_xlfn.DAYS(CrowdfundingTable[[#This Row],[date_ended]],CrowdfundingTable[[#This Row],[date_created]])</f>
        <v>14</v>
      </c>
      <c r="R79" s="5" t="b">
        <v>0</v>
      </c>
      <c r="S79" s="5" t="b">
        <v>1</v>
      </c>
      <c r="T79" s="5" t="s">
        <v>71</v>
      </c>
      <c r="U79" s="5" t="s">
        <v>2032</v>
      </c>
      <c r="V79" s="5" t="s">
        <v>2042</v>
      </c>
      <c r="W79" s="5"/>
    </row>
    <row r="80" spans="1:23" ht="17" x14ac:dyDescent="0.2">
      <c r="A80" s="5">
        <v>78</v>
      </c>
      <c r="B80" s="5" t="s">
        <v>204</v>
      </c>
      <c r="C80" s="6" t="s">
        <v>205</v>
      </c>
      <c r="D80" s="94">
        <v>4500</v>
      </c>
      <c r="E80" s="94">
        <v>13536</v>
      </c>
      <c r="F80" s="7">
        <f t="shared" si="7"/>
        <v>3.008</v>
      </c>
      <c r="G80" s="5" t="s">
        <v>20</v>
      </c>
      <c r="H80" s="5">
        <v>330</v>
      </c>
      <c r="I80" s="96">
        <f t="shared" si="4"/>
        <v>41.018181818181816</v>
      </c>
      <c r="J80" s="5" t="s">
        <v>21</v>
      </c>
      <c r="K80" s="5" t="s">
        <v>22</v>
      </c>
      <c r="L80" s="5">
        <v>1523854800</v>
      </c>
      <c r="M80" s="5">
        <v>1523941200</v>
      </c>
      <c r="N80" s="8">
        <f t="shared" si="5"/>
        <v>43206.208333333328</v>
      </c>
      <c r="O80" s="8">
        <f t="shared" si="6"/>
        <v>43207.208333333328</v>
      </c>
      <c r="P80" s="21" t="str">
        <f>TEXT(CrowdfundingTable[[#This Row],[date_created]],"ddd")</f>
        <v>Mon</v>
      </c>
      <c r="Q80" s="21">
        <f>_xlfn.DAYS(CrowdfundingTable[[#This Row],[date_ended]],CrowdfundingTable[[#This Row],[date_created]])</f>
        <v>1</v>
      </c>
      <c r="R80" s="5" t="b">
        <v>0</v>
      </c>
      <c r="S80" s="5" t="b">
        <v>0</v>
      </c>
      <c r="T80" s="5" t="s">
        <v>206</v>
      </c>
      <c r="U80" s="5" t="s">
        <v>2038</v>
      </c>
      <c r="V80" s="5" t="s">
        <v>2061</v>
      </c>
      <c r="W80" s="5"/>
    </row>
    <row r="81" spans="1:23" ht="17" x14ac:dyDescent="0.2">
      <c r="A81" s="5">
        <v>79</v>
      </c>
      <c r="B81" s="5" t="s">
        <v>207</v>
      </c>
      <c r="C81" s="6" t="s">
        <v>208</v>
      </c>
      <c r="D81" s="94">
        <v>57800</v>
      </c>
      <c r="E81" s="94">
        <v>40228</v>
      </c>
      <c r="F81" s="7">
        <f t="shared" si="7"/>
        <v>0.6959861591695502</v>
      </c>
      <c r="G81" s="5" t="s">
        <v>14</v>
      </c>
      <c r="H81" s="5">
        <v>838</v>
      </c>
      <c r="I81" s="96">
        <f t="shared" si="4"/>
        <v>48.004773269689736</v>
      </c>
      <c r="J81" s="5" t="s">
        <v>21</v>
      </c>
      <c r="K81" s="5" t="s">
        <v>22</v>
      </c>
      <c r="L81" s="5">
        <v>1529125200</v>
      </c>
      <c r="M81" s="5">
        <v>1529557200</v>
      </c>
      <c r="N81" s="8">
        <f t="shared" si="5"/>
        <v>43267.208333333328</v>
      </c>
      <c r="O81" s="8">
        <f t="shared" si="6"/>
        <v>43272.208333333328</v>
      </c>
      <c r="P81" s="21" t="str">
        <f>TEXT(CrowdfundingTable[[#This Row],[date_created]],"ddd")</f>
        <v>Sat</v>
      </c>
      <c r="Q81" s="21">
        <f>_xlfn.DAYS(CrowdfundingTable[[#This Row],[date_ended]],CrowdfundingTable[[#This Row],[date_created]])</f>
        <v>5</v>
      </c>
      <c r="R81" s="5" t="b">
        <v>0</v>
      </c>
      <c r="S81" s="5" t="b">
        <v>0</v>
      </c>
      <c r="T81" s="5" t="s">
        <v>33</v>
      </c>
      <c r="U81" s="5" t="s">
        <v>2040</v>
      </c>
      <c r="V81" s="5" t="s">
        <v>2055</v>
      </c>
      <c r="W81" s="5"/>
    </row>
    <row r="82" spans="1:23" ht="17" x14ac:dyDescent="0.2">
      <c r="A82" s="5">
        <v>80</v>
      </c>
      <c r="B82" s="5" t="s">
        <v>209</v>
      </c>
      <c r="C82" s="6" t="s">
        <v>210</v>
      </c>
      <c r="D82" s="94">
        <v>1100</v>
      </c>
      <c r="E82" s="94">
        <v>7012</v>
      </c>
      <c r="F82" s="7">
        <f t="shared" si="7"/>
        <v>6.374545454545455</v>
      </c>
      <c r="G82" s="5" t="s">
        <v>20</v>
      </c>
      <c r="H82" s="5">
        <v>127</v>
      </c>
      <c r="I82" s="96">
        <f t="shared" si="4"/>
        <v>55.212598425196852</v>
      </c>
      <c r="J82" s="5" t="s">
        <v>21</v>
      </c>
      <c r="K82" s="5" t="s">
        <v>22</v>
      </c>
      <c r="L82" s="5">
        <v>1503982800</v>
      </c>
      <c r="M82" s="5">
        <v>1506574800</v>
      </c>
      <c r="N82" s="8">
        <f t="shared" si="5"/>
        <v>42976.208333333328</v>
      </c>
      <c r="O82" s="8">
        <f t="shared" si="6"/>
        <v>43006.208333333328</v>
      </c>
      <c r="P82" s="21" t="str">
        <f>TEXT(CrowdfundingTable[[#This Row],[date_created]],"ddd")</f>
        <v>Tue</v>
      </c>
      <c r="Q82" s="21">
        <f>_xlfn.DAYS(CrowdfundingTable[[#This Row],[date_ended]],CrowdfundingTable[[#This Row],[date_created]])</f>
        <v>30</v>
      </c>
      <c r="R82" s="5" t="b">
        <v>0</v>
      </c>
      <c r="S82" s="5" t="b">
        <v>0</v>
      </c>
      <c r="T82" s="5" t="s">
        <v>89</v>
      </c>
      <c r="U82" s="5" t="s">
        <v>2034</v>
      </c>
      <c r="V82" s="5" t="s">
        <v>2062</v>
      </c>
      <c r="W82" s="5"/>
    </row>
    <row r="83" spans="1:23" ht="17" x14ac:dyDescent="0.2">
      <c r="A83" s="5">
        <v>81</v>
      </c>
      <c r="B83" s="5" t="s">
        <v>211</v>
      </c>
      <c r="C83" s="6" t="s">
        <v>212</v>
      </c>
      <c r="D83" s="94">
        <v>16800</v>
      </c>
      <c r="E83" s="94">
        <v>37857</v>
      </c>
      <c r="F83" s="7">
        <f t="shared" si="7"/>
        <v>2.253392857142857</v>
      </c>
      <c r="G83" s="5" t="s">
        <v>20</v>
      </c>
      <c r="H83" s="5">
        <v>411</v>
      </c>
      <c r="I83" s="96">
        <f t="shared" si="4"/>
        <v>92.109489051094897</v>
      </c>
      <c r="J83" s="5" t="s">
        <v>21</v>
      </c>
      <c r="K83" s="5" t="s">
        <v>22</v>
      </c>
      <c r="L83" s="5">
        <v>1511416800</v>
      </c>
      <c r="M83" s="5">
        <v>1513576800</v>
      </c>
      <c r="N83" s="8">
        <f t="shared" si="5"/>
        <v>43062.25</v>
      </c>
      <c r="O83" s="8">
        <f t="shared" si="6"/>
        <v>43087.25</v>
      </c>
      <c r="P83" s="21" t="str">
        <f>TEXT(CrowdfundingTable[[#This Row],[date_created]],"ddd")</f>
        <v>Thu</v>
      </c>
      <c r="Q83" s="21">
        <f>_xlfn.DAYS(CrowdfundingTable[[#This Row],[date_ended]],CrowdfundingTable[[#This Row],[date_created]])</f>
        <v>25</v>
      </c>
      <c r="R83" s="5" t="b">
        <v>0</v>
      </c>
      <c r="S83" s="5" t="b">
        <v>0</v>
      </c>
      <c r="T83" s="5" t="s">
        <v>23</v>
      </c>
      <c r="U83" s="5" t="s">
        <v>2036</v>
      </c>
      <c r="V83" s="5" t="s">
        <v>2057</v>
      </c>
      <c r="W83" s="5"/>
    </row>
    <row r="84" spans="1:23" ht="17" x14ac:dyDescent="0.2">
      <c r="A84" s="5">
        <v>82</v>
      </c>
      <c r="B84" s="5" t="s">
        <v>213</v>
      </c>
      <c r="C84" s="6" t="s">
        <v>214</v>
      </c>
      <c r="D84" s="94">
        <v>1000</v>
      </c>
      <c r="E84" s="94">
        <v>14973</v>
      </c>
      <c r="F84" s="7">
        <f t="shared" si="7"/>
        <v>14.973000000000001</v>
      </c>
      <c r="G84" s="5" t="s">
        <v>20</v>
      </c>
      <c r="H84" s="5">
        <v>180</v>
      </c>
      <c r="I84" s="96">
        <f t="shared" si="4"/>
        <v>83.183333333333337</v>
      </c>
      <c r="J84" s="5" t="s">
        <v>40</v>
      </c>
      <c r="K84" s="5" t="s">
        <v>41</v>
      </c>
      <c r="L84" s="5">
        <v>1547704800</v>
      </c>
      <c r="M84" s="5">
        <v>1548309600</v>
      </c>
      <c r="N84" s="8">
        <f t="shared" si="5"/>
        <v>43482.25</v>
      </c>
      <c r="O84" s="8">
        <f t="shared" si="6"/>
        <v>43489.25</v>
      </c>
      <c r="P84" s="21" t="str">
        <f>TEXT(CrowdfundingTable[[#This Row],[date_created]],"ddd")</f>
        <v>Thu</v>
      </c>
      <c r="Q84" s="21">
        <f>_xlfn.DAYS(CrowdfundingTable[[#This Row],[date_ended]],CrowdfundingTable[[#This Row],[date_created]])</f>
        <v>7</v>
      </c>
      <c r="R84" s="5" t="b">
        <v>0</v>
      </c>
      <c r="S84" s="5" t="b">
        <v>1</v>
      </c>
      <c r="T84" s="5" t="s">
        <v>89</v>
      </c>
      <c r="U84" s="5" t="s">
        <v>2034</v>
      </c>
      <c r="V84" s="5" t="s">
        <v>2062</v>
      </c>
      <c r="W84" s="5"/>
    </row>
    <row r="85" spans="1:23" ht="17" x14ac:dyDescent="0.2">
      <c r="A85" s="5">
        <v>83</v>
      </c>
      <c r="B85" s="5" t="s">
        <v>215</v>
      </c>
      <c r="C85" s="6" t="s">
        <v>216</v>
      </c>
      <c r="D85" s="94">
        <v>106400</v>
      </c>
      <c r="E85" s="94">
        <v>39996</v>
      </c>
      <c r="F85" s="7">
        <f t="shared" si="7"/>
        <v>0.37590225563909774</v>
      </c>
      <c r="G85" s="5" t="s">
        <v>14</v>
      </c>
      <c r="H85" s="5">
        <v>1000</v>
      </c>
      <c r="I85" s="96">
        <f t="shared" si="4"/>
        <v>39.996000000000002</v>
      </c>
      <c r="J85" s="5" t="s">
        <v>21</v>
      </c>
      <c r="K85" s="5" t="s">
        <v>22</v>
      </c>
      <c r="L85" s="5">
        <v>1469682000</v>
      </c>
      <c r="M85" s="5">
        <v>1471582800</v>
      </c>
      <c r="N85" s="8">
        <f t="shared" si="5"/>
        <v>42579.208333333328</v>
      </c>
      <c r="O85" s="8">
        <f t="shared" si="6"/>
        <v>42601.208333333328</v>
      </c>
      <c r="P85" s="21" t="str">
        <f>TEXT(CrowdfundingTable[[#This Row],[date_created]],"ddd")</f>
        <v>Thu</v>
      </c>
      <c r="Q85" s="21">
        <f>_xlfn.DAYS(CrowdfundingTable[[#This Row],[date_ended]],CrowdfundingTable[[#This Row],[date_created]])</f>
        <v>22</v>
      </c>
      <c r="R85" s="5" t="b">
        <v>0</v>
      </c>
      <c r="S85" s="5" t="b">
        <v>0</v>
      </c>
      <c r="T85" s="5" t="s">
        <v>50</v>
      </c>
      <c r="U85" s="5" t="s">
        <v>2036</v>
      </c>
      <c r="V85" s="5" t="s">
        <v>2046</v>
      </c>
      <c r="W85" s="5"/>
    </row>
    <row r="86" spans="1:23" ht="17" x14ac:dyDescent="0.2">
      <c r="A86" s="5">
        <v>84</v>
      </c>
      <c r="B86" s="5" t="s">
        <v>217</v>
      </c>
      <c r="C86" s="6" t="s">
        <v>218</v>
      </c>
      <c r="D86" s="94">
        <v>31400</v>
      </c>
      <c r="E86" s="94">
        <v>41564</v>
      </c>
      <c r="F86" s="7">
        <f t="shared" si="7"/>
        <v>1.3236942675159236</v>
      </c>
      <c r="G86" s="5" t="s">
        <v>20</v>
      </c>
      <c r="H86" s="5">
        <v>374</v>
      </c>
      <c r="I86" s="96">
        <f t="shared" si="4"/>
        <v>111.1336898395722</v>
      </c>
      <c r="J86" s="5" t="s">
        <v>21</v>
      </c>
      <c r="K86" s="5" t="s">
        <v>22</v>
      </c>
      <c r="L86" s="5">
        <v>1343451600</v>
      </c>
      <c r="M86" s="5">
        <v>1344315600</v>
      </c>
      <c r="N86" s="8">
        <f t="shared" si="5"/>
        <v>41118.208333333336</v>
      </c>
      <c r="O86" s="8">
        <f t="shared" si="6"/>
        <v>41128.208333333336</v>
      </c>
      <c r="P86" s="21" t="str">
        <f>TEXT(CrowdfundingTable[[#This Row],[date_created]],"ddd")</f>
        <v>Sat</v>
      </c>
      <c r="Q86" s="21">
        <f>_xlfn.DAYS(CrowdfundingTable[[#This Row],[date_ended]],CrowdfundingTable[[#This Row],[date_created]])</f>
        <v>10</v>
      </c>
      <c r="R86" s="5" t="b">
        <v>0</v>
      </c>
      <c r="S86" s="5" t="b">
        <v>0</v>
      </c>
      <c r="T86" s="5" t="s">
        <v>65</v>
      </c>
      <c r="U86" s="5" t="s">
        <v>2039</v>
      </c>
      <c r="V86" s="5" t="s">
        <v>2063</v>
      </c>
      <c r="W86" s="5"/>
    </row>
    <row r="87" spans="1:23" ht="17" x14ac:dyDescent="0.2">
      <c r="A87" s="5">
        <v>85</v>
      </c>
      <c r="B87" s="5" t="s">
        <v>219</v>
      </c>
      <c r="C87" s="6" t="s">
        <v>220</v>
      </c>
      <c r="D87" s="94">
        <v>4900</v>
      </c>
      <c r="E87" s="94">
        <v>6430</v>
      </c>
      <c r="F87" s="7">
        <f t="shared" si="7"/>
        <v>1.3122448979591836</v>
      </c>
      <c r="G87" s="5" t="s">
        <v>20</v>
      </c>
      <c r="H87" s="5">
        <v>71</v>
      </c>
      <c r="I87" s="96">
        <f t="shared" si="4"/>
        <v>90.563380281690144</v>
      </c>
      <c r="J87" s="5" t="s">
        <v>26</v>
      </c>
      <c r="K87" s="5" t="s">
        <v>27</v>
      </c>
      <c r="L87" s="5">
        <v>1315717200</v>
      </c>
      <c r="M87" s="5">
        <v>1316408400</v>
      </c>
      <c r="N87" s="8">
        <f t="shared" si="5"/>
        <v>40797.208333333336</v>
      </c>
      <c r="O87" s="8">
        <f t="shared" si="6"/>
        <v>40805.208333333336</v>
      </c>
      <c r="P87" s="21" t="str">
        <f>TEXT(CrowdfundingTable[[#This Row],[date_created]],"ddd")</f>
        <v>Sun</v>
      </c>
      <c r="Q87" s="21">
        <f>_xlfn.DAYS(CrowdfundingTable[[#This Row],[date_ended]],CrowdfundingTable[[#This Row],[date_created]])</f>
        <v>8</v>
      </c>
      <c r="R87" s="5" t="b">
        <v>0</v>
      </c>
      <c r="S87" s="5" t="b">
        <v>0</v>
      </c>
      <c r="T87" s="5" t="s">
        <v>60</v>
      </c>
      <c r="U87" s="5" t="s">
        <v>2036</v>
      </c>
      <c r="V87" s="5" t="s">
        <v>2049</v>
      </c>
      <c r="W87" s="5"/>
    </row>
    <row r="88" spans="1:23" ht="17" x14ac:dyDescent="0.2">
      <c r="A88" s="5">
        <v>86</v>
      </c>
      <c r="B88" s="5" t="s">
        <v>221</v>
      </c>
      <c r="C88" s="6" t="s">
        <v>222</v>
      </c>
      <c r="D88" s="94">
        <v>7400</v>
      </c>
      <c r="E88" s="94">
        <v>12405</v>
      </c>
      <c r="F88" s="7">
        <f t="shared" si="7"/>
        <v>1.6763513513513513</v>
      </c>
      <c r="G88" s="5" t="s">
        <v>20</v>
      </c>
      <c r="H88" s="5">
        <v>203</v>
      </c>
      <c r="I88" s="96">
        <f t="shared" si="4"/>
        <v>61.108374384236456</v>
      </c>
      <c r="J88" s="5" t="s">
        <v>21</v>
      </c>
      <c r="K88" s="5" t="s">
        <v>22</v>
      </c>
      <c r="L88" s="5">
        <v>1430715600</v>
      </c>
      <c r="M88" s="5">
        <v>1431838800</v>
      </c>
      <c r="N88" s="8">
        <f t="shared" si="5"/>
        <v>42128.208333333328</v>
      </c>
      <c r="O88" s="8">
        <f t="shared" si="6"/>
        <v>42141.208333333328</v>
      </c>
      <c r="P88" s="21" t="str">
        <f>TEXT(CrowdfundingTable[[#This Row],[date_created]],"ddd")</f>
        <v>Mon</v>
      </c>
      <c r="Q88" s="21">
        <f>_xlfn.DAYS(CrowdfundingTable[[#This Row],[date_ended]],CrowdfundingTable[[#This Row],[date_created]])</f>
        <v>13</v>
      </c>
      <c r="R88" s="5" t="b">
        <v>1</v>
      </c>
      <c r="S88" s="5" t="b">
        <v>0</v>
      </c>
      <c r="T88" s="5" t="s">
        <v>33</v>
      </c>
      <c r="U88" s="5" t="s">
        <v>2040</v>
      </c>
      <c r="V88" s="5" t="s">
        <v>2055</v>
      </c>
      <c r="W88" s="5"/>
    </row>
    <row r="89" spans="1:23" ht="34" x14ac:dyDescent="0.2">
      <c r="A89" s="5">
        <v>87</v>
      </c>
      <c r="B89" s="5" t="s">
        <v>223</v>
      </c>
      <c r="C89" s="6" t="s">
        <v>224</v>
      </c>
      <c r="D89" s="94">
        <v>198500</v>
      </c>
      <c r="E89" s="94">
        <v>123040</v>
      </c>
      <c r="F89" s="7">
        <f t="shared" si="7"/>
        <v>0.6198488664987406</v>
      </c>
      <c r="G89" s="5" t="s">
        <v>14</v>
      </c>
      <c r="H89" s="5">
        <v>1482</v>
      </c>
      <c r="I89" s="96">
        <f t="shared" si="4"/>
        <v>83.022941970310384</v>
      </c>
      <c r="J89" s="5" t="s">
        <v>26</v>
      </c>
      <c r="K89" s="5" t="s">
        <v>27</v>
      </c>
      <c r="L89" s="5">
        <v>1299564000</v>
      </c>
      <c r="M89" s="5">
        <v>1300510800</v>
      </c>
      <c r="N89" s="8">
        <f t="shared" si="5"/>
        <v>40610.25</v>
      </c>
      <c r="O89" s="8">
        <f t="shared" si="6"/>
        <v>40621.208333333336</v>
      </c>
      <c r="P89" s="21" t="str">
        <f>TEXT(CrowdfundingTable[[#This Row],[date_created]],"ddd")</f>
        <v>Tue</v>
      </c>
      <c r="Q89" s="21">
        <f>_xlfn.DAYS(CrowdfundingTable[[#This Row],[date_ended]],CrowdfundingTable[[#This Row],[date_created]])</f>
        <v>11</v>
      </c>
      <c r="R89" s="5" t="b">
        <v>0</v>
      </c>
      <c r="S89" s="5" t="b">
        <v>1</v>
      </c>
      <c r="T89" s="5" t="s">
        <v>23</v>
      </c>
      <c r="U89" s="5" t="s">
        <v>2036</v>
      </c>
      <c r="V89" s="5" t="s">
        <v>2057</v>
      </c>
      <c r="W89" s="5"/>
    </row>
    <row r="90" spans="1:23" ht="17" x14ac:dyDescent="0.2">
      <c r="A90" s="5">
        <v>88</v>
      </c>
      <c r="B90" s="5" t="s">
        <v>225</v>
      </c>
      <c r="C90" s="6" t="s">
        <v>226</v>
      </c>
      <c r="D90" s="94">
        <v>4800</v>
      </c>
      <c r="E90" s="94">
        <v>12516</v>
      </c>
      <c r="F90" s="7">
        <f t="shared" si="7"/>
        <v>2.6074999999999999</v>
      </c>
      <c r="G90" s="5" t="s">
        <v>20</v>
      </c>
      <c r="H90" s="5">
        <v>113</v>
      </c>
      <c r="I90" s="96">
        <f t="shared" si="4"/>
        <v>110.76106194690266</v>
      </c>
      <c r="J90" s="5" t="s">
        <v>21</v>
      </c>
      <c r="K90" s="5" t="s">
        <v>22</v>
      </c>
      <c r="L90" s="5">
        <v>1429160400</v>
      </c>
      <c r="M90" s="5">
        <v>1431061200</v>
      </c>
      <c r="N90" s="8">
        <f t="shared" si="5"/>
        <v>42110.208333333328</v>
      </c>
      <c r="O90" s="8">
        <f t="shared" si="6"/>
        <v>42132.208333333328</v>
      </c>
      <c r="P90" s="21" t="str">
        <f>TEXT(CrowdfundingTable[[#This Row],[date_created]],"ddd")</f>
        <v>Thu</v>
      </c>
      <c r="Q90" s="21">
        <f>_xlfn.DAYS(CrowdfundingTable[[#This Row],[date_ended]],CrowdfundingTable[[#This Row],[date_created]])</f>
        <v>22</v>
      </c>
      <c r="R90" s="5" t="b">
        <v>0</v>
      </c>
      <c r="S90" s="5" t="b">
        <v>0</v>
      </c>
      <c r="T90" s="5" t="s">
        <v>206</v>
      </c>
      <c r="U90" s="5" t="s">
        <v>2038</v>
      </c>
      <c r="V90" s="5" t="s">
        <v>2061</v>
      </c>
      <c r="W90" s="5"/>
    </row>
    <row r="91" spans="1:23" ht="17" x14ac:dyDescent="0.2">
      <c r="A91" s="5">
        <v>89</v>
      </c>
      <c r="B91" s="5" t="s">
        <v>227</v>
      </c>
      <c r="C91" s="6" t="s">
        <v>228</v>
      </c>
      <c r="D91" s="94">
        <v>3400</v>
      </c>
      <c r="E91" s="94">
        <v>8588</v>
      </c>
      <c r="F91" s="7">
        <f t="shared" si="7"/>
        <v>2.5258823529411765</v>
      </c>
      <c r="G91" s="5" t="s">
        <v>20</v>
      </c>
      <c r="H91" s="5">
        <v>96</v>
      </c>
      <c r="I91" s="96">
        <f t="shared" si="4"/>
        <v>89.458333333333329</v>
      </c>
      <c r="J91" s="5" t="s">
        <v>21</v>
      </c>
      <c r="K91" s="5" t="s">
        <v>22</v>
      </c>
      <c r="L91" s="5">
        <v>1271307600</v>
      </c>
      <c r="M91" s="5">
        <v>1271480400</v>
      </c>
      <c r="N91" s="8">
        <f t="shared" si="5"/>
        <v>40283.208333333336</v>
      </c>
      <c r="O91" s="8">
        <f t="shared" si="6"/>
        <v>40285.208333333336</v>
      </c>
      <c r="P91" s="21" t="str">
        <f>TEXT(CrowdfundingTable[[#This Row],[date_created]],"ddd")</f>
        <v>Thu</v>
      </c>
      <c r="Q91" s="21">
        <f>_xlfn.DAYS(CrowdfundingTable[[#This Row],[date_ended]],CrowdfundingTable[[#This Row],[date_created]])</f>
        <v>2</v>
      </c>
      <c r="R91" s="5" t="b">
        <v>0</v>
      </c>
      <c r="S91" s="5" t="b">
        <v>0</v>
      </c>
      <c r="T91" s="5" t="s">
        <v>33</v>
      </c>
      <c r="U91" s="5" t="s">
        <v>2040</v>
      </c>
      <c r="V91" s="5" t="s">
        <v>2055</v>
      </c>
      <c r="W91" s="5"/>
    </row>
    <row r="92" spans="1:23" ht="17" x14ac:dyDescent="0.2">
      <c r="A92" s="5">
        <v>90</v>
      </c>
      <c r="B92" s="5" t="s">
        <v>229</v>
      </c>
      <c r="C92" s="6" t="s">
        <v>230</v>
      </c>
      <c r="D92" s="94">
        <v>7800</v>
      </c>
      <c r="E92" s="94">
        <v>6132</v>
      </c>
      <c r="F92" s="7">
        <f t="shared" si="7"/>
        <v>0.7861538461538462</v>
      </c>
      <c r="G92" s="5" t="s">
        <v>14</v>
      </c>
      <c r="H92" s="5">
        <v>106</v>
      </c>
      <c r="I92" s="96">
        <f t="shared" si="4"/>
        <v>57.849056603773583</v>
      </c>
      <c r="J92" s="5" t="s">
        <v>21</v>
      </c>
      <c r="K92" s="5" t="s">
        <v>22</v>
      </c>
      <c r="L92" s="5">
        <v>1456380000</v>
      </c>
      <c r="M92" s="5">
        <v>1456380000</v>
      </c>
      <c r="N92" s="8">
        <f t="shared" si="5"/>
        <v>42425.25</v>
      </c>
      <c r="O92" s="8">
        <f t="shared" si="6"/>
        <v>42425.25</v>
      </c>
      <c r="P92" s="21" t="str">
        <f>TEXT(CrowdfundingTable[[#This Row],[date_created]],"ddd")</f>
        <v>Thu</v>
      </c>
      <c r="Q92" s="21">
        <f>_xlfn.DAYS(CrowdfundingTable[[#This Row],[date_ended]],CrowdfundingTable[[#This Row],[date_created]])</f>
        <v>0</v>
      </c>
      <c r="R92" s="5" t="b">
        <v>0</v>
      </c>
      <c r="S92" s="5" t="b">
        <v>1</v>
      </c>
      <c r="T92" s="5" t="s">
        <v>33</v>
      </c>
      <c r="U92" s="5" t="s">
        <v>2040</v>
      </c>
      <c r="V92" s="5" t="s">
        <v>2055</v>
      </c>
      <c r="W92" s="5"/>
    </row>
    <row r="93" spans="1:23" ht="17" x14ac:dyDescent="0.2">
      <c r="A93" s="5">
        <v>91</v>
      </c>
      <c r="B93" s="5" t="s">
        <v>231</v>
      </c>
      <c r="C93" s="6" t="s">
        <v>232</v>
      </c>
      <c r="D93" s="94">
        <v>154300</v>
      </c>
      <c r="E93" s="94">
        <v>74688</v>
      </c>
      <c r="F93" s="7">
        <f t="shared" si="7"/>
        <v>0.48404406999351912</v>
      </c>
      <c r="G93" s="5" t="s">
        <v>14</v>
      </c>
      <c r="H93" s="5">
        <v>679</v>
      </c>
      <c r="I93" s="96">
        <f t="shared" si="4"/>
        <v>109.99705449189985</v>
      </c>
      <c r="J93" s="5" t="s">
        <v>107</v>
      </c>
      <c r="K93" s="5" t="s">
        <v>108</v>
      </c>
      <c r="L93" s="5">
        <v>1470459600</v>
      </c>
      <c r="M93" s="5">
        <v>1472878800</v>
      </c>
      <c r="N93" s="8">
        <f t="shared" si="5"/>
        <v>42588.208333333328</v>
      </c>
      <c r="O93" s="8">
        <f t="shared" si="6"/>
        <v>42616.208333333328</v>
      </c>
      <c r="P93" s="21" t="str">
        <f>TEXT(CrowdfundingTable[[#This Row],[date_created]],"ddd")</f>
        <v>Sat</v>
      </c>
      <c r="Q93" s="21">
        <f>_xlfn.DAYS(CrowdfundingTable[[#This Row],[date_ended]],CrowdfundingTable[[#This Row],[date_created]])</f>
        <v>28</v>
      </c>
      <c r="R93" s="5" t="b">
        <v>0</v>
      </c>
      <c r="S93" s="5" t="b">
        <v>0</v>
      </c>
      <c r="T93" s="5" t="s">
        <v>206</v>
      </c>
      <c r="U93" s="5" t="s">
        <v>2038</v>
      </c>
      <c r="V93" s="5" t="s">
        <v>2061</v>
      </c>
      <c r="W93" s="5"/>
    </row>
    <row r="94" spans="1:23" ht="17" x14ac:dyDescent="0.2">
      <c r="A94" s="5">
        <v>92</v>
      </c>
      <c r="B94" s="5" t="s">
        <v>233</v>
      </c>
      <c r="C94" s="6" t="s">
        <v>234</v>
      </c>
      <c r="D94" s="94">
        <v>20000</v>
      </c>
      <c r="E94" s="94">
        <v>51775</v>
      </c>
      <c r="F94" s="7">
        <f t="shared" si="7"/>
        <v>2.5887500000000001</v>
      </c>
      <c r="G94" s="5" t="s">
        <v>20</v>
      </c>
      <c r="H94" s="5">
        <v>498</v>
      </c>
      <c r="I94" s="96">
        <f t="shared" si="4"/>
        <v>103.96586345381526</v>
      </c>
      <c r="J94" s="5" t="s">
        <v>98</v>
      </c>
      <c r="K94" s="5" t="s">
        <v>99</v>
      </c>
      <c r="L94" s="5">
        <v>1277269200</v>
      </c>
      <c r="M94" s="5">
        <v>1277355600</v>
      </c>
      <c r="N94" s="8">
        <f t="shared" si="5"/>
        <v>40352.208333333336</v>
      </c>
      <c r="O94" s="8">
        <f t="shared" si="6"/>
        <v>40353.208333333336</v>
      </c>
      <c r="P94" s="21" t="str">
        <f>TEXT(CrowdfundingTable[[#This Row],[date_created]],"ddd")</f>
        <v>Wed</v>
      </c>
      <c r="Q94" s="21">
        <f>_xlfn.DAYS(CrowdfundingTable[[#This Row],[date_ended]],CrowdfundingTable[[#This Row],[date_created]])</f>
        <v>1</v>
      </c>
      <c r="R94" s="5" t="b">
        <v>0</v>
      </c>
      <c r="S94" s="5" t="b">
        <v>1</v>
      </c>
      <c r="T94" s="5" t="s">
        <v>89</v>
      </c>
      <c r="U94" s="5" t="s">
        <v>2034</v>
      </c>
      <c r="V94" s="5" t="s">
        <v>2062</v>
      </c>
      <c r="W94" s="5"/>
    </row>
    <row r="95" spans="1:23" ht="17" x14ac:dyDescent="0.2">
      <c r="A95" s="5">
        <v>93</v>
      </c>
      <c r="B95" s="5" t="s">
        <v>235</v>
      </c>
      <c r="C95" s="6" t="s">
        <v>236</v>
      </c>
      <c r="D95" s="94">
        <v>108800</v>
      </c>
      <c r="E95" s="94">
        <v>65877</v>
      </c>
      <c r="F95" s="7">
        <f t="shared" si="7"/>
        <v>0.60548713235294116</v>
      </c>
      <c r="G95" s="5" t="s">
        <v>74</v>
      </c>
      <c r="H95" s="5">
        <v>610</v>
      </c>
      <c r="I95" s="96">
        <f t="shared" si="4"/>
        <v>107.99508196721311</v>
      </c>
      <c r="J95" s="5" t="s">
        <v>21</v>
      </c>
      <c r="K95" s="5" t="s">
        <v>22</v>
      </c>
      <c r="L95" s="5">
        <v>1350709200</v>
      </c>
      <c r="M95" s="5">
        <v>1351054800</v>
      </c>
      <c r="N95" s="8">
        <f t="shared" si="5"/>
        <v>41202.208333333336</v>
      </c>
      <c r="O95" s="8">
        <f t="shared" si="6"/>
        <v>41206.208333333336</v>
      </c>
      <c r="P95" s="21" t="str">
        <f>TEXT(CrowdfundingTable[[#This Row],[date_created]],"ddd")</f>
        <v>Sat</v>
      </c>
      <c r="Q95" s="21">
        <f>_xlfn.DAYS(CrowdfundingTable[[#This Row],[date_ended]],CrowdfundingTable[[#This Row],[date_created]])</f>
        <v>4</v>
      </c>
      <c r="R95" s="5" t="b">
        <v>0</v>
      </c>
      <c r="S95" s="5" t="b">
        <v>1</v>
      </c>
      <c r="T95" s="5" t="s">
        <v>33</v>
      </c>
      <c r="U95" s="5" t="s">
        <v>2040</v>
      </c>
      <c r="V95" s="5" t="s">
        <v>2055</v>
      </c>
      <c r="W95" s="5"/>
    </row>
    <row r="96" spans="1:23" ht="17" x14ac:dyDescent="0.2">
      <c r="A96" s="5">
        <v>94</v>
      </c>
      <c r="B96" s="5" t="s">
        <v>237</v>
      </c>
      <c r="C96" s="6" t="s">
        <v>238</v>
      </c>
      <c r="D96" s="94">
        <v>2900</v>
      </c>
      <c r="E96" s="94">
        <v>8807</v>
      </c>
      <c r="F96" s="7">
        <f t="shared" si="7"/>
        <v>3.036896551724138</v>
      </c>
      <c r="G96" s="5" t="s">
        <v>20</v>
      </c>
      <c r="H96" s="5">
        <v>180</v>
      </c>
      <c r="I96" s="96">
        <f t="shared" si="4"/>
        <v>48.927777777777777</v>
      </c>
      <c r="J96" s="5" t="s">
        <v>40</v>
      </c>
      <c r="K96" s="5" t="s">
        <v>41</v>
      </c>
      <c r="L96" s="5">
        <v>1554613200</v>
      </c>
      <c r="M96" s="5">
        <v>1555563600</v>
      </c>
      <c r="N96" s="8">
        <f t="shared" si="5"/>
        <v>43562.208333333328</v>
      </c>
      <c r="O96" s="8">
        <f t="shared" si="6"/>
        <v>43573.208333333328</v>
      </c>
      <c r="P96" s="21" t="str">
        <f>TEXT(CrowdfundingTable[[#This Row],[date_created]],"ddd")</f>
        <v>Sun</v>
      </c>
      <c r="Q96" s="21">
        <f>_xlfn.DAYS(CrowdfundingTable[[#This Row],[date_ended]],CrowdfundingTable[[#This Row],[date_created]])</f>
        <v>11</v>
      </c>
      <c r="R96" s="5" t="b">
        <v>0</v>
      </c>
      <c r="S96" s="5" t="b">
        <v>0</v>
      </c>
      <c r="T96" s="5" t="s">
        <v>28</v>
      </c>
      <c r="U96" s="5" t="s">
        <v>2039</v>
      </c>
      <c r="V96" s="5" t="s">
        <v>2064</v>
      </c>
      <c r="W96" s="5"/>
    </row>
    <row r="97" spans="1:23" ht="34" x14ac:dyDescent="0.2">
      <c r="A97" s="5">
        <v>95</v>
      </c>
      <c r="B97" s="5" t="s">
        <v>239</v>
      </c>
      <c r="C97" s="6" t="s">
        <v>240</v>
      </c>
      <c r="D97" s="94">
        <v>900</v>
      </c>
      <c r="E97" s="94">
        <v>1017</v>
      </c>
      <c r="F97" s="7">
        <f t="shared" si="7"/>
        <v>1.1299999999999999</v>
      </c>
      <c r="G97" s="5" t="s">
        <v>20</v>
      </c>
      <c r="H97" s="5">
        <v>27</v>
      </c>
      <c r="I97" s="96">
        <f t="shared" si="4"/>
        <v>37.666666666666664</v>
      </c>
      <c r="J97" s="5" t="s">
        <v>21</v>
      </c>
      <c r="K97" s="5" t="s">
        <v>22</v>
      </c>
      <c r="L97" s="5">
        <v>1571029200</v>
      </c>
      <c r="M97" s="5">
        <v>1571634000</v>
      </c>
      <c r="N97" s="8">
        <f t="shared" si="5"/>
        <v>43752.208333333328</v>
      </c>
      <c r="O97" s="8">
        <f t="shared" si="6"/>
        <v>43759.208333333328</v>
      </c>
      <c r="P97" s="21" t="str">
        <f>TEXT(CrowdfundingTable[[#This Row],[date_created]],"ddd")</f>
        <v>Mon</v>
      </c>
      <c r="Q97" s="21">
        <f>_xlfn.DAYS(CrowdfundingTable[[#This Row],[date_ended]],CrowdfundingTable[[#This Row],[date_created]])</f>
        <v>7</v>
      </c>
      <c r="R97" s="5" t="b">
        <v>0</v>
      </c>
      <c r="S97" s="5" t="b">
        <v>0</v>
      </c>
      <c r="T97" s="5" t="s">
        <v>42</v>
      </c>
      <c r="U97" s="5" t="s">
        <v>2032</v>
      </c>
      <c r="V97" s="5" t="s">
        <v>2044</v>
      </c>
      <c r="W97" s="5"/>
    </row>
    <row r="98" spans="1:23" ht="17" x14ac:dyDescent="0.2">
      <c r="A98" s="5">
        <v>96</v>
      </c>
      <c r="B98" s="5" t="s">
        <v>241</v>
      </c>
      <c r="C98" s="6" t="s">
        <v>242</v>
      </c>
      <c r="D98" s="94">
        <v>69700</v>
      </c>
      <c r="E98" s="94">
        <v>151513</v>
      </c>
      <c r="F98" s="7">
        <f t="shared" si="7"/>
        <v>2.1737876614060259</v>
      </c>
      <c r="G98" s="5" t="s">
        <v>20</v>
      </c>
      <c r="H98" s="5">
        <v>2331</v>
      </c>
      <c r="I98" s="96">
        <f t="shared" si="4"/>
        <v>64.999141999141997</v>
      </c>
      <c r="J98" s="5" t="s">
        <v>21</v>
      </c>
      <c r="K98" s="5" t="s">
        <v>22</v>
      </c>
      <c r="L98" s="5">
        <v>1299736800</v>
      </c>
      <c r="M98" s="5">
        <v>1300856400</v>
      </c>
      <c r="N98" s="8">
        <f t="shared" si="5"/>
        <v>40612.25</v>
      </c>
      <c r="O98" s="8">
        <f t="shared" si="6"/>
        <v>40625.208333333336</v>
      </c>
      <c r="P98" s="21" t="str">
        <f>TEXT(CrowdfundingTable[[#This Row],[date_created]],"ddd")</f>
        <v>Thu</v>
      </c>
      <c r="Q98" s="21">
        <f>_xlfn.DAYS(CrowdfundingTable[[#This Row],[date_ended]],CrowdfundingTable[[#This Row],[date_created]])</f>
        <v>13</v>
      </c>
      <c r="R98" s="5" t="b">
        <v>0</v>
      </c>
      <c r="S98" s="5" t="b">
        <v>0</v>
      </c>
      <c r="T98" s="5" t="s">
        <v>33</v>
      </c>
      <c r="U98" s="5" t="s">
        <v>2040</v>
      </c>
      <c r="V98" s="5" t="s">
        <v>2055</v>
      </c>
      <c r="W98" s="5"/>
    </row>
    <row r="99" spans="1:23" ht="17" x14ac:dyDescent="0.2">
      <c r="A99" s="5">
        <v>97</v>
      </c>
      <c r="B99" s="5" t="s">
        <v>243</v>
      </c>
      <c r="C99" s="6" t="s">
        <v>244</v>
      </c>
      <c r="D99" s="94">
        <v>1300</v>
      </c>
      <c r="E99" s="94">
        <v>12047</v>
      </c>
      <c r="F99" s="7">
        <f t="shared" si="7"/>
        <v>9.2669230769230762</v>
      </c>
      <c r="G99" s="5" t="s">
        <v>20</v>
      </c>
      <c r="H99" s="5">
        <v>113</v>
      </c>
      <c r="I99" s="96">
        <f t="shared" si="4"/>
        <v>106.61061946902655</v>
      </c>
      <c r="J99" s="5" t="s">
        <v>21</v>
      </c>
      <c r="K99" s="5" t="s">
        <v>22</v>
      </c>
      <c r="L99" s="5">
        <v>1435208400</v>
      </c>
      <c r="M99" s="5">
        <v>1439874000</v>
      </c>
      <c r="N99" s="8">
        <f t="shared" si="5"/>
        <v>42180.208333333328</v>
      </c>
      <c r="O99" s="8">
        <f t="shared" si="6"/>
        <v>42234.208333333328</v>
      </c>
      <c r="P99" s="21" t="str">
        <f>TEXT(CrowdfundingTable[[#This Row],[date_created]],"ddd")</f>
        <v>Thu</v>
      </c>
      <c r="Q99" s="21">
        <f>_xlfn.DAYS(CrowdfundingTable[[#This Row],[date_ended]],CrowdfundingTable[[#This Row],[date_created]])</f>
        <v>54</v>
      </c>
      <c r="R99" s="5" t="b">
        <v>0</v>
      </c>
      <c r="S99" s="5" t="b">
        <v>0</v>
      </c>
      <c r="T99" s="5" t="s">
        <v>17</v>
      </c>
      <c r="U99" s="5" t="s">
        <v>2033</v>
      </c>
      <c r="V99" s="5" t="s">
        <v>2048</v>
      </c>
      <c r="W99" s="5"/>
    </row>
    <row r="100" spans="1:23" ht="17" x14ac:dyDescent="0.2">
      <c r="A100" s="5">
        <v>98</v>
      </c>
      <c r="B100" s="5" t="s">
        <v>245</v>
      </c>
      <c r="C100" s="6" t="s">
        <v>246</v>
      </c>
      <c r="D100" s="94">
        <v>97800</v>
      </c>
      <c r="E100" s="94">
        <v>32951</v>
      </c>
      <c r="F100" s="7">
        <f t="shared" si="7"/>
        <v>0.33692229038854804</v>
      </c>
      <c r="G100" s="5" t="s">
        <v>14</v>
      </c>
      <c r="H100" s="5">
        <v>1220</v>
      </c>
      <c r="I100" s="96">
        <f t="shared" si="4"/>
        <v>27.009016393442622</v>
      </c>
      <c r="J100" s="5" t="s">
        <v>26</v>
      </c>
      <c r="K100" s="5" t="s">
        <v>27</v>
      </c>
      <c r="L100" s="5">
        <v>1437973200</v>
      </c>
      <c r="M100" s="5">
        <v>1438318800</v>
      </c>
      <c r="N100" s="8">
        <f t="shared" si="5"/>
        <v>42212.208333333328</v>
      </c>
      <c r="O100" s="8">
        <f t="shared" si="6"/>
        <v>42216.208333333328</v>
      </c>
      <c r="P100" s="21" t="str">
        <f>TEXT(CrowdfundingTable[[#This Row],[date_created]],"ddd")</f>
        <v>Mon</v>
      </c>
      <c r="Q100" s="21">
        <f>_xlfn.DAYS(CrowdfundingTable[[#This Row],[date_ended]],CrowdfundingTable[[#This Row],[date_created]])</f>
        <v>4</v>
      </c>
      <c r="R100" s="5" t="b">
        <v>0</v>
      </c>
      <c r="S100" s="5" t="b">
        <v>0</v>
      </c>
      <c r="T100" s="5" t="s">
        <v>89</v>
      </c>
      <c r="U100" s="5" t="s">
        <v>2034</v>
      </c>
      <c r="V100" s="5" t="s">
        <v>2062</v>
      </c>
      <c r="W100" s="5"/>
    </row>
    <row r="101" spans="1:23" ht="17" x14ac:dyDescent="0.2">
      <c r="A101" s="5">
        <v>99</v>
      </c>
      <c r="B101" s="5" t="s">
        <v>247</v>
      </c>
      <c r="C101" s="6" t="s">
        <v>248</v>
      </c>
      <c r="D101" s="94">
        <v>7600</v>
      </c>
      <c r="E101" s="94">
        <v>14951</v>
      </c>
      <c r="F101" s="7">
        <f t="shared" si="7"/>
        <v>1.9672368421052631</v>
      </c>
      <c r="G101" s="5" t="s">
        <v>20</v>
      </c>
      <c r="H101" s="5">
        <v>164</v>
      </c>
      <c r="I101" s="96">
        <f t="shared" si="4"/>
        <v>91.16463414634147</v>
      </c>
      <c r="J101" s="5" t="s">
        <v>21</v>
      </c>
      <c r="K101" s="5" t="s">
        <v>22</v>
      </c>
      <c r="L101" s="5">
        <v>1416895200</v>
      </c>
      <c r="M101" s="5">
        <v>1419400800</v>
      </c>
      <c r="N101" s="8">
        <f t="shared" si="5"/>
        <v>41968.25</v>
      </c>
      <c r="O101" s="8">
        <f t="shared" si="6"/>
        <v>41997.25</v>
      </c>
      <c r="P101" s="21" t="str">
        <f>TEXT(CrowdfundingTable[[#This Row],[date_created]],"ddd")</f>
        <v>Tue</v>
      </c>
      <c r="Q101" s="21">
        <f>_xlfn.DAYS(CrowdfundingTable[[#This Row],[date_ended]],CrowdfundingTable[[#This Row],[date_created]])</f>
        <v>29</v>
      </c>
      <c r="R101" s="5" t="b">
        <v>0</v>
      </c>
      <c r="S101" s="5" t="b">
        <v>0</v>
      </c>
      <c r="T101" s="5" t="s">
        <v>33</v>
      </c>
      <c r="U101" s="5" t="s">
        <v>2040</v>
      </c>
      <c r="V101" s="5" t="s">
        <v>2055</v>
      </c>
      <c r="W101" s="5"/>
    </row>
    <row r="102" spans="1:23" ht="17" x14ac:dyDescent="0.2">
      <c r="A102" s="5">
        <v>100</v>
      </c>
      <c r="B102" s="5" t="s">
        <v>249</v>
      </c>
      <c r="C102" s="6" t="s">
        <v>250</v>
      </c>
      <c r="D102" s="94">
        <v>100</v>
      </c>
      <c r="E102" s="94">
        <v>1</v>
      </c>
      <c r="F102" s="7">
        <f t="shared" si="7"/>
        <v>0.01</v>
      </c>
      <c r="G102" s="5" t="s">
        <v>14</v>
      </c>
      <c r="H102" s="5">
        <v>1</v>
      </c>
      <c r="I102" s="96">
        <f t="shared" si="4"/>
        <v>1</v>
      </c>
      <c r="J102" s="5" t="s">
        <v>21</v>
      </c>
      <c r="K102" s="5" t="s">
        <v>22</v>
      </c>
      <c r="L102" s="5">
        <v>1319000400</v>
      </c>
      <c r="M102" s="5">
        <v>1320555600</v>
      </c>
      <c r="N102" s="8">
        <f t="shared" si="5"/>
        <v>40835.208333333336</v>
      </c>
      <c r="O102" s="8">
        <f t="shared" si="6"/>
        <v>40853.208333333336</v>
      </c>
      <c r="P102" s="21" t="str">
        <f>TEXT(CrowdfundingTable[[#This Row],[date_created]],"ddd")</f>
        <v>Wed</v>
      </c>
      <c r="Q102" s="21">
        <f>_xlfn.DAYS(CrowdfundingTable[[#This Row],[date_ended]],CrowdfundingTable[[#This Row],[date_created]])</f>
        <v>18</v>
      </c>
      <c r="R102" s="5" t="b">
        <v>0</v>
      </c>
      <c r="S102" s="5" t="b">
        <v>0</v>
      </c>
      <c r="T102" s="5" t="s">
        <v>33</v>
      </c>
      <c r="U102" s="5" t="s">
        <v>2040</v>
      </c>
      <c r="V102" s="5" t="s">
        <v>2055</v>
      </c>
      <c r="W102" s="5"/>
    </row>
    <row r="103" spans="1:23" ht="17" x14ac:dyDescent="0.2">
      <c r="A103" s="5">
        <v>101</v>
      </c>
      <c r="B103" s="5" t="s">
        <v>251</v>
      </c>
      <c r="C103" s="6" t="s">
        <v>252</v>
      </c>
      <c r="D103" s="94">
        <v>900</v>
      </c>
      <c r="E103" s="94">
        <v>9193</v>
      </c>
      <c r="F103" s="7">
        <f t="shared" si="7"/>
        <v>10.214444444444444</v>
      </c>
      <c r="G103" s="5" t="s">
        <v>20</v>
      </c>
      <c r="H103" s="5">
        <v>164</v>
      </c>
      <c r="I103" s="96">
        <f t="shared" si="4"/>
        <v>56.054878048780488</v>
      </c>
      <c r="J103" s="5" t="s">
        <v>21</v>
      </c>
      <c r="K103" s="5" t="s">
        <v>22</v>
      </c>
      <c r="L103" s="5">
        <v>1424498400</v>
      </c>
      <c r="M103" s="5">
        <v>1425103200</v>
      </c>
      <c r="N103" s="8">
        <f t="shared" si="5"/>
        <v>42056.25</v>
      </c>
      <c r="O103" s="8">
        <f t="shared" si="6"/>
        <v>42063.25</v>
      </c>
      <c r="P103" s="21" t="str">
        <f>TEXT(CrowdfundingTable[[#This Row],[date_created]],"ddd")</f>
        <v>Sat</v>
      </c>
      <c r="Q103" s="21">
        <f>_xlfn.DAYS(CrowdfundingTable[[#This Row],[date_ended]],CrowdfundingTable[[#This Row],[date_created]])</f>
        <v>7</v>
      </c>
      <c r="R103" s="5" t="b">
        <v>0</v>
      </c>
      <c r="S103" s="5" t="b">
        <v>1</v>
      </c>
      <c r="T103" s="5" t="s">
        <v>50</v>
      </c>
      <c r="U103" s="5" t="s">
        <v>2036</v>
      </c>
      <c r="V103" s="5" t="s">
        <v>2046</v>
      </c>
      <c r="W103" s="5"/>
    </row>
    <row r="104" spans="1:23" ht="17" x14ac:dyDescent="0.2">
      <c r="A104" s="5">
        <v>102</v>
      </c>
      <c r="B104" s="5" t="s">
        <v>253</v>
      </c>
      <c r="C104" s="6" t="s">
        <v>254</v>
      </c>
      <c r="D104" s="94">
        <v>3700</v>
      </c>
      <c r="E104" s="94">
        <v>10422</v>
      </c>
      <c r="F104" s="7">
        <f t="shared" si="7"/>
        <v>2.8167567567567566</v>
      </c>
      <c r="G104" s="5" t="s">
        <v>20</v>
      </c>
      <c r="H104" s="5">
        <v>336</v>
      </c>
      <c r="I104" s="96">
        <f t="shared" si="4"/>
        <v>31.017857142857142</v>
      </c>
      <c r="J104" s="5" t="s">
        <v>21</v>
      </c>
      <c r="K104" s="5" t="s">
        <v>22</v>
      </c>
      <c r="L104" s="5">
        <v>1526274000</v>
      </c>
      <c r="M104" s="5">
        <v>1526878800</v>
      </c>
      <c r="N104" s="8">
        <f t="shared" si="5"/>
        <v>43234.208333333328</v>
      </c>
      <c r="O104" s="8">
        <f t="shared" si="6"/>
        <v>43241.208333333328</v>
      </c>
      <c r="P104" s="21" t="str">
        <f>TEXT(CrowdfundingTable[[#This Row],[date_created]],"ddd")</f>
        <v>Mon</v>
      </c>
      <c r="Q104" s="21">
        <f>_xlfn.DAYS(CrowdfundingTable[[#This Row],[date_ended]],CrowdfundingTable[[#This Row],[date_created]])</f>
        <v>7</v>
      </c>
      <c r="R104" s="5" t="b">
        <v>0</v>
      </c>
      <c r="S104" s="5" t="b">
        <v>1</v>
      </c>
      <c r="T104" s="5" t="s">
        <v>65</v>
      </c>
      <c r="U104" s="5" t="s">
        <v>2039</v>
      </c>
      <c r="V104" s="5" t="s">
        <v>2063</v>
      </c>
      <c r="W104" s="5"/>
    </row>
    <row r="105" spans="1:23" ht="17" x14ac:dyDescent="0.2">
      <c r="A105" s="5">
        <v>103</v>
      </c>
      <c r="B105" s="5" t="s">
        <v>255</v>
      </c>
      <c r="C105" s="6" t="s">
        <v>256</v>
      </c>
      <c r="D105" s="94">
        <v>10000</v>
      </c>
      <c r="E105" s="94">
        <v>2461</v>
      </c>
      <c r="F105" s="7">
        <f t="shared" si="7"/>
        <v>0.24610000000000001</v>
      </c>
      <c r="G105" s="5" t="s">
        <v>14</v>
      </c>
      <c r="H105" s="5">
        <v>37</v>
      </c>
      <c r="I105" s="96">
        <f t="shared" si="4"/>
        <v>66.513513513513516</v>
      </c>
      <c r="J105" s="5" t="s">
        <v>107</v>
      </c>
      <c r="K105" s="5" t="s">
        <v>108</v>
      </c>
      <c r="L105" s="5">
        <v>1287896400</v>
      </c>
      <c r="M105" s="5">
        <v>1288674000</v>
      </c>
      <c r="N105" s="8">
        <f t="shared" si="5"/>
        <v>40475.208333333336</v>
      </c>
      <c r="O105" s="8">
        <f t="shared" si="6"/>
        <v>40484.208333333336</v>
      </c>
      <c r="P105" s="21" t="str">
        <f>TEXT(CrowdfundingTable[[#This Row],[date_created]],"ddd")</f>
        <v>Sun</v>
      </c>
      <c r="Q105" s="21">
        <f>_xlfn.DAYS(CrowdfundingTable[[#This Row],[date_ended]],CrowdfundingTable[[#This Row],[date_created]])</f>
        <v>9</v>
      </c>
      <c r="R105" s="5" t="b">
        <v>0</v>
      </c>
      <c r="S105" s="5" t="b">
        <v>0</v>
      </c>
      <c r="T105" s="5" t="s">
        <v>50</v>
      </c>
      <c r="U105" s="5" t="s">
        <v>2036</v>
      </c>
      <c r="V105" s="5" t="s">
        <v>2046</v>
      </c>
      <c r="W105" s="5"/>
    </row>
    <row r="106" spans="1:23" ht="17" x14ac:dyDescent="0.2">
      <c r="A106" s="5">
        <v>104</v>
      </c>
      <c r="B106" s="5" t="s">
        <v>257</v>
      </c>
      <c r="C106" s="6" t="s">
        <v>258</v>
      </c>
      <c r="D106" s="94">
        <v>119200</v>
      </c>
      <c r="E106" s="94">
        <v>170623</v>
      </c>
      <c r="F106" s="7">
        <f t="shared" si="7"/>
        <v>1.4314010067114094</v>
      </c>
      <c r="G106" s="5" t="s">
        <v>20</v>
      </c>
      <c r="H106" s="5">
        <v>1917</v>
      </c>
      <c r="I106" s="96">
        <f t="shared" si="4"/>
        <v>89.005216484089729</v>
      </c>
      <c r="J106" s="5" t="s">
        <v>21</v>
      </c>
      <c r="K106" s="5" t="s">
        <v>22</v>
      </c>
      <c r="L106" s="5">
        <v>1495515600</v>
      </c>
      <c r="M106" s="5">
        <v>1495602000</v>
      </c>
      <c r="N106" s="8">
        <f t="shared" si="5"/>
        <v>42878.208333333328</v>
      </c>
      <c r="O106" s="8">
        <f t="shared" si="6"/>
        <v>42879.208333333328</v>
      </c>
      <c r="P106" s="21" t="str">
        <f>TEXT(CrowdfundingTable[[#This Row],[date_created]],"ddd")</f>
        <v>Tue</v>
      </c>
      <c r="Q106" s="21">
        <f>_xlfn.DAYS(CrowdfundingTable[[#This Row],[date_ended]],CrowdfundingTable[[#This Row],[date_created]])</f>
        <v>1</v>
      </c>
      <c r="R106" s="5" t="b">
        <v>0</v>
      </c>
      <c r="S106" s="5" t="b">
        <v>0</v>
      </c>
      <c r="T106" s="5" t="s">
        <v>60</v>
      </c>
      <c r="U106" s="5" t="s">
        <v>2036</v>
      </c>
      <c r="V106" s="5" t="s">
        <v>2049</v>
      </c>
      <c r="W106" s="5"/>
    </row>
    <row r="107" spans="1:23" ht="17" x14ac:dyDescent="0.2">
      <c r="A107" s="5">
        <v>105</v>
      </c>
      <c r="B107" s="5" t="s">
        <v>259</v>
      </c>
      <c r="C107" s="6" t="s">
        <v>260</v>
      </c>
      <c r="D107" s="94">
        <v>6800</v>
      </c>
      <c r="E107" s="94">
        <v>9829</v>
      </c>
      <c r="F107" s="7">
        <f t="shared" si="7"/>
        <v>1.4454411764705883</v>
      </c>
      <c r="G107" s="5" t="s">
        <v>20</v>
      </c>
      <c r="H107" s="5">
        <v>95</v>
      </c>
      <c r="I107" s="96">
        <f t="shared" si="4"/>
        <v>103.46315789473684</v>
      </c>
      <c r="J107" s="5" t="s">
        <v>21</v>
      </c>
      <c r="K107" s="5" t="s">
        <v>22</v>
      </c>
      <c r="L107" s="5">
        <v>1364878800</v>
      </c>
      <c r="M107" s="5">
        <v>1366434000</v>
      </c>
      <c r="N107" s="8">
        <f t="shared" si="5"/>
        <v>41366.208333333336</v>
      </c>
      <c r="O107" s="8">
        <f t="shared" si="6"/>
        <v>41384.208333333336</v>
      </c>
      <c r="P107" s="21" t="str">
        <f>TEXT(CrowdfundingTable[[#This Row],[date_created]],"ddd")</f>
        <v>Tue</v>
      </c>
      <c r="Q107" s="21">
        <f>_xlfn.DAYS(CrowdfundingTable[[#This Row],[date_ended]],CrowdfundingTable[[#This Row],[date_created]])</f>
        <v>18</v>
      </c>
      <c r="R107" s="5" t="b">
        <v>0</v>
      </c>
      <c r="S107" s="5" t="b">
        <v>0</v>
      </c>
      <c r="T107" s="5" t="s">
        <v>28</v>
      </c>
      <c r="U107" s="5" t="s">
        <v>2039</v>
      </c>
      <c r="V107" s="5" t="s">
        <v>2064</v>
      </c>
      <c r="W107" s="5"/>
    </row>
    <row r="108" spans="1:23" ht="17" x14ac:dyDescent="0.2">
      <c r="A108" s="5">
        <v>106</v>
      </c>
      <c r="B108" s="5" t="s">
        <v>261</v>
      </c>
      <c r="C108" s="6" t="s">
        <v>262</v>
      </c>
      <c r="D108" s="94">
        <v>3900</v>
      </c>
      <c r="E108" s="94">
        <v>14006</v>
      </c>
      <c r="F108" s="7">
        <f t="shared" si="7"/>
        <v>3.5912820512820511</v>
      </c>
      <c r="G108" s="5" t="s">
        <v>20</v>
      </c>
      <c r="H108" s="5">
        <v>147</v>
      </c>
      <c r="I108" s="96">
        <f t="shared" si="4"/>
        <v>95.278911564625844</v>
      </c>
      <c r="J108" s="5" t="s">
        <v>21</v>
      </c>
      <c r="K108" s="5" t="s">
        <v>22</v>
      </c>
      <c r="L108" s="5">
        <v>1567918800</v>
      </c>
      <c r="M108" s="5">
        <v>1568350800</v>
      </c>
      <c r="N108" s="8">
        <f t="shared" si="5"/>
        <v>43716.208333333328</v>
      </c>
      <c r="O108" s="8">
        <f t="shared" si="6"/>
        <v>43721.208333333328</v>
      </c>
      <c r="P108" s="21" t="str">
        <f>TEXT(CrowdfundingTable[[#This Row],[date_created]],"ddd")</f>
        <v>Sun</v>
      </c>
      <c r="Q108" s="21">
        <f>_xlfn.DAYS(CrowdfundingTable[[#This Row],[date_ended]],CrowdfundingTable[[#This Row],[date_created]])</f>
        <v>5</v>
      </c>
      <c r="R108" s="5" t="b">
        <v>0</v>
      </c>
      <c r="S108" s="5" t="b">
        <v>0</v>
      </c>
      <c r="T108" s="5" t="s">
        <v>33</v>
      </c>
      <c r="U108" s="5" t="s">
        <v>2040</v>
      </c>
      <c r="V108" s="5" t="s">
        <v>2055</v>
      </c>
      <c r="W108" s="5"/>
    </row>
    <row r="109" spans="1:23" ht="17" x14ac:dyDescent="0.2">
      <c r="A109" s="5">
        <v>107</v>
      </c>
      <c r="B109" s="5" t="s">
        <v>263</v>
      </c>
      <c r="C109" s="6" t="s">
        <v>264</v>
      </c>
      <c r="D109" s="94">
        <v>3500</v>
      </c>
      <c r="E109" s="94">
        <v>6527</v>
      </c>
      <c r="F109" s="7">
        <f t="shared" si="7"/>
        <v>1.8648571428571428</v>
      </c>
      <c r="G109" s="5" t="s">
        <v>20</v>
      </c>
      <c r="H109" s="5">
        <v>86</v>
      </c>
      <c r="I109" s="96">
        <f t="shared" si="4"/>
        <v>75.895348837209298</v>
      </c>
      <c r="J109" s="5" t="s">
        <v>21</v>
      </c>
      <c r="K109" s="5" t="s">
        <v>22</v>
      </c>
      <c r="L109" s="5">
        <v>1524459600</v>
      </c>
      <c r="M109" s="5">
        <v>1525928400</v>
      </c>
      <c r="N109" s="8">
        <f t="shared" si="5"/>
        <v>43213.208333333328</v>
      </c>
      <c r="O109" s="8">
        <f t="shared" si="6"/>
        <v>43230.208333333328</v>
      </c>
      <c r="P109" s="21" t="str">
        <f>TEXT(CrowdfundingTable[[#This Row],[date_created]],"ddd")</f>
        <v>Mon</v>
      </c>
      <c r="Q109" s="21">
        <f>_xlfn.DAYS(CrowdfundingTable[[#This Row],[date_ended]],CrowdfundingTable[[#This Row],[date_created]])</f>
        <v>17</v>
      </c>
      <c r="R109" s="5" t="b">
        <v>0</v>
      </c>
      <c r="S109" s="5" t="b">
        <v>1</v>
      </c>
      <c r="T109" s="5" t="s">
        <v>33</v>
      </c>
      <c r="U109" s="5" t="s">
        <v>2040</v>
      </c>
      <c r="V109" s="5" t="s">
        <v>2055</v>
      </c>
      <c r="W109" s="5"/>
    </row>
    <row r="110" spans="1:23" ht="17" x14ac:dyDescent="0.2">
      <c r="A110" s="5">
        <v>108</v>
      </c>
      <c r="B110" s="5" t="s">
        <v>265</v>
      </c>
      <c r="C110" s="6" t="s">
        <v>266</v>
      </c>
      <c r="D110" s="94">
        <v>1500</v>
      </c>
      <c r="E110" s="94">
        <v>8929</v>
      </c>
      <c r="F110" s="7">
        <f t="shared" si="7"/>
        <v>5.9526666666666666</v>
      </c>
      <c r="G110" s="5" t="s">
        <v>20</v>
      </c>
      <c r="H110" s="5">
        <v>83</v>
      </c>
      <c r="I110" s="96">
        <f t="shared" si="4"/>
        <v>107.57831325301204</v>
      </c>
      <c r="J110" s="5" t="s">
        <v>21</v>
      </c>
      <c r="K110" s="5" t="s">
        <v>22</v>
      </c>
      <c r="L110" s="5">
        <v>1333688400</v>
      </c>
      <c r="M110" s="5">
        <v>1336885200</v>
      </c>
      <c r="N110" s="8">
        <f t="shared" si="5"/>
        <v>41005.208333333336</v>
      </c>
      <c r="O110" s="8">
        <f t="shared" si="6"/>
        <v>41042.208333333336</v>
      </c>
      <c r="P110" s="21" t="str">
        <f>TEXT(CrowdfundingTable[[#This Row],[date_created]],"ddd")</f>
        <v>Fri</v>
      </c>
      <c r="Q110" s="21">
        <f>_xlfn.DAYS(CrowdfundingTable[[#This Row],[date_ended]],CrowdfundingTable[[#This Row],[date_created]])</f>
        <v>37</v>
      </c>
      <c r="R110" s="5" t="b">
        <v>0</v>
      </c>
      <c r="S110" s="5" t="b">
        <v>0</v>
      </c>
      <c r="T110" s="5" t="s">
        <v>42</v>
      </c>
      <c r="U110" s="5" t="s">
        <v>2032</v>
      </c>
      <c r="V110" s="5" t="s">
        <v>2044</v>
      </c>
      <c r="W110" s="5"/>
    </row>
    <row r="111" spans="1:23" ht="17" x14ac:dyDescent="0.2">
      <c r="A111" s="5">
        <v>109</v>
      </c>
      <c r="B111" s="5" t="s">
        <v>267</v>
      </c>
      <c r="C111" s="6" t="s">
        <v>268</v>
      </c>
      <c r="D111" s="94">
        <v>5200</v>
      </c>
      <c r="E111" s="94">
        <v>3079</v>
      </c>
      <c r="F111" s="7">
        <f t="shared" si="7"/>
        <v>0.5921153846153846</v>
      </c>
      <c r="G111" s="5" t="s">
        <v>14</v>
      </c>
      <c r="H111" s="5">
        <v>60</v>
      </c>
      <c r="I111" s="96">
        <f t="shared" si="4"/>
        <v>51.31666666666667</v>
      </c>
      <c r="J111" s="5" t="s">
        <v>21</v>
      </c>
      <c r="K111" s="5" t="s">
        <v>22</v>
      </c>
      <c r="L111" s="5">
        <v>1389506400</v>
      </c>
      <c r="M111" s="5">
        <v>1389679200</v>
      </c>
      <c r="N111" s="8">
        <f t="shared" si="5"/>
        <v>41651.25</v>
      </c>
      <c r="O111" s="8">
        <f t="shared" si="6"/>
        <v>41653.25</v>
      </c>
      <c r="P111" s="21" t="str">
        <f>TEXT(CrowdfundingTable[[#This Row],[date_created]],"ddd")</f>
        <v>Sun</v>
      </c>
      <c r="Q111" s="21">
        <f>_xlfn.DAYS(CrowdfundingTable[[#This Row],[date_ended]],CrowdfundingTable[[#This Row],[date_created]])</f>
        <v>2</v>
      </c>
      <c r="R111" s="5" t="b">
        <v>0</v>
      </c>
      <c r="S111" s="5" t="b">
        <v>0</v>
      </c>
      <c r="T111" s="5" t="s">
        <v>269</v>
      </c>
      <c r="U111" s="5" t="s">
        <v>2032</v>
      </c>
      <c r="V111" s="5" t="s">
        <v>2060</v>
      </c>
      <c r="W111" s="5"/>
    </row>
    <row r="112" spans="1:23" ht="34" x14ac:dyDescent="0.2">
      <c r="A112" s="5">
        <v>110</v>
      </c>
      <c r="B112" s="5" t="s">
        <v>270</v>
      </c>
      <c r="C112" s="6" t="s">
        <v>271</v>
      </c>
      <c r="D112" s="94">
        <v>142400</v>
      </c>
      <c r="E112" s="94">
        <v>21307</v>
      </c>
      <c r="F112" s="7">
        <f t="shared" si="7"/>
        <v>0.14962780898876404</v>
      </c>
      <c r="G112" s="5" t="s">
        <v>14</v>
      </c>
      <c r="H112" s="5">
        <v>296</v>
      </c>
      <c r="I112" s="96">
        <f t="shared" si="4"/>
        <v>71.983108108108112</v>
      </c>
      <c r="J112" s="5" t="s">
        <v>21</v>
      </c>
      <c r="K112" s="5" t="s">
        <v>22</v>
      </c>
      <c r="L112" s="5">
        <v>1536642000</v>
      </c>
      <c r="M112" s="5">
        <v>1538283600</v>
      </c>
      <c r="N112" s="8">
        <f t="shared" si="5"/>
        <v>43354.208333333328</v>
      </c>
      <c r="O112" s="8">
        <f t="shared" si="6"/>
        <v>43373.208333333328</v>
      </c>
      <c r="P112" s="21" t="str">
        <f>TEXT(CrowdfundingTable[[#This Row],[date_created]],"ddd")</f>
        <v>Tue</v>
      </c>
      <c r="Q112" s="21">
        <f>_xlfn.DAYS(CrowdfundingTable[[#This Row],[date_ended]],CrowdfundingTable[[#This Row],[date_created]])</f>
        <v>19</v>
      </c>
      <c r="R112" s="5" t="b">
        <v>0</v>
      </c>
      <c r="S112" s="5" t="b">
        <v>0</v>
      </c>
      <c r="T112" s="5" t="s">
        <v>17</v>
      </c>
      <c r="U112" s="5" t="s">
        <v>2033</v>
      </c>
      <c r="V112" s="5" t="s">
        <v>2048</v>
      </c>
      <c r="W112" s="5"/>
    </row>
    <row r="113" spans="1:23" ht="17" x14ac:dyDescent="0.2">
      <c r="A113" s="5">
        <v>111</v>
      </c>
      <c r="B113" s="5" t="s">
        <v>272</v>
      </c>
      <c r="C113" s="6" t="s">
        <v>273</v>
      </c>
      <c r="D113" s="94">
        <v>61400</v>
      </c>
      <c r="E113" s="94">
        <v>73653</v>
      </c>
      <c r="F113" s="7">
        <f t="shared" si="7"/>
        <v>1.1995602605863191</v>
      </c>
      <c r="G113" s="5" t="s">
        <v>20</v>
      </c>
      <c r="H113" s="5">
        <v>676</v>
      </c>
      <c r="I113" s="96">
        <f t="shared" si="4"/>
        <v>108.95414201183432</v>
      </c>
      <c r="J113" s="5" t="s">
        <v>21</v>
      </c>
      <c r="K113" s="5" t="s">
        <v>22</v>
      </c>
      <c r="L113" s="5">
        <v>1348290000</v>
      </c>
      <c r="M113" s="5">
        <v>1348808400</v>
      </c>
      <c r="N113" s="8">
        <f t="shared" si="5"/>
        <v>41174.208333333336</v>
      </c>
      <c r="O113" s="8">
        <f t="shared" si="6"/>
        <v>41180.208333333336</v>
      </c>
      <c r="P113" s="21" t="str">
        <f>TEXT(CrowdfundingTable[[#This Row],[date_created]],"ddd")</f>
        <v>Sat</v>
      </c>
      <c r="Q113" s="21">
        <f>_xlfn.DAYS(CrowdfundingTable[[#This Row],[date_ended]],CrowdfundingTable[[#This Row],[date_created]])</f>
        <v>6</v>
      </c>
      <c r="R113" s="5" t="b">
        <v>0</v>
      </c>
      <c r="S113" s="5" t="b">
        <v>0</v>
      </c>
      <c r="T113" s="5" t="s">
        <v>133</v>
      </c>
      <c r="U113" s="5" t="s">
        <v>2038</v>
      </c>
      <c r="V113" s="5" t="s">
        <v>2056</v>
      </c>
      <c r="W113" s="5"/>
    </row>
    <row r="114" spans="1:23" ht="17" x14ac:dyDescent="0.2">
      <c r="A114" s="5">
        <v>112</v>
      </c>
      <c r="B114" s="5" t="s">
        <v>274</v>
      </c>
      <c r="C114" s="6" t="s">
        <v>275</v>
      </c>
      <c r="D114" s="94">
        <v>4700</v>
      </c>
      <c r="E114" s="94">
        <v>12635</v>
      </c>
      <c r="F114" s="7">
        <f t="shared" si="7"/>
        <v>2.6882978723404256</v>
      </c>
      <c r="G114" s="5" t="s">
        <v>20</v>
      </c>
      <c r="H114" s="5">
        <v>361</v>
      </c>
      <c r="I114" s="96">
        <f t="shared" si="4"/>
        <v>35</v>
      </c>
      <c r="J114" s="5" t="s">
        <v>26</v>
      </c>
      <c r="K114" s="5" t="s">
        <v>27</v>
      </c>
      <c r="L114" s="5">
        <v>1408856400</v>
      </c>
      <c r="M114" s="5">
        <v>1410152400</v>
      </c>
      <c r="N114" s="8">
        <f t="shared" si="5"/>
        <v>41875.208333333336</v>
      </c>
      <c r="O114" s="8">
        <f t="shared" si="6"/>
        <v>41890.208333333336</v>
      </c>
      <c r="P114" s="21" t="str">
        <f>TEXT(CrowdfundingTable[[#This Row],[date_created]],"ddd")</f>
        <v>Sun</v>
      </c>
      <c r="Q114" s="21">
        <f>_xlfn.DAYS(CrowdfundingTable[[#This Row],[date_ended]],CrowdfundingTable[[#This Row],[date_created]])</f>
        <v>15</v>
      </c>
      <c r="R114" s="5" t="b">
        <v>0</v>
      </c>
      <c r="S114" s="5" t="b">
        <v>0</v>
      </c>
      <c r="T114" s="5" t="s">
        <v>28</v>
      </c>
      <c r="U114" s="5" t="s">
        <v>2039</v>
      </c>
      <c r="V114" s="5" t="s">
        <v>2064</v>
      </c>
      <c r="W114" s="5"/>
    </row>
    <row r="115" spans="1:23" ht="17" x14ac:dyDescent="0.2">
      <c r="A115" s="5">
        <v>113</v>
      </c>
      <c r="B115" s="5" t="s">
        <v>276</v>
      </c>
      <c r="C115" s="6" t="s">
        <v>277</v>
      </c>
      <c r="D115" s="94">
        <v>3300</v>
      </c>
      <c r="E115" s="94">
        <v>12437</v>
      </c>
      <c r="F115" s="7">
        <f t="shared" si="7"/>
        <v>3.7687878787878786</v>
      </c>
      <c r="G115" s="5" t="s">
        <v>20</v>
      </c>
      <c r="H115" s="5">
        <v>131</v>
      </c>
      <c r="I115" s="96">
        <f t="shared" si="4"/>
        <v>94.938931297709928</v>
      </c>
      <c r="J115" s="5" t="s">
        <v>21</v>
      </c>
      <c r="K115" s="5" t="s">
        <v>22</v>
      </c>
      <c r="L115" s="5">
        <v>1505192400</v>
      </c>
      <c r="M115" s="5">
        <v>1505797200</v>
      </c>
      <c r="N115" s="8">
        <f t="shared" si="5"/>
        <v>42990.208333333328</v>
      </c>
      <c r="O115" s="8">
        <f t="shared" si="6"/>
        <v>42997.208333333328</v>
      </c>
      <c r="P115" s="21" t="str">
        <f>TEXT(CrowdfundingTable[[#This Row],[date_created]],"ddd")</f>
        <v>Tue</v>
      </c>
      <c r="Q115" s="21">
        <f>_xlfn.DAYS(CrowdfundingTable[[#This Row],[date_ended]],CrowdfundingTable[[#This Row],[date_created]])</f>
        <v>7</v>
      </c>
      <c r="R115" s="5" t="b">
        <v>0</v>
      </c>
      <c r="S115" s="5" t="b">
        <v>0</v>
      </c>
      <c r="T115" s="5" t="s">
        <v>17</v>
      </c>
      <c r="U115" s="5" t="s">
        <v>2033</v>
      </c>
      <c r="V115" s="5" t="s">
        <v>2048</v>
      </c>
      <c r="W115" s="5"/>
    </row>
    <row r="116" spans="1:23" ht="17" x14ac:dyDescent="0.2">
      <c r="A116" s="5">
        <v>114</v>
      </c>
      <c r="B116" s="5" t="s">
        <v>278</v>
      </c>
      <c r="C116" s="6" t="s">
        <v>279</v>
      </c>
      <c r="D116" s="94">
        <v>1900</v>
      </c>
      <c r="E116" s="94">
        <v>13816</v>
      </c>
      <c r="F116" s="7">
        <f t="shared" si="7"/>
        <v>7.2715789473684209</v>
      </c>
      <c r="G116" s="5" t="s">
        <v>20</v>
      </c>
      <c r="H116" s="5">
        <v>126</v>
      </c>
      <c r="I116" s="96">
        <f t="shared" si="4"/>
        <v>109.65079365079364</v>
      </c>
      <c r="J116" s="5" t="s">
        <v>21</v>
      </c>
      <c r="K116" s="5" t="s">
        <v>22</v>
      </c>
      <c r="L116" s="5">
        <v>1554786000</v>
      </c>
      <c r="M116" s="5">
        <v>1554872400</v>
      </c>
      <c r="N116" s="8">
        <f t="shared" si="5"/>
        <v>43564.208333333328</v>
      </c>
      <c r="O116" s="8">
        <f t="shared" si="6"/>
        <v>43565.208333333328</v>
      </c>
      <c r="P116" s="21" t="str">
        <f>TEXT(CrowdfundingTable[[#This Row],[date_created]],"ddd")</f>
        <v>Tue</v>
      </c>
      <c r="Q116" s="21">
        <f>_xlfn.DAYS(CrowdfundingTable[[#This Row],[date_ended]],CrowdfundingTable[[#This Row],[date_created]])</f>
        <v>1</v>
      </c>
      <c r="R116" s="5" t="b">
        <v>0</v>
      </c>
      <c r="S116" s="5" t="b">
        <v>1</v>
      </c>
      <c r="T116" s="5" t="s">
        <v>65</v>
      </c>
      <c r="U116" s="5" t="s">
        <v>2039</v>
      </c>
      <c r="V116" s="5" t="s">
        <v>2063</v>
      </c>
      <c r="W116" s="5"/>
    </row>
    <row r="117" spans="1:23" ht="17" x14ac:dyDescent="0.2">
      <c r="A117" s="5">
        <v>115</v>
      </c>
      <c r="B117" s="5" t="s">
        <v>280</v>
      </c>
      <c r="C117" s="6" t="s">
        <v>281</v>
      </c>
      <c r="D117" s="94">
        <v>166700</v>
      </c>
      <c r="E117" s="94">
        <v>145382</v>
      </c>
      <c r="F117" s="7">
        <f t="shared" si="7"/>
        <v>0.87211757648470301</v>
      </c>
      <c r="G117" s="5" t="s">
        <v>14</v>
      </c>
      <c r="H117" s="5">
        <v>3304</v>
      </c>
      <c r="I117" s="96">
        <f t="shared" si="4"/>
        <v>44.001815980629537</v>
      </c>
      <c r="J117" s="5" t="s">
        <v>107</v>
      </c>
      <c r="K117" s="5" t="s">
        <v>108</v>
      </c>
      <c r="L117" s="5">
        <v>1510898400</v>
      </c>
      <c r="M117" s="5">
        <v>1513922400</v>
      </c>
      <c r="N117" s="8">
        <f t="shared" si="5"/>
        <v>43056.25</v>
      </c>
      <c r="O117" s="8">
        <f t="shared" si="6"/>
        <v>43091.25</v>
      </c>
      <c r="P117" s="21" t="str">
        <f>TEXT(CrowdfundingTable[[#This Row],[date_created]],"ddd")</f>
        <v>Fri</v>
      </c>
      <c r="Q117" s="21">
        <f>_xlfn.DAYS(CrowdfundingTable[[#This Row],[date_ended]],CrowdfundingTable[[#This Row],[date_created]])</f>
        <v>35</v>
      </c>
      <c r="R117" s="5" t="b">
        <v>0</v>
      </c>
      <c r="S117" s="5" t="b">
        <v>0</v>
      </c>
      <c r="T117" s="5" t="s">
        <v>119</v>
      </c>
      <c r="U117" s="5" t="s">
        <v>2038</v>
      </c>
      <c r="V117" s="5" t="s">
        <v>2047</v>
      </c>
      <c r="W117" s="5"/>
    </row>
    <row r="118" spans="1:23" ht="34" x14ac:dyDescent="0.2">
      <c r="A118" s="5">
        <v>116</v>
      </c>
      <c r="B118" s="5" t="s">
        <v>282</v>
      </c>
      <c r="C118" s="6" t="s">
        <v>283</v>
      </c>
      <c r="D118" s="94">
        <v>7200</v>
      </c>
      <c r="E118" s="94">
        <v>6336</v>
      </c>
      <c r="F118" s="7">
        <f t="shared" si="7"/>
        <v>0.88</v>
      </c>
      <c r="G118" s="5" t="s">
        <v>14</v>
      </c>
      <c r="H118" s="5">
        <v>73</v>
      </c>
      <c r="I118" s="96">
        <f t="shared" si="4"/>
        <v>86.794520547945211</v>
      </c>
      <c r="J118" s="5" t="s">
        <v>21</v>
      </c>
      <c r="K118" s="5" t="s">
        <v>22</v>
      </c>
      <c r="L118" s="5">
        <v>1442552400</v>
      </c>
      <c r="M118" s="5">
        <v>1442638800</v>
      </c>
      <c r="N118" s="8">
        <f t="shared" si="5"/>
        <v>42265.208333333328</v>
      </c>
      <c r="O118" s="8">
        <f t="shared" si="6"/>
        <v>42266.208333333328</v>
      </c>
      <c r="P118" s="21" t="str">
        <f>TEXT(CrowdfundingTable[[#This Row],[date_created]],"ddd")</f>
        <v>Fri</v>
      </c>
      <c r="Q118" s="21">
        <f>_xlfn.DAYS(CrowdfundingTable[[#This Row],[date_ended]],CrowdfundingTable[[#This Row],[date_created]])</f>
        <v>1</v>
      </c>
      <c r="R118" s="5" t="b">
        <v>0</v>
      </c>
      <c r="S118" s="5" t="b">
        <v>0</v>
      </c>
      <c r="T118" s="5" t="s">
        <v>33</v>
      </c>
      <c r="U118" s="5" t="s">
        <v>2040</v>
      </c>
      <c r="V118" s="5" t="s">
        <v>2055</v>
      </c>
      <c r="W118" s="5"/>
    </row>
    <row r="119" spans="1:23" ht="17" x14ac:dyDescent="0.2">
      <c r="A119" s="5">
        <v>117</v>
      </c>
      <c r="B119" s="5" t="s">
        <v>284</v>
      </c>
      <c r="C119" s="6" t="s">
        <v>285</v>
      </c>
      <c r="D119" s="94">
        <v>4900</v>
      </c>
      <c r="E119" s="94">
        <v>8523</v>
      </c>
      <c r="F119" s="7">
        <f t="shared" si="7"/>
        <v>1.7393877551020409</v>
      </c>
      <c r="G119" s="5" t="s">
        <v>20</v>
      </c>
      <c r="H119" s="5">
        <v>275</v>
      </c>
      <c r="I119" s="96">
        <f t="shared" si="4"/>
        <v>30.992727272727272</v>
      </c>
      <c r="J119" s="5" t="s">
        <v>21</v>
      </c>
      <c r="K119" s="5" t="s">
        <v>22</v>
      </c>
      <c r="L119" s="5">
        <v>1316667600</v>
      </c>
      <c r="M119" s="5">
        <v>1317186000</v>
      </c>
      <c r="N119" s="8">
        <f t="shared" si="5"/>
        <v>40808.208333333336</v>
      </c>
      <c r="O119" s="8">
        <f t="shared" si="6"/>
        <v>40814.208333333336</v>
      </c>
      <c r="P119" s="21" t="str">
        <f>TEXT(CrowdfundingTable[[#This Row],[date_created]],"ddd")</f>
        <v>Thu</v>
      </c>
      <c r="Q119" s="21">
        <f>_xlfn.DAYS(CrowdfundingTable[[#This Row],[date_ended]],CrowdfundingTable[[#This Row],[date_created]])</f>
        <v>6</v>
      </c>
      <c r="R119" s="5" t="b">
        <v>0</v>
      </c>
      <c r="S119" s="5" t="b">
        <v>0</v>
      </c>
      <c r="T119" s="5" t="s">
        <v>269</v>
      </c>
      <c r="U119" s="5" t="s">
        <v>2032</v>
      </c>
      <c r="V119" s="5" t="s">
        <v>2060</v>
      </c>
      <c r="W119" s="5"/>
    </row>
    <row r="120" spans="1:23" ht="17" x14ac:dyDescent="0.2">
      <c r="A120" s="5">
        <v>118</v>
      </c>
      <c r="B120" s="5" t="s">
        <v>286</v>
      </c>
      <c r="C120" s="6" t="s">
        <v>287</v>
      </c>
      <c r="D120" s="94">
        <v>5400</v>
      </c>
      <c r="E120" s="94">
        <v>6351</v>
      </c>
      <c r="F120" s="7">
        <f t="shared" si="7"/>
        <v>1.1761111111111111</v>
      </c>
      <c r="G120" s="5" t="s">
        <v>20</v>
      </c>
      <c r="H120" s="5">
        <v>67</v>
      </c>
      <c r="I120" s="96">
        <f t="shared" si="4"/>
        <v>94.791044776119406</v>
      </c>
      <c r="J120" s="5" t="s">
        <v>21</v>
      </c>
      <c r="K120" s="5" t="s">
        <v>22</v>
      </c>
      <c r="L120" s="5">
        <v>1390716000</v>
      </c>
      <c r="M120" s="5">
        <v>1391234400</v>
      </c>
      <c r="N120" s="8">
        <f t="shared" si="5"/>
        <v>41665.25</v>
      </c>
      <c r="O120" s="8">
        <f t="shared" si="6"/>
        <v>41671.25</v>
      </c>
      <c r="P120" s="21" t="str">
        <f>TEXT(CrowdfundingTable[[#This Row],[date_created]],"ddd")</f>
        <v>Sun</v>
      </c>
      <c r="Q120" s="21">
        <f>_xlfn.DAYS(CrowdfundingTable[[#This Row],[date_ended]],CrowdfundingTable[[#This Row],[date_created]])</f>
        <v>6</v>
      </c>
      <c r="R120" s="5" t="b">
        <v>0</v>
      </c>
      <c r="S120" s="5" t="b">
        <v>0</v>
      </c>
      <c r="T120" s="5" t="s">
        <v>122</v>
      </c>
      <c r="U120" s="5" t="s">
        <v>2037</v>
      </c>
      <c r="V120" s="5" t="s">
        <v>2054</v>
      </c>
      <c r="W120" s="5"/>
    </row>
    <row r="121" spans="1:23" ht="34" x14ac:dyDescent="0.2">
      <c r="A121" s="5">
        <v>119</v>
      </c>
      <c r="B121" s="5" t="s">
        <v>288</v>
      </c>
      <c r="C121" s="6" t="s">
        <v>289</v>
      </c>
      <c r="D121" s="94">
        <v>5000</v>
      </c>
      <c r="E121" s="94">
        <v>10748</v>
      </c>
      <c r="F121" s="7">
        <f t="shared" si="7"/>
        <v>2.1496</v>
      </c>
      <c r="G121" s="5" t="s">
        <v>20</v>
      </c>
      <c r="H121" s="5">
        <v>154</v>
      </c>
      <c r="I121" s="96">
        <f t="shared" si="4"/>
        <v>69.79220779220779</v>
      </c>
      <c r="J121" s="5" t="s">
        <v>21</v>
      </c>
      <c r="K121" s="5" t="s">
        <v>22</v>
      </c>
      <c r="L121" s="5">
        <v>1402894800</v>
      </c>
      <c r="M121" s="5">
        <v>1404363600</v>
      </c>
      <c r="N121" s="8">
        <f t="shared" si="5"/>
        <v>41806.208333333336</v>
      </c>
      <c r="O121" s="8">
        <f t="shared" si="6"/>
        <v>41823.208333333336</v>
      </c>
      <c r="P121" s="21" t="str">
        <f>TEXT(CrowdfundingTable[[#This Row],[date_created]],"ddd")</f>
        <v>Mon</v>
      </c>
      <c r="Q121" s="21">
        <f>_xlfn.DAYS(CrowdfundingTable[[#This Row],[date_ended]],CrowdfundingTable[[#This Row],[date_created]])</f>
        <v>17</v>
      </c>
      <c r="R121" s="5" t="b">
        <v>0</v>
      </c>
      <c r="S121" s="5" t="b">
        <v>1</v>
      </c>
      <c r="T121" s="5" t="s">
        <v>42</v>
      </c>
      <c r="U121" s="5" t="s">
        <v>2032</v>
      </c>
      <c r="V121" s="5" t="s">
        <v>2044</v>
      </c>
      <c r="W121" s="5"/>
    </row>
    <row r="122" spans="1:23" ht="17" x14ac:dyDescent="0.2">
      <c r="A122" s="5">
        <v>120</v>
      </c>
      <c r="B122" s="5" t="s">
        <v>290</v>
      </c>
      <c r="C122" s="6" t="s">
        <v>291</v>
      </c>
      <c r="D122" s="94">
        <v>75100</v>
      </c>
      <c r="E122" s="94">
        <v>112272</v>
      </c>
      <c r="F122" s="7">
        <f t="shared" si="7"/>
        <v>1.4949667110519307</v>
      </c>
      <c r="G122" s="5" t="s">
        <v>20</v>
      </c>
      <c r="H122" s="5">
        <v>1782</v>
      </c>
      <c r="I122" s="96">
        <f t="shared" si="4"/>
        <v>63.003367003367003</v>
      </c>
      <c r="J122" s="5" t="s">
        <v>21</v>
      </c>
      <c r="K122" s="5" t="s">
        <v>22</v>
      </c>
      <c r="L122" s="5">
        <v>1429246800</v>
      </c>
      <c r="M122" s="5">
        <v>1429592400</v>
      </c>
      <c r="N122" s="8">
        <f t="shared" si="5"/>
        <v>42111.208333333328</v>
      </c>
      <c r="O122" s="8">
        <f t="shared" si="6"/>
        <v>42115.208333333328</v>
      </c>
      <c r="P122" s="21" t="str">
        <f>TEXT(CrowdfundingTable[[#This Row],[date_created]],"ddd")</f>
        <v>Fri</v>
      </c>
      <c r="Q122" s="21">
        <f>_xlfn.DAYS(CrowdfundingTable[[#This Row],[date_ended]],CrowdfundingTable[[#This Row],[date_created]])</f>
        <v>4</v>
      </c>
      <c r="R122" s="5" t="b">
        <v>0</v>
      </c>
      <c r="S122" s="5" t="b">
        <v>1</v>
      </c>
      <c r="T122" s="5" t="s">
        <v>292</v>
      </c>
      <c r="U122" s="5" t="s">
        <v>2034</v>
      </c>
      <c r="V122" s="5" t="s">
        <v>2052</v>
      </c>
      <c r="W122" s="5"/>
    </row>
    <row r="123" spans="1:23" ht="17" x14ac:dyDescent="0.2">
      <c r="A123" s="5">
        <v>121</v>
      </c>
      <c r="B123" s="5" t="s">
        <v>293</v>
      </c>
      <c r="C123" s="6" t="s">
        <v>294</v>
      </c>
      <c r="D123" s="94">
        <v>45300</v>
      </c>
      <c r="E123" s="94">
        <v>99361</v>
      </c>
      <c r="F123" s="7">
        <f t="shared" si="7"/>
        <v>2.1933995584988963</v>
      </c>
      <c r="G123" s="5" t="s">
        <v>20</v>
      </c>
      <c r="H123" s="5">
        <v>903</v>
      </c>
      <c r="I123" s="96">
        <f t="shared" si="4"/>
        <v>110.0343300110742</v>
      </c>
      <c r="J123" s="5" t="s">
        <v>21</v>
      </c>
      <c r="K123" s="5" t="s">
        <v>22</v>
      </c>
      <c r="L123" s="5">
        <v>1412485200</v>
      </c>
      <c r="M123" s="5">
        <v>1413608400</v>
      </c>
      <c r="N123" s="8">
        <f t="shared" si="5"/>
        <v>41917.208333333336</v>
      </c>
      <c r="O123" s="8">
        <f t="shared" si="6"/>
        <v>41930.208333333336</v>
      </c>
      <c r="P123" s="21" t="str">
        <f>TEXT(CrowdfundingTable[[#This Row],[date_created]],"ddd")</f>
        <v>Sun</v>
      </c>
      <c r="Q123" s="21">
        <f>_xlfn.DAYS(CrowdfundingTable[[#This Row],[date_ended]],CrowdfundingTable[[#This Row],[date_created]])</f>
        <v>13</v>
      </c>
      <c r="R123" s="5" t="b">
        <v>0</v>
      </c>
      <c r="S123" s="5" t="b">
        <v>0</v>
      </c>
      <c r="T123" s="5" t="s">
        <v>89</v>
      </c>
      <c r="U123" s="5" t="s">
        <v>2034</v>
      </c>
      <c r="V123" s="5" t="s">
        <v>2062</v>
      </c>
      <c r="W123" s="5"/>
    </row>
    <row r="124" spans="1:23" ht="17" x14ac:dyDescent="0.2">
      <c r="A124" s="5">
        <v>122</v>
      </c>
      <c r="B124" s="5" t="s">
        <v>295</v>
      </c>
      <c r="C124" s="6" t="s">
        <v>296</v>
      </c>
      <c r="D124" s="94">
        <v>136800</v>
      </c>
      <c r="E124" s="94">
        <v>88055</v>
      </c>
      <c r="F124" s="7">
        <f t="shared" si="7"/>
        <v>0.64367690058479532</v>
      </c>
      <c r="G124" s="5" t="s">
        <v>14</v>
      </c>
      <c r="H124" s="5">
        <v>3387</v>
      </c>
      <c r="I124" s="96">
        <f t="shared" si="4"/>
        <v>25.997933274284026</v>
      </c>
      <c r="J124" s="5" t="s">
        <v>21</v>
      </c>
      <c r="K124" s="5" t="s">
        <v>22</v>
      </c>
      <c r="L124" s="5">
        <v>1417068000</v>
      </c>
      <c r="M124" s="5">
        <v>1419400800</v>
      </c>
      <c r="N124" s="8">
        <f t="shared" si="5"/>
        <v>41970.25</v>
      </c>
      <c r="O124" s="8">
        <f t="shared" si="6"/>
        <v>41997.25</v>
      </c>
      <c r="P124" s="21" t="str">
        <f>TEXT(CrowdfundingTable[[#This Row],[date_created]],"ddd")</f>
        <v>Thu</v>
      </c>
      <c r="Q124" s="21">
        <f>_xlfn.DAYS(CrowdfundingTable[[#This Row],[date_ended]],CrowdfundingTable[[#This Row],[date_created]])</f>
        <v>27</v>
      </c>
      <c r="R124" s="5" t="b">
        <v>0</v>
      </c>
      <c r="S124" s="5" t="b">
        <v>0</v>
      </c>
      <c r="T124" s="5" t="s">
        <v>119</v>
      </c>
      <c r="U124" s="5" t="s">
        <v>2038</v>
      </c>
      <c r="V124" s="5" t="s">
        <v>2047</v>
      </c>
      <c r="W124" s="5"/>
    </row>
    <row r="125" spans="1:23" ht="17" x14ac:dyDescent="0.2">
      <c r="A125" s="5">
        <v>123</v>
      </c>
      <c r="B125" s="5" t="s">
        <v>297</v>
      </c>
      <c r="C125" s="6" t="s">
        <v>298</v>
      </c>
      <c r="D125" s="94">
        <v>177700</v>
      </c>
      <c r="E125" s="94">
        <v>33092</v>
      </c>
      <c r="F125" s="7">
        <f t="shared" si="7"/>
        <v>0.18622397298818233</v>
      </c>
      <c r="G125" s="5" t="s">
        <v>14</v>
      </c>
      <c r="H125" s="5">
        <v>662</v>
      </c>
      <c r="I125" s="96">
        <f t="shared" si="4"/>
        <v>49.987915407854985</v>
      </c>
      <c r="J125" s="5" t="s">
        <v>15</v>
      </c>
      <c r="K125" s="5" t="s">
        <v>16</v>
      </c>
      <c r="L125" s="5">
        <v>1448344800</v>
      </c>
      <c r="M125" s="5">
        <v>1448604000</v>
      </c>
      <c r="N125" s="8">
        <f t="shared" si="5"/>
        <v>42332.25</v>
      </c>
      <c r="O125" s="8">
        <f t="shared" si="6"/>
        <v>42335.25</v>
      </c>
      <c r="P125" s="21" t="str">
        <f>TEXT(CrowdfundingTable[[#This Row],[date_created]],"ddd")</f>
        <v>Tue</v>
      </c>
      <c r="Q125" s="21">
        <f>_xlfn.DAYS(CrowdfundingTable[[#This Row],[date_ended]],CrowdfundingTable[[#This Row],[date_created]])</f>
        <v>3</v>
      </c>
      <c r="R125" s="5" t="b">
        <v>1</v>
      </c>
      <c r="S125" s="5" t="b">
        <v>0</v>
      </c>
      <c r="T125" s="5" t="s">
        <v>33</v>
      </c>
      <c r="U125" s="5" t="s">
        <v>2040</v>
      </c>
      <c r="V125" s="5" t="s">
        <v>2055</v>
      </c>
      <c r="W125" s="5"/>
    </row>
    <row r="126" spans="1:23" ht="17" x14ac:dyDescent="0.2">
      <c r="A126" s="5">
        <v>124</v>
      </c>
      <c r="B126" s="5" t="s">
        <v>299</v>
      </c>
      <c r="C126" s="6" t="s">
        <v>300</v>
      </c>
      <c r="D126" s="94">
        <v>2600</v>
      </c>
      <c r="E126" s="94">
        <v>9562</v>
      </c>
      <c r="F126" s="7">
        <f t="shared" si="7"/>
        <v>3.6776923076923076</v>
      </c>
      <c r="G126" s="5" t="s">
        <v>20</v>
      </c>
      <c r="H126" s="5">
        <v>94</v>
      </c>
      <c r="I126" s="96">
        <f t="shared" si="4"/>
        <v>101.72340425531915</v>
      </c>
      <c r="J126" s="5" t="s">
        <v>107</v>
      </c>
      <c r="K126" s="5" t="s">
        <v>108</v>
      </c>
      <c r="L126" s="5">
        <v>1557723600</v>
      </c>
      <c r="M126" s="5">
        <v>1562302800</v>
      </c>
      <c r="N126" s="8">
        <f t="shared" si="5"/>
        <v>43598.208333333328</v>
      </c>
      <c r="O126" s="8">
        <f t="shared" si="6"/>
        <v>43651.208333333328</v>
      </c>
      <c r="P126" s="21" t="str">
        <f>TEXT(CrowdfundingTable[[#This Row],[date_created]],"ddd")</f>
        <v>Mon</v>
      </c>
      <c r="Q126" s="21">
        <f>_xlfn.DAYS(CrowdfundingTable[[#This Row],[date_ended]],CrowdfundingTable[[#This Row],[date_created]])</f>
        <v>53</v>
      </c>
      <c r="R126" s="5" t="b">
        <v>0</v>
      </c>
      <c r="S126" s="5" t="b">
        <v>0</v>
      </c>
      <c r="T126" s="5" t="s">
        <v>122</v>
      </c>
      <c r="U126" s="5" t="s">
        <v>2037</v>
      </c>
      <c r="V126" s="5" t="s">
        <v>2054</v>
      </c>
      <c r="W126" s="5"/>
    </row>
    <row r="127" spans="1:23" ht="17" x14ac:dyDescent="0.2">
      <c r="A127" s="5">
        <v>125</v>
      </c>
      <c r="B127" s="5" t="s">
        <v>301</v>
      </c>
      <c r="C127" s="6" t="s">
        <v>302</v>
      </c>
      <c r="D127" s="94">
        <v>5300</v>
      </c>
      <c r="E127" s="94">
        <v>8475</v>
      </c>
      <c r="F127" s="7">
        <f t="shared" si="7"/>
        <v>1.5990566037735849</v>
      </c>
      <c r="G127" s="5" t="s">
        <v>20</v>
      </c>
      <c r="H127" s="5">
        <v>180</v>
      </c>
      <c r="I127" s="96">
        <f t="shared" si="4"/>
        <v>47.083333333333336</v>
      </c>
      <c r="J127" s="5" t="s">
        <v>21</v>
      </c>
      <c r="K127" s="5" t="s">
        <v>22</v>
      </c>
      <c r="L127" s="5">
        <v>1537333200</v>
      </c>
      <c r="M127" s="5">
        <v>1537678800</v>
      </c>
      <c r="N127" s="8">
        <f t="shared" si="5"/>
        <v>43362.208333333328</v>
      </c>
      <c r="O127" s="8">
        <f t="shared" si="6"/>
        <v>43366.208333333328</v>
      </c>
      <c r="P127" s="21" t="str">
        <f>TEXT(CrowdfundingTable[[#This Row],[date_created]],"ddd")</f>
        <v>Wed</v>
      </c>
      <c r="Q127" s="21">
        <f>_xlfn.DAYS(CrowdfundingTable[[#This Row],[date_ended]],CrowdfundingTable[[#This Row],[date_created]])</f>
        <v>4</v>
      </c>
      <c r="R127" s="5" t="b">
        <v>0</v>
      </c>
      <c r="S127" s="5" t="b">
        <v>0</v>
      </c>
      <c r="T127" s="5" t="s">
        <v>33</v>
      </c>
      <c r="U127" s="5" t="s">
        <v>2040</v>
      </c>
      <c r="V127" s="5" t="s">
        <v>2055</v>
      </c>
      <c r="W127" s="5"/>
    </row>
    <row r="128" spans="1:23" ht="17" x14ac:dyDescent="0.2">
      <c r="A128" s="5">
        <v>126</v>
      </c>
      <c r="B128" s="5" t="s">
        <v>303</v>
      </c>
      <c r="C128" s="6" t="s">
        <v>304</v>
      </c>
      <c r="D128" s="94">
        <v>180200</v>
      </c>
      <c r="E128" s="94">
        <v>69617</v>
      </c>
      <c r="F128" s="7">
        <f t="shared" si="7"/>
        <v>0.38633185349611543</v>
      </c>
      <c r="G128" s="5" t="s">
        <v>14</v>
      </c>
      <c r="H128" s="5">
        <v>774</v>
      </c>
      <c r="I128" s="96">
        <f t="shared" si="4"/>
        <v>89.944444444444443</v>
      </c>
      <c r="J128" s="5" t="s">
        <v>21</v>
      </c>
      <c r="K128" s="5" t="s">
        <v>22</v>
      </c>
      <c r="L128" s="5">
        <v>1471150800</v>
      </c>
      <c r="M128" s="5">
        <v>1473570000</v>
      </c>
      <c r="N128" s="8">
        <f t="shared" si="5"/>
        <v>42596.208333333328</v>
      </c>
      <c r="O128" s="8">
        <f t="shared" si="6"/>
        <v>42624.208333333328</v>
      </c>
      <c r="P128" s="21" t="str">
        <f>TEXT(CrowdfundingTable[[#This Row],[date_created]],"ddd")</f>
        <v>Sun</v>
      </c>
      <c r="Q128" s="21">
        <f>_xlfn.DAYS(CrowdfundingTable[[#This Row],[date_ended]],CrowdfundingTable[[#This Row],[date_created]])</f>
        <v>28</v>
      </c>
      <c r="R128" s="5" t="b">
        <v>0</v>
      </c>
      <c r="S128" s="5" t="b">
        <v>1</v>
      </c>
      <c r="T128" s="5" t="s">
        <v>33</v>
      </c>
      <c r="U128" s="5" t="s">
        <v>2040</v>
      </c>
      <c r="V128" s="5" t="s">
        <v>2055</v>
      </c>
      <c r="W128" s="5"/>
    </row>
    <row r="129" spans="1:23" ht="17" x14ac:dyDescent="0.2">
      <c r="A129" s="5">
        <v>127</v>
      </c>
      <c r="B129" s="5" t="s">
        <v>305</v>
      </c>
      <c r="C129" s="6" t="s">
        <v>306</v>
      </c>
      <c r="D129" s="94">
        <v>103200</v>
      </c>
      <c r="E129" s="94">
        <v>53067</v>
      </c>
      <c r="F129" s="7">
        <f t="shared" si="7"/>
        <v>0.51421511627906979</v>
      </c>
      <c r="G129" s="5" t="s">
        <v>14</v>
      </c>
      <c r="H129" s="5">
        <v>672</v>
      </c>
      <c r="I129" s="96">
        <f t="shared" si="4"/>
        <v>78.96875</v>
      </c>
      <c r="J129" s="5" t="s">
        <v>15</v>
      </c>
      <c r="K129" s="5" t="s">
        <v>16</v>
      </c>
      <c r="L129" s="5">
        <v>1273640400</v>
      </c>
      <c r="M129" s="5">
        <v>1273899600</v>
      </c>
      <c r="N129" s="8">
        <f t="shared" si="5"/>
        <v>40310.208333333336</v>
      </c>
      <c r="O129" s="8">
        <f t="shared" si="6"/>
        <v>40313.208333333336</v>
      </c>
      <c r="P129" s="21" t="str">
        <f>TEXT(CrowdfundingTable[[#This Row],[date_created]],"ddd")</f>
        <v>Wed</v>
      </c>
      <c r="Q129" s="21">
        <f>_xlfn.DAYS(CrowdfundingTable[[#This Row],[date_ended]],CrowdfundingTable[[#This Row],[date_created]])</f>
        <v>3</v>
      </c>
      <c r="R129" s="5" t="b">
        <v>0</v>
      </c>
      <c r="S129" s="5" t="b">
        <v>0</v>
      </c>
      <c r="T129" s="5" t="s">
        <v>33</v>
      </c>
      <c r="U129" s="5" t="s">
        <v>2040</v>
      </c>
      <c r="V129" s="5" t="s">
        <v>2055</v>
      </c>
      <c r="W129" s="5"/>
    </row>
    <row r="130" spans="1:23" ht="17" x14ac:dyDescent="0.2">
      <c r="A130" s="5">
        <v>128</v>
      </c>
      <c r="B130" s="5" t="s">
        <v>307</v>
      </c>
      <c r="C130" s="6" t="s">
        <v>308</v>
      </c>
      <c r="D130" s="94">
        <v>70600</v>
      </c>
      <c r="E130" s="94">
        <v>42596</v>
      </c>
      <c r="F130" s="7">
        <f t="shared" si="7"/>
        <v>0.60334277620396604</v>
      </c>
      <c r="G130" s="5" t="s">
        <v>74</v>
      </c>
      <c r="H130" s="5">
        <v>532</v>
      </c>
      <c r="I130" s="96">
        <f t="shared" ref="I130:I193" si="8">IF(H130&lt;&gt;0,E130/H130,0)</f>
        <v>80.067669172932327</v>
      </c>
      <c r="J130" s="5" t="s">
        <v>21</v>
      </c>
      <c r="K130" s="5" t="s">
        <v>22</v>
      </c>
      <c r="L130" s="5">
        <v>1282885200</v>
      </c>
      <c r="M130" s="5">
        <v>1284008400</v>
      </c>
      <c r="N130" s="8">
        <f t="shared" si="5"/>
        <v>40417.208333333336</v>
      </c>
      <c r="O130" s="8">
        <f t="shared" si="6"/>
        <v>40430.208333333336</v>
      </c>
      <c r="P130" s="21" t="str">
        <f>TEXT(CrowdfundingTable[[#This Row],[date_created]],"ddd")</f>
        <v>Fri</v>
      </c>
      <c r="Q130" s="21">
        <f>_xlfn.DAYS(CrowdfundingTable[[#This Row],[date_ended]],CrowdfundingTable[[#This Row],[date_created]])</f>
        <v>13</v>
      </c>
      <c r="R130" s="5" t="b">
        <v>0</v>
      </c>
      <c r="S130" s="5" t="b">
        <v>0</v>
      </c>
      <c r="T130" s="5" t="s">
        <v>23</v>
      </c>
      <c r="U130" s="5" t="s">
        <v>2036</v>
      </c>
      <c r="V130" s="5" t="s">
        <v>2057</v>
      </c>
      <c r="W130" s="5"/>
    </row>
    <row r="131" spans="1:23" ht="17" x14ac:dyDescent="0.2">
      <c r="A131" s="5">
        <v>129</v>
      </c>
      <c r="B131" s="5" t="s">
        <v>309</v>
      </c>
      <c r="C131" s="6" t="s">
        <v>310</v>
      </c>
      <c r="D131" s="94">
        <v>148500</v>
      </c>
      <c r="E131" s="94">
        <v>4756</v>
      </c>
      <c r="F131" s="7">
        <f t="shared" si="7"/>
        <v>3.2026936026936029E-2</v>
      </c>
      <c r="G131" s="5" t="s">
        <v>74</v>
      </c>
      <c r="H131" s="5">
        <v>55</v>
      </c>
      <c r="I131" s="96">
        <f t="shared" si="8"/>
        <v>86.472727272727269</v>
      </c>
      <c r="J131" s="5" t="s">
        <v>26</v>
      </c>
      <c r="K131" s="5" t="s">
        <v>27</v>
      </c>
      <c r="L131" s="5">
        <v>1422943200</v>
      </c>
      <c r="M131" s="5">
        <v>1425103200</v>
      </c>
      <c r="N131" s="8">
        <f t="shared" ref="N131:N194" si="9">(((L131/60)/60)/24)+DATE(1970,1,1)</f>
        <v>42038.25</v>
      </c>
      <c r="O131" s="8">
        <f t="shared" ref="O131:O194" si="10">(((M131/60)/60)/24)+DATE(1970,1,1)</f>
        <v>42063.25</v>
      </c>
      <c r="P131" s="21" t="str">
        <f>TEXT(CrowdfundingTable[[#This Row],[date_created]],"ddd")</f>
        <v>Tue</v>
      </c>
      <c r="Q131" s="21">
        <f>_xlfn.DAYS(CrowdfundingTable[[#This Row],[date_ended]],CrowdfundingTable[[#This Row],[date_created]])</f>
        <v>25</v>
      </c>
      <c r="R131" s="5" t="b">
        <v>0</v>
      </c>
      <c r="S131" s="5" t="b">
        <v>0</v>
      </c>
      <c r="T131" s="5" t="s">
        <v>17</v>
      </c>
      <c r="U131" s="5" t="s">
        <v>2033</v>
      </c>
      <c r="V131" s="5" t="s">
        <v>2048</v>
      </c>
      <c r="W131" s="5"/>
    </row>
    <row r="132" spans="1:23" ht="17" x14ac:dyDescent="0.2">
      <c r="A132" s="5">
        <v>130</v>
      </c>
      <c r="B132" s="5" t="s">
        <v>311</v>
      </c>
      <c r="C132" s="6" t="s">
        <v>312</v>
      </c>
      <c r="D132" s="94">
        <v>9600</v>
      </c>
      <c r="E132" s="94">
        <v>14925</v>
      </c>
      <c r="F132" s="7">
        <f t="shared" ref="F132:F195" si="11">E132/D132</f>
        <v>1.5546875</v>
      </c>
      <c r="G132" s="5" t="s">
        <v>20</v>
      </c>
      <c r="H132" s="5">
        <v>533</v>
      </c>
      <c r="I132" s="96">
        <f t="shared" si="8"/>
        <v>28.001876172607879</v>
      </c>
      <c r="J132" s="5" t="s">
        <v>36</v>
      </c>
      <c r="K132" s="5" t="s">
        <v>37</v>
      </c>
      <c r="L132" s="5">
        <v>1319605200</v>
      </c>
      <c r="M132" s="5">
        <v>1320991200</v>
      </c>
      <c r="N132" s="8">
        <f t="shared" si="9"/>
        <v>40842.208333333336</v>
      </c>
      <c r="O132" s="8">
        <f t="shared" si="10"/>
        <v>40858.25</v>
      </c>
      <c r="P132" s="21" t="str">
        <f>TEXT(CrowdfundingTable[[#This Row],[date_created]],"ddd")</f>
        <v>Wed</v>
      </c>
      <c r="Q132" s="21">
        <f>_xlfn.DAYS(CrowdfundingTable[[#This Row],[date_ended]],CrowdfundingTable[[#This Row],[date_created]])</f>
        <v>16</v>
      </c>
      <c r="R132" s="5" t="b">
        <v>0</v>
      </c>
      <c r="S132" s="5" t="b">
        <v>0</v>
      </c>
      <c r="T132" s="5" t="s">
        <v>53</v>
      </c>
      <c r="U132" s="5" t="s">
        <v>2032</v>
      </c>
      <c r="V132" s="5" t="s">
        <v>2045</v>
      </c>
      <c r="W132" s="5"/>
    </row>
    <row r="133" spans="1:23" ht="34" x14ac:dyDescent="0.2">
      <c r="A133" s="5">
        <v>131</v>
      </c>
      <c r="B133" s="5" t="s">
        <v>313</v>
      </c>
      <c r="C133" s="6" t="s">
        <v>314</v>
      </c>
      <c r="D133" s="94">
        <v>164700</v>
      </c>
      <c r="E133" s="94">
        <v>166116</v>
      </c>
      <c r="F133" s="7">
        <f t="shared" si="11"/>
        <v>1.0085974499089254</v>
      </c>
      <c r="G133" s="5" t="s">
        <v>20</v>
      </c>
      <c r="H133" s="5">
        <v>2443</v>
      </c>
      <c r="I133" s="96">
        <f t="shared" si="8"/>
        <v>67.996725337699544</v>
      </c>
      <c r="J133" s="5" t="s">
        <v>40</v>
      </c>
      <c r="K133" s="5" t="s">
        <v>41</v>
      </c>
      <c r="L133" s="5">
        <v>1385704800</v>
      </c>
      <c r="M133" s="5">
        <v>1386828000</v>
      </c>
      <c r="N133" s="8">
        <f t="shared" si="9"/>
        <v>41607.25</v>
      </c>
      <c r="O133" s="8">
        <f t="shared" si="10"/>
        <v>41620.25</v>
      </c>
      <c r="P133" s="21" t="str">
        <f>TEXT(CrowdfundingTable[[#This Row],[date_created]],"ddd")</f>
        <v>Fri</v>
      </c>
      <c r="Q133" s="21">
        <f>_xlfn.DAYS(CrowdfundingTable[[#This Row],[date_ended]],CrowdfundingTable[[#This Row],[date_created]])</f>
        <v>13</v>
      </c>
      <c r="R133" s="5" t="b">
        <v>0</v>
      </c>
      <c r="S133" s="5" t="b">
        <v>0</v>
      </c>
      <c r="T133" s="5" t="s">
        <v>28</v>
      </c>
      <c r="U133" s="5" t="s">
        <v>2039</v>
      </c>
      <c r="V133" s="5" t="s">
        <v>2064</v>
      </c>
      <c r="W133" s="5"/>
    </row>
    <row r="134" spans="1:23" ht="17" x14ac:dyDescent="0.2">
      <c r="A134" s="5">
        <v>132</v>
      </c>
      <c r="B134" s="5" t="s">
        <v>315</v>
      </c>
      <c r="C134" s="6" t="s">
        <v>316</v>
      </c>
      <c r="D134" s="94">
        <v>3300</v>
      </c>
      <c r="E134" s="94">
        <v>3834</v>
      </c>
      <c r="F134" s="7">
        <f t="shared" si="11"/>
        <v>1.1618181818181819</v>
      </c>
      <c r="G134" s="5" t="s">
        <v>20</v>
      </c>
      <c r="H134" s="5">
        <v>89</v>
      </c>
      <c r="I134" s="96">
        <f t="shared" si="8"/>
        <v>43.078651685393261</v>
      </c>
      <c r="J134" s="5" t="s">
        <v>21</v>
      </c>
      <c r="K134" s="5" t="s">
        <v>22</v>
      </c>
      <c r="L134" s="5">
        <v>1515736800</v>
      </c>
      <c r="M134" s="5">
        <v>1517119200</v>
      </c>
      <c r="N134" s="8">
        <f t="shared" si="9"/>
        <v>43112.25</v>
      </c>
      <c r="O134" s="8">
        <f t="shared" si="10"/>
        <v>43128.25</v>
      </c>
      <c r="P134" s="21" t="str">
        <f>TEXT(CrowdfundingTable[[#This Row],[date_created]],"ddd")</f>
        <v>Fri</v>
      </c>
      <c r="Q134" s="21">
        <f>_xlfn.DAYS(CrowdfundingTable[[#This Row],[date_ended]],CrowdfundingTable[[#This Row],[date_created]])</f>
        <v>16</v>
      </c>
      <c r="R134" s="5" t="b">
        <v>0</v>
      </c>
      <c r="S134" s="5" t="b">
        <v>1</v>
      </c>
      <c r="T134" s="5" t="s">
        <v>33</v>
      </c>
      <c r="U134" s="5" t="s">
        <v>2040</v>
      </c>
      <c r="V134" s="5" t="s">
        <v>2055</v>
      </c>
      <c r="W134" s="5"/>
    </row>
    <row r="135" spans="1:23" ht="17" x14ac:dyDescent="0.2">
      <c r="A135" s="5">
        <v>133</v>
      </c>
      <c r="B135" s="5" t="s">
        <v>317</v>
      </c>
      <c r="C135" s="6" t="s">
        <v>318</v>
      </c>
      <c r="D135" s="94">
        <v>4500</v>
      </c>
      <c r="E135" s="94">
        <v>13985</v>
      </c>
      <c r="F135" s="7">
        <f t="shared" si="11"/>
        <v>3.1077777777777778</v>
      </c>
      <c r="G135" s="5" t="s">
        <v>20</v>
      </c>
      <c r="H135" s="5">
        <v>159</v>
      </c>
      <c r="I135" s="96">
        <f t="shared" si="8"/>
        <v>87.95597484276729</v>
      </c>
      <c r="J135" s="5" t="s">
        <v>21</v>
      </c>
      <c r="K135" s="5" t="s">
        <v>22</v>
      </c>
      <c r="L135" s="5">
        <v>1313125200</v>
      </c>
      <c r="M135" s="5">
        <v>1315026000</v>
      </c>
      <c r="N135" s="8">
        <f t="shared" si="9"/>
        <v>40767.208333333336</v>
      </c>
      <c r="O135" s="8">
        <f t="shared" si="10"/>
        <v>40789.208333333336</v>
      </c>
      <c r="P135" s="21" t="str">
        <f>TEXT(CrowdfundingTable[[#This Row],[date_created]],"ddd")</f>
        <v>Fri</v>
      </c>
      <c r="Q135" s="21">
        <f>_xlfn.DAYS(CrowdfundingTable[[#This Row],[date_ended]],CrowdfundingTable[[#This Row],[date_created]])</f>
        <v>22</v>
      </c>
      <c r="R135" s="5" t="b">
        <v>0</v>
      </c>
      <c r="S135" s="5" t="b">
        <v>0</v>
      </c>
      <c r="T135" s="5" t="s">
        <v>319</v>
      </c>
      <c r="U135" s="5" t="s">
        <v>2036</v>
      </c>
      <c r="V135" s="5" t="s">
        <v>2065</v>
      </c>
      <c r="W135" s="5"/>
    </row>
    <row r="136" spans="1:23" ht="17" x14ac:dyDescent="0.2">
      <c r="A136" s="5">
        <v>134</v>
      </c>
      <c r="B136" s="5" t="s">
        <v>320</v>
      </c>
      <c r="C136" s="6" t="s">
        <v>321</v>
      </c>
      <c r="D136" s="94">
        <v>99500</v>
      </c>
      <c r="E136" s="94">
        <v>89288</v>
      </c>
      <c r="F136" s="7">
        <f t="shared" si="11"/>
        <v>0.89736683417085428</v>
      </c>
      <c r="G136" s="5" t="s">
        <v>14</v>
      </c>
      <c r="H136" s="5">
        <v>940</v>
      </c>
      <c r="I136" s="96">
        <f t="shared" si="8"/>
        <v>94.987234042553197</v>
      </c>
      <c r="J136" s="5" t="s">
        <v>98</v>
      </c>
      <c r="K136" s="5" t="s">
        <v>99</v>
      </c>
      <c r="L136" s="5">
        <v>1308459600</v>
      </c>
      <c r="M136" s="5">
        <v>1312693200</v>
      </c>
      <c r="N136" s="8">
        <f t="shared" si="9"/>
        <v>40713.208333333336</v>
      </c>
      <c r="O136" s="8">
        <f t="shared" si="10"/>
        <v>40762.208333333336</v>
      </c>
      <c r="P136" s="21" t="str">
        <f>TEXT(CrowdfundingTable[[#This Row],[date_created]],"ddd")</f>
        <v>Sun</v>
      </c>
      <c r="Q136" s="21">
        <f>_xlfn.DAYS(CrowdfundingTable[[#This Row],[date_ended]],CrowdfundingTable[[#This Row],[date_created]])</f>
        <v>49</v>
      </c>
      <c r="R136" s="5" t="b">
        <v>0</v>
      </c>
      <c r="S136" s="5" t="b">
        <v>1</v>
      </c>
      <c r="T136" s="5" t="s">
        <v>42</v>
      </c>
      <c r="U136" s="5" t="s">
        <v>2032</v>
      </c>
      <c r="V136" s="5" t="s">
        <v>2044</v>
      </c>
      <c r="W136" s="5"/>
    </row>
    <row r="137" spans="1:23" ht="17" x14ac:dyDescent="0.2">
      <c r="A137" s="5">
        <v>135</v>
      </c>
      <c r="B137" s="5" t="s">
        <v>322</v>
      </c>
      <c r="C137" s="6" t="s">
        <v>323</v>
      </c>
      <c r="D137" s="94">
        <v>7700</v>
      </c>
      <c r="E137" s="94">
        <v>5488</v>
      </c>
      <c r="F137" s="7">
        <f t="shared" si="11"/>
        <v>0.71272727272727276</v>
      </c>
      <c r="G137" s="5" t="s">
        <v>14</v>
      </c>
      <c r="H137" s="5">
        <v>117</v>
      </c>
      <c r="I137" s="96">
        <f t="shared" si="8"/>
        <v>46.905982905982903</v>
      </c>
      <c r="J137" s="5" t="s">
        <v>21</v>
      </c>
      <c r="K137" s="5" t="s">
        <v>22</v>
      </c>
      <c r="L137" s="5">
        <v>1362636000</v>
      </c>
      <c r="M137" s="5">
        <v>1363064400</v>
      </c>
      <c r="N137" s="8">
        <f t="shared" si="9"/>
        <v>41340.25</v>
      </c>
      <c r="O137" s="8">
        <f t="shared" si="10"/>
        <v>41345.208333333336</v>
      </c>
      <c r="P137" s="21" t="str">
        <f>TEXT(CrowdfundingTable[[#This Row],[date_created]],"ddd")</f>
        <v>Thu</v>
      </c>
      <c r="Q137" s="21">
        <f>_xlfn.DAYS(CrowdfundingTable[[#This Row],[date_ended]],CrowdfundingTable[[#This Row],[date_created]])</f>
        <v>5</v>
      </c>
      <c r="R137" s="5" t="b">
        <v>0</v>
      </c>
      <c r="S137" s="5" t="b">
        <v>1</v>
      </c>
      <c r="T137" s="5" t="s">
        <v>33</v>
      </c>
      <c r="U137" s="5" t="s">
        <v>2040</v>
      </c>
      <c r="V137" s="5" t="s">
        <v>2055</v>
      </c>
      <c r="W137" s="5"/>
    </row>
    <row r="138" spans="1:23" ht="17" x14ac:dyDescent="0.2">
      <c r="A138" s="5">
        <v>136</v>
      </c>
      <c r="B138" s="5" t="s">
        <v>324</v>
      </c>
      <c r="C138" s="6" t="s">
        <v>325</v>
      </c>
      <c r="D138" s="94">
        <v>82800</v>
      </c>
      <c r="E138" s="94">
        <v>2721</v>
      </c>
      <c r="F138" s="7">
        <f t="shared" si="11"/>
        <v>3.2862318840579711E-2</v>
      </c>
      <c r="G138" s="5" t="s">
        <v>74</v>
      </c>
      <c r="H138" s="5">
        <v>58</v>
      </c>
      <c r="I138" s="96">
        <f t="shared" si="8"/>
        <v>46.913793103448278</v>
      </c>
      <c r="J138" s="5" t="s">
        <v>21</v>
      </c>
      <c r="K138" s="5" t="s">
        <v>22</v>
      </c>
      <c r="L138" s="5">
        <v>1402117200</v>
      </c>
      <c r="M138" s="5">
        <v>1403154000</v>
      </c>
      <c r="N138" s="8">
        <f t="shared" si="9"/>
        <v>41797.208333333336</v>
      </c>
      <c r="O138" s="8">
        <f t="shared" si="10"/>
        <v>41809.208333333336</v>
      </c>
      <c r="P138" s="21" t="str">
        <f>TEXT(CrowdfundingTable[[#This Row],[date_created]],"ddd")</f>
        <v>Sat</v>
      </c>
      <c r="Q138" s="21">
        <f>_xlfn.DAYS(CrowdfundingTable[[#This Row],[date_ended]],CrowdfundingTable[[#This Row],[date_created]])</f>
        <v>12</v>
      </c>
      <c r="R138" s="5" t="b">
        <v>0</v>
      </c>
      <c r="S138" s="5" t="b">
        <v>1</v>
      </c>
      <c r="T138" s="5" t="s">
        <v>53</v>
      </c>
      <c r="U138" s="5" t="s">
        <v>2032</v>
      </c>
      <c r="V138" s="5" t="s">
        <v>2045</v>
      </c>
      <c r="W138" s="5"/>
    </row>
    <row r="139" spans="1:23" ht="17" x14ac:dyDescent="0.2">
      <c r="A139" s="5">
        <v>137</v>
      </c>
      <c r="B139" s="5" t="s">
        <v>326</v>
      </c>
      <c r="C139" s="6" t="s">
        <v>327</v>
      </c>
      <c r="D139" s="94">
        <v>1800</v>
      </c>
      <c r="E139" s="94">
        <v>4712</v>
      </c>
      <c r="F139" s="7">
        <f t="shared" si="11"/>
        <v>2.617777777777778</v>
      </c>
      <c r="G139" s="5" t="s">
        <v>20</v>
      </c>
      <c r="H139" s="5">
        <v>50</v>
      </c>
      <c r="I139" s="96">
        <f t="shared" si="8"/>
        <v>94.24</v>
      </c>
      <c r="J139" s="5" t="s">
        <v>21</v>
      </c>
      <c r="K139" s="5" t="s">
        <v>22</v>
      </c>
      <c r="L139" s="5">
        <v>1286341200</v>
      </c>
      <c r="M139" s="5">
        <v>1286859600</v>
      </c>
      <c r="N139" s="8">
        <f t="shared" si="9"/>
        <v>40457.208333333336</v>
      </c>
      <c r="O139" s="8">
        <f t="shared" si="10"/>
        <v>40463.208333333336</v>
      </c>
      <c r="P139" s="21" t="str">
        <f>TEXT(CrowdfundingTable[[#This Row],[date_created]],"ddd")</f>
        <v>Wed</v>
      </c>
      <c r="Q139" s="21">
        <f>_xlfn.DAYS(CrowdfundingTable[[#This Row],[date_ended]],CrowdfundingTable[[#This Row],[date_created]])</f>
        <v>6</v>
      </c>
      <c r="R139" s="5" t="b">
        <v>0</v>
      </c>
      <c r="S139" s="5" t="b">
        <v>0</v>
      </c>
      <c r="T139" s="5" t="s">
        <v>68</v>
      </c>
      <c r="U139" s="5" t="s">
        <v>2038</v>
      </c>
      <c r="V139" s="5" t="s">
        <v>2053</v>
      </c>
      <c r="W139" s="5"/>
    </row>
    <row r="140" spans="1:23" ht="17" x14ac:dyDescent="0.2">
      <c r="A140" s="5">
        <v>138</v>
      </c>
      <c r="B140" s="5" t="s">
        <v>328</v>
      </c>
      <c r="C140" s="6" t="s">
        <v>329</v>
      </c>
      <c r="D140" s="94">
        <v>9600</v>
      </c>
      <c r="E140" s="94">
        <v>9216</v>
      </c>
      <c r="F140" s="7">
        <f t="shared" si="11"/>
        <v>0.96</v>
      </c>
      <c r="G140" s="5" t="s">
        <v>14</v>
      </c>
      <c r="H140" s="5">
        <v>115</v>
      </c>
      <c r="I140" s="96">
        <f t="shared" si="8"/>
        <v>80.139130434782615</v>
      </c>
      <c r="J140" s="5" t="s">
        <v>21</v>
      </c>
      <c r="K140" s="5" t="s">
        <v>22</v>
      </c>
      <c r="L140" s="5">
        <v>1348808400</v>
      </c>
      <c r="M140" s="5">
        <v>1349326800</v>
      </c>
      <c r="N140" s="8">
        <f t="shared" si="9"/>
        <v>41180.208333333336</v>
      </c>
      <c r="O140" s="8">
        <f t="shared" si="10"/>
        <v>41186.208333333336</v>
      </c>
      <c r="P140" s="21" t="str">
        <f>TEXT(CrowdfundingTable[[#This Row],[date_created]],"ddd")</f>
        <v>Fri</v>
      </c>
      <c r="Q140" s="21">
        <f>_xlfn.DAYS(CrowdfundingTable[[#This Row],[date_ended]],CrowdfundingTable[[#This Row],[date_created]])</f>
        <v>6</v>
      </c>
      <c r="R140" s="5" t="b">
        <v>0</v>
      </c>
      <c r="S140" s="5" t="b">
        <v>0</v>
      </c>
      <c r="T140" s="5" t="s">
        <v>292</v>
      </c>
      <c r="U140" s="5" t="s">
        <v>2034</v>
      </c>
      <c r="V140" s="5" t="s">
        <v>2052</v>
      </c>
      <c r="W140" s="5"/>
    </row>
    <row r="141" spans="1:23" ht="17" x14ac:dyDescent="0.2">
      <c r="A141" s="5">
        <v>139</v>
      </c>
      <c r="B141" s="5" t="s">
        <v>330</v>
      </c>
      <c r="C141" s="6" t="s">
        <v>331</v>
      </c>
      <c r="D141" s="94">
        <v>92100</v>
      </c>
      <c r="E141" s="94">
        <v>19246</v>
      </c>
      <c r="F141" s="7">
        <f t="shared" si="11"/>
        <v>0.20896851248642778</v>
      </c>
      <c r="G141" s="5" t="s">
        <v>14</v>
      </c>
      <c r="H141" s="5">
        <v>326</v>
      </c>
      <c r="I141" s="96">
        <f t="shared" si="8"/>
        <v>59.036809815950917</v>
      </c>
      <c r="J141" s="5" t="s">
        <v>21</v>
      </c>
      <c r="K141" s="5" t="s">
        <v>22</v>
      </c>
      <c r="L141" s="5">
        <v>1429592400</v>
      </c>
      <c r="M141" s="5">
        <v>1430974800</v>
      </c>
      <c r="N141" s="8">
        <f t="shared" si="9"/>
        <v>42115.208333333328</v>
      </c>
      <c r="O141" s="8">
        <f t="shared" si="10"/>
        <v>42131.208333333328</v>
      </c>
      <c r="P141" s="21" t="str">
        <f>TEXT(CrowdfundingTable[[#This Row],[date_created]],"ddd")</f>
        <v>Tue</v>
      </c>
      <c r="Q141" s="21">
        <f>_xlfn.DAYS(CrowdfundingTable[[#This Row],[date_ended]],CrowdfundingTable[[#This Row],[date_created]])</f>
        <v>16</v>
      </c>
      <c r="R141" s="5" t="b">
        <v>0</v>
      </c>
      <c r="S141" s="5" t="b">
        <v>1</v>
      </c>
      <c r="T141" s="5" t="s">
        <v>65</v>
      </c>
      <c r="U141" s="5" t="s">
        <v>2039</v>
      </c>
      <c r="V141" s="5" t="s">
        <v>2063</v>
      </c>
      <c r="W141" s="5"/>
    </row>
    <row r="142" spans="1:23" ht="34" x14ac:dyDescent="0.2">
      <c r="A142" s="5">
        <v>140</v>
      </c>
      <c r="B142" s="5" t="s">
        <v>332</v>
      </c>
      <c r="C142" s="6" t="s">
        <v>333</v>
      </c>
      <c r="D142" s="94">
        <v>5500</v>
      </c>
      <c r="E142" s="94">
        <v>12274</v>
      </c>
      <c r="F142" s="7">
        <f t="shared" si="11"/>
        <v>2.2316363636363636</v>
      </c>
      <c r="G142" s="5" t="s">
        <v>20</v>
      </c>
      <c r="H142" s="5">
        <v>186</v>
      </c>
      <c r="I142" s="96">
        <f t="shared" si="8"/>
        <v>65.989247311827953</v>
      </c>
      <c r="J142" s="5" t="s">
        <v>21</v>
      </c>
      <c r="K142" s="5" t="s">
        <v>22</v>
      </c>
      <c r="L142" s="5">
        <v>1519538400</v>
      </c>
      <c r="M142" s="5">
        <v>1519970400</v>
      </c>
      <c r="N142" s="8">
        <f t="shared" si="9"/>
        <v>43156.25</v>
      </c>
      <c r="O142" s="8">
        <f t="shared" si="10"/>
        <v>43161.25</v>
      </c>
      <c r="P142" s="21" t="str">
        <f>TEXT(CrowdfundingTable[[#This Row],[date_created]],"ddd")</f>
        <v>Sun</v>
      </c>
      <c r="Q142" s="21">
        <f>_xlfn.DAYS(CrowdfundingTable[[#This Row],[date_ended]],CrowdfundingTable[[#This Row],[date_created]])</f>
        <v>5</v>
      </c>
      <c r="R142" s="5" t="b">
        <v>0</v>
      </c>
      <c r="S142" s="5" t="b">
        <v>0</v>
      </c>
      <c r="T142" s="5" t="s">
        <v>42</v>
      </c>
      <c r="U142" s="5" t="s">
        <v>2032</v>
      </c>
      <c r="V142" s="5" t="s">
        <v>2044</v>
      </c>
      <c r="W142" s="5"/>
    </row>
    <row r="143" spans="1:23" ht="17" x14ac:dyDescent="0.2">
      <c r="A143" s="5">
        <v>141</v>
      </c>
      <c r="B143" s="5" t="s">
        <v>334</v>
      </c>
      <c r="C143" s="6" t="s">
        <v>335</v>
      </c>
      <c r="D143" s="94">
        <v>64300</v>
      </c>
      <c r="E143" s="94">
        <v>65323</v>
      </c>
      <c r="F143" s="7">
        <f t="shared" si="11"/>
        <v>1.0159097978227061</v>
      </c>
      <c r="G143" s="5" t="s">
        <v>20</v>
      </c>
      <c r="H143" s="5">
        <v>1071</v>
      </c>
      <c r="I143" s="96">
        <f t="shared" si="8"/>
        <v>60.992530345471522</v>
      </c>
      <c r="J143" s="5" t="s">
        <v>21</v>
      </c>
      <c r="K143" s="5" t="s">
        <v>22</v>
      </c>
      <c r="L143" s="5">
        <v>1434085200</v>
      </c>
      <c r="M143" s="5">
        <v>1434603600</v>
      </c>
      <c r="N143" s="8">
        <f t="shared" si="9"/>
        <v>42167.208333333328</v>
      </c>
      <c r="O143" s="8">
        <f t="shared" si="10"/>
        <v>42173.208333333328</v>
      </c>
      <c r="P143" s="21" t="str">
        <f>TEXT(CrowdfundingTable[[#This Row],[date_created]],"ddd")</f>
        <v>Fri</v>
      </c>
      <c r="Q143" s="21">
        <f>_xlfn.DAYS(CrowdfundingTable[[#This Row],[date_ended]],CrowdfundingTable[[#This Row],[date_created]])</f>
        <v>6</v>
      </c>
      <c r="R143" s="5" t="b">
        <v>0</v>
      </c>
      <c r="S143" s="5" t="b">
        <v>0</v>
      </c>
      <c r="T143" s="5" t="s">
        <v>28</v>
      </c>
      <c r="U143" s="5" t="s">
        <v>2039</v>
      </c>
      <c r="V143" s="5" t="s">
        <v>2064</v>
      </c>
      <c r="W143" s="5"/>
    </row>
    <row r="144" spans="1:23" ht="17" x14ac:dyDescent="0.2">
      <c r="A144" s="5">
        <v>142</v>
      </c>
      <c r="B144" s="5" t="s">
        <v>336</v>
      </c>
      <c r="C144" s="6" t="s">
        <v>337</v>
      </c>
      <c r="D144" s="94">
        <v>5000</v>
      </c>
      <c r="E144" s="94">
        <v>11502</v>
      </c>
      <c r="F144" s="7">
        <f t="shared" si="11"/>
        <v>2.3003999999999998</v>
      </c>
      <c r="G144" s="5" t="s">
        <v>20</v>
      </c>
      <c r="H144" s="5">
        <v>117</v>
      </c>
      <c r="I144" s="96">
        <f t="shared" si="8"/>
        <v>98.307692307692307</v>
      </c>
      <c r="J144" s="5" t="s">
        <v>21</v>
      </c>
      <c r="K144" s="5" t="s">
        <v>22</v>
      </c>
      <c r="L144" s="5">
        <v>1333688400</v>
      </c>
      <c r="M144" s="5">
        <v>1337230800</v>
      </c>
      <c r="N144" s="8">
        <f t="shared" si="9"/>
        <v>41005.208333333336</v>
      </c>
      <c r="O144" s="8">
        <f t="shared" si="10"/>
        <v>41046.208333333336</v>
      </c>
      <c r="P144" s="21" t="str">
        <f>TEXT(CrowdfundingTable[[#This Row],[date_created]],"ddd")</f>
        <v>Fri</v>
      </c>
      <c r="Q144" s="21">
        <f>_xlfn.DAYS(CrowdfundingTable[[#This Row],[date_ended]],CrowdfundingTable[[#This Row],[date_created]])</f>
        <v>41</v>
      </c>
      <c r="R144" s="5" t="b">
        <v>0</v>
      </c>
      <c r="S144" s="5" t="b">
        <v>0</v>
      </c>
      <c r="T144" s="5" t="s">
        <v>28</v>
      </c>
      <c r="U144" s="5" t="s">
        <v>2039</v>
      </c>
      <c r="V144" s="5" t="s">
        <v>2064</v>
      </c>
      <c r="W144" s="5"/>
    </row>
    <row r="145" spans="1:23" ht="17" x14ac:dyDescent="0.2">
      <c r="A145" s="5">
        <v>143</v>
      </c>
      <c r="B145" s="5" t="s">
        <v>338</v>
      </c>
      <c r="C145" s="6" t="s">
        <v>339</v>
      </c>
      <c r="D145" s="94">
        <v>5400</v>
      </c>
      <c r="E145" s="94">
        <v>7322</v>
      </c>
      <c r="F145" s="7">
        <f t="shared" si="11"/>
        <v>1.355925925925926</v>
      </c>
      <c r="G145" s="5" t="s">
        <v>20</v>
      </c>
      <c r="H145" s="5">
        <v>70</v>
      </c>
      <c r="I145" s="96">
        <f t="shared" si="8"/>
        <v>104.6</v>
      </c>
      <c r="J145" s="5" t="s">
        <v>21</v>
      </c>
      <c r="K145" s="5" t="s">
        <v>22</v>
      </c>
      <c r="L145" s="5">
        <v>1277701200</v>
      </c>
      <c r="M145" s="5">
        <v>1279429200</v>
      </c>
      <c r="N145" s="8">
        <f t="shared" si="9"/>
        <v>40357.208333333336</v>
      </c>
      <c r="O145" s="8">
        <f t="shared" si="10"/>
        <v>40377.208333333336</v>
      </c>
      <c r="P145" s="21" t="str">
        <f>TEXT(CrowdfundingTable[[#This Row],[date_created]],"ddd")</f>
        <v>Mon</v>
      </c>
      <c r="Q145" s="21">
        <f>_xlfn.DAYS(CrowdfundingTable[[#This Row],[date_ended]],CrowdfundingTable[[#This Row],[date_created]])</f>
        <v>20</v>
      </c>
      <c r="R145" s="5" t="b">
        <v>0</v>
      </c>
      <c r="S145" s="5" t="b">
        <v>0</v>
      </c>
      <c r="T145" s="5" t="s">
        <v>60</v>
      </c>
      <c r="U145" s="5" t="s">
        <v>2036</v>
      </c>
      <c r="V145" s="5" t="s">
        <v>2049</v>
      </c>
      <c r="W145" s="5"/>
    </row>
    <row r="146" spans="1:23" ht="17" x14ac:dyDescent="0.2">
      <c r="A146" s="5">
        <v>144</v>
      </c>
      <c r="B146" s="5" t="s">
        <v>340</v>
      </c>
      <c r="C146" s="6" t="s">
        <v>341</v>
      </c>
      <c r="D146" s="94">
        <v>9000</v>
      </c>
      <c r="E146" s="94">
        <v>11619</v>
      </c>
      <c r="F146" s="7">
        <f t="shared" si="11"/>
        <v>1.2909999999999999</v>
      </c>
      <c r="G146" s="5" t="s">
        <v>20</v>
      </c>
      <c r="H146" s="5">
        <v>135</v>
      </c>
      <c r="I146" s="96">
        <f t="shared" si="8"/>
        <v>86.066666666666663</v>
      </c>
      <c r="J146" s="5" t="s">
        <v>21</v>
      </c>
      <c r="K146" s="5" t="s">
        <v>22</v>
      </c>
      <c r="L146" s="5">
        <v>1560747600</v>
      </c>
      <c r="M146" s="5">
        <v>1561438800</v>
      </c>
      <c r="N146" s="8">
        <f t="shared" si="9"/>
        <v>43633.208333333328</v>
      </c>
      <c r="O146" s="8">
        <f t="shared" si="10"/>
        <v>43641.208333333328</v>
      </c>
      <c r="P146" s="21" t="str">
        <f>TEXT(CrowdfundingTable[[#This Row],[date_created]],"ddd")</f>
        <v>Mon</v>
      </c>
      <c r="Q146" s="21">
        <f>_xlfn.DAYS(CrowdfundingTable[[#This Row],[date_ended]],CrowdfundingTable[[#This Row],[date_created]])</f>
        <v>8</v>
      </c>
      <c r="R146" s="5" t="b">
        <v>0</v>
      </c>
      <c r="S146" s="5" t="b">
        <v>0</v>
      </c>
      <c r="T146" s="5" t="s">
        <v>33</v>
      </c>
      <c r="U146" s="5" t="s">
        <v>2040</v>
      </c>
      <c r="V146" s="5" t="s">
        <v>2055</v>
      </c>
      <c r="W146" s="5"/>
    </row>
    <row r="147" spans="1:23" ht="17" x14ac:dyDescent="0.2">
      <c r="A147" s="5">
        <v>145</v>
      </c>
      <c r="B147" s="5" t="s">
        <v>342</v>
      </c>
      <c r="C147" s="6" t="s">
        <v>343</v>
      </c>
      <c r="D147" s="94">
        <v>25000</v>
      </c>
      <c r="E147" s="94">
        <v>59128</v>
      </c>
      <c r="F147" s="7">
        <f t="shared" si="11"/>
        <v>2.3651200000000001</v>
      </c>
      <c r="G147" s="5" t="s">
        <v>20</v>
      </c>
      <c r="H147" s="5">
        <v>768</v>
      </c>
      <c r="I147" s="96">
        <f t="shared" si="8"/>
        <v>76.989583333333329</v>
      </c>
      <c r="J147" s="5" t="s">
        <v>98</v>
      </c>
      <c r="K147" s="5" t="s">
        <v>99</v>
      </c>
      <c r="L147" s="5">
        <v>1410066000</v>
      </c>
      <c r="M147" s="5">
        <v>1410498000</v>
      </c>
      <c r="N147" s="8">
        <f t="shared" si="9"/>
        <v>41889.208333333336</v>
      </c>
      <c r="O147" s="8">
        <f t="shared" si="10"/>
        <v>41894.208333333336</v>
      </c>
      <c r="P147" s="21" t="str">
        <f>TEXT(CrowdfundingTable[[#This Row],[date_created]],"ddd")</f>
        <v>Sun</v>
      </c>
      <c r="Q147" s="21">
        <f>_xlfn.DAYS(CrowdfundingTable[[#This Row],[date_ended]],CrowdfundingTable[[#This Row],[date_created]])</f>
        <v>5</v>
      </c>
      <c r="R147" s="5" t="b">
        <v>0</v>
      </c>
      <c r="S147" s="5" t="b">
        <v>0</v>
      </c>
      <c r="T147" s="5" t="s">
        <v>65</v>
      </c>
      <c r="U147" s="5" t="s">
        <v>2039</v>
      </c>
      <c r="V147" s="5" t="s">
        <v>2063</v>
      </c>
      <c r="W147" s="5"/>
    </row>
    <row r="148" spans="1:23" ht="34" x14ac:dyDescent="0.2">
      <c r="A148" s="5">
        <v>146</v>
      </c>
      <c r="B148" s="5" t="s">
        <v>344</v>
      </c>
      <c r="C148" s="6" t="s">
        <v>345</v>
      </c>
      <c r="D148" s="94">
        <v>8800</v>
      </c>
      <c r="E148" s="94">
        <v>1518</v>
      </c>
      <c r="F148" s="7">
        <f t="shared" si="11"/>
        <v>0.17249999999999999</v>
      </c>
      <c r="G148" s="5" t="s">
        <v>74</v>
      </c>
      <c r="H148" s="5">
        <v>51</v>
      </c>
      <c r="I148" s="96">
        <f t="shared" si="8"/>
        <v>29.764705882352942</v>
      </c>
      <c r="J148" s="5" t="s">
        <v>21</v>
      </c>
      <c r="K148" s="5" t="s">
        <v>22</v>
      </c>
      <c r="L148" s="5">
        <v>1320732000</v>
      </c>
      <c r="M148" s="5">
        <v>1322460000</v>
      </c>
      <c r="N148" s="8">
        <f t="shared" si="9"/>
        <v>40855.25</v>
      </c>
      <c r="O148" s="8">
        <f t="shared" si="10"/>
        <v>40875.25</v>
      </c>
      <c r="P148" s="21" t="str">
        <f>TEXT(CrowdfundingTable[[#This Row],[date_created]],"ddd")</f>
        <v>Tue</v>
      </c>
      <c r="Q148" s="21">
        <f>_xlfn.DAYS(CrowdfundingTable[[#This Row],[date_ended]],CrowdfundingTable[[#This Row],[date_created]])</f>
        <v>20</v>
      </c>
      <c r="R148" s="5" t="b">
        <v>0</v>
      </c>
      <c r="S148" s="5" t="b">
        <v>0</v>
      </c>
      <c r="T148" s="5" t="s">
        <v>33</v>
      </c>
      <c r="U148" s="5" t="s">
        <v>2040</v>
      </c>
      <c r="V148" s="5" t="s">
        <v>2055</v>
      </c>
      <c r="W148" s="5"/>
    </row>
    <row r="149" spans="1:23" ht="17" x14ac:dyDescent="0.2">
      <c r="A149" s="5">
        <v>147</v>
      </c>
      <c r="B149" s="5" t="s">
        <v>346</v>
      </c>
      <c r="C149" s="6" t="s">
        <v>347</v>
      </c>
      <c r="D149" s="94">
        <v>8300</v>
      </c>
      <c r="E149" s="94">
        <v>9337</v>
      </c>
      <c r="F149" s="7">
        <f t="shared" si="11"/>
        <v>1.1249397590361445</v>
      </c>
      <c r="G149" s="5" t="s">
        <v>20</v>
      </c>
      <c r="H149" s="5">
        <v>199</v>
      </c>
      <c r="I149" s="96">
        <f t="shared" si="8"/>
        <v>46.91959798994975</v>
      </c>
      <c r="J149" s="5" t="s">
        <v>21</v>
      </c>
      <c r="K149" s="5" t="s">
        <v>22</v>
      </c>
      <c r="L149" s="5">
        <v>1465794000</v>
      </c>
      <c r="M149" s="5">
        <v>1466312400</v>
      </c>
      <c r="N149" s="8">
        <f t="shared" si="9"/>
        <v>42534.208333333328</v>
      </c>
      <c r="O149" s="8">
        <f t="shared" si="10"/>
        <v>42540.208333333328</v>
      </c>
      <c r="P149" s="21" t="str">
        <f>TEXT(CrowdfundingTable[[#This Row],[date_created]],"ddd")</f>
        <v>Mon</v>
      </c>
      <c r="Q149" s="21">
        <f>_xlfn.DAYS(CrowdfundingTable[[#This Row],[date_ended]],CrowdfundingTable[[#This Row],[date_created]])</f>
        <v>6</v>
      </c>
      <c r="R149" s="5" t="b">
        <v>0</v>
      </c>
      <c r="S149" s="5" t="b">
        <v>1</v>
      </c>
      <c r="T149" s="5" t="s">
        <v>33</v>
      </c>
      <c r="U149" s="5" t="s">
        <v>2040</v>
      </c>
      <c r="V149" s="5" t="s">
        <v>2055</v>
      </c>
      <c r="W149" s="5"/>
    </row>
    <row r="150" spans="1:23" ht="17" x14ac:dyDescent="0.2">
      <c r="A150" s="5">
        <v>148</v>
      </c>
      <c r="B150" s="5" t="s">
        <v>348</v>
      </c>
      <c r="C150" s="6" t="s">
        <v>349</v>
      </c>
      <c r="D150" s="94">
        <v>9300</v>
      </c>
      <c r="E150" s="94">
        <v>11255</v>
      </c>
      <c r="F150" s="7">
        <f t="shared" si="11"/>
        <v>1.2102150537634409</v>
      </c>
      <c r="G150" s="5" t="s">
        <v>20</v>
      </c>
      <c r="H150" s="5">
        <v>107</v>
      </c>
      <c r="I150" s="96">
        <f t="shared" si="8"/>
        <v>105.18691588785046</v>
      </c>
      <c r="J150" s="5" t="s">
        <v>21</v>
      </c>
      <c r="K150" s="5" t="s">
        <v>22</v>
      </c>
      <c r="L150" s="5">
        <v>1500958800</v>
      </c>
      <c r="M150" s="5">
        <v>1501736400</v>
      </c>
      <c r="N150" s="8">
        <f t="shared" si="9"/>
        <v>42941.208333333328</v>
      </c>
      <c r="O150" s="8">
        <f t="shared" si="10"/>
        <v>42950.208333333328</v>
      </c>
      <c r="P150" s="21" t="str">
        <f>TEXT(CrowdfundingTable[[#This Row],[date_created]],"ddd")</f>
        <v>Tue</v>
      </c>
      <c r="Q150" s="21">
        <f>_xlfn.DAYS(CrowdfundingTable[[#This Row],[date_ended]],CrowdfundingTable[[#This Row],[date_created]])</f>
        <v>9</v>
      </c>
      <c r="R150" s="5" t="b">
        <v>0</v>
      </c>
      <c r="S150" s="5" t="b">
        <v>0</v>
      </c>
      <c r="T150" s="5" t="s">
        <v>65</v>
      </c>
      <c r="U150" s="5" t="s">
        <v>2039</v>
      </c>
      <c r="V150" s="5" t="s">
        <v>2063</v>
      </c>
      <c r="W150" s="5"/>
    </row>
    <row r="151" spans="1:23" ht="17" x14ac:dyDescent="0.2">
      <c r="A151" s="5">
        <v>149</v>
      </c>
      <c r="B151" s="5" t="s">
        <v>350</v>
      </c>
      <c r="C151" s="6" t="s">
        <v>351</v>
      </c>
      <c r="D151" s="94">
        <v>6200</v>
      </c>
      <c r="E151" s="94">
        <v>13632</v>
      </c>
      <c r="F151" s="7">
        <f t="shared" si="11"/>
        <v>2.1987096774193549</v>
      </c>
      <c r="G151" s="5" t="s">
        <v>20</v>
      </c>
      <c r="H151" s="5">
        <v>195</v>
      </c>
      <c r="I151" s="96">
        <f t="shared" si="8"/>
        <v>69.907692307692301</v>
      </c>
      <c r="J151" s="5" t="s">
        <v>21</v>
      </c>
      <c r="K151" s="5" t="s">
        <v>22</v>
      </c>
      <c r="L151" s="5">
        <v>1357020000</v>
      </c>
      <c r="M151" s="5">
        <v>1361512800</v>
      </c>
      <c r="N151" s="8">
        <f t="shared" si="9"/>
        <v>41275.25</v>
      </c>
      <c r="O151" s="8">
        <f t="shared" si="10"/>
        <v>41327.25</v>
      </c>
      <c r="P151" s="21" t="str">
        <f>TEXT(CrowdfundingTable[[#This Row],[date_created]],"ddd")</f>
        <v>Tue</v>
      </c>
      <c r="Q151" s="21">
        <f>_xlfn.DAYS(CrowdfundingTable[[#This Row],[date_ended]],CrowdfundingTable[[#This Row],[date_created]])</f>
        <v>52</v>
      </c>
      <c r="R151" s="5" t="b">
        <v>0</v>
      </c>
      <c r="S151" s="5" t="b">
        <v>0</v>
      </c>
      <c r="T151" s="5" t="s">
        <v>60</v>
      </c>
      <c r="U151" s="5" t="s">
        <v>2036</v>
      </c>
      <c r="V151" s="5" t="s">
        <v>2049</v>
      </c>
      <c r="W151" s="5"/>
    </row>
    <row r="152" spans="1:23" ht="17" x14ac:dyDescent="0.2">
      <c r="A152" s="5">
        <v>150</v>
      </c>
      <c r="B152" s="5" t="s">
        <v>352</v>
      </c>
      <c r="C152" s="6" t="s">
        <v>353</v>
      </c>
      <c r="D152" s="94">
        <v>100</v>
      </c>
      <c r="E152" s="94">
        <v>1</v>
      </c>
      <c r="F152" s="7">
        <f t="shared" si="11"/>
        <v>0.01</v>
      </c>
      <c r="G152" s="5" t="s">
        <v>14</v>
      </c>
      <c r="H152" s="5">
        <v>1</v>
      </c>
      <c r="I152" s="96">
        <f t="shared" si="8"/>
        <v>1</v>
      </c>
      <c r="J152" s="5" t="s">
        <v>21</v>
      </c>
      <c r="K152" s="5" t="s">
        <v>22</v>
      </c>
      <c r="L152" s="5">
        <v>1544940000</v>
      </c>
      <c r="M152" s="5">
        <v>1545026400</v>
      </c>
      <c r="N152" s="8">
        <f t="shared" si="9"/>
        <v>43450.25</v>
      </c>
      <c r="O152" s="8">
        <f t="shared" si="10"/>
        <v>43451.25</v>
      </c>
      <c r="P152" s="21" t="str">
        <f>TEXT(CrowdfundingTable[[#This Row],[date_created]],"ddd")</f>
        <v>Sun</v>
      </c>
      <c r="Q152" s="21">
        <f>_xlfn.DAYS(CrowdfundingTable[[#This Row],[date_ended]],CrowdfundingTable[[#This Row],[date_created]])</f>
        <v>1</v>
      </c>
      <c r="R152" s="5" t="b">
        <v>0</v>
      </c>
      <c r="S152" s="5" t="b">
        <v>0</v>
      </c>
      <c r="T152" s="5" t="s">
        <v>23</v>
      </c>
      <c r="U152" s="5" t="s">
        <v>2036</v>
      </c>
      <c r="V152" s="5" t="s">
        <v>2057</v>
      </c>
      <c r="W152" s="5"/>
    </row>
    <row r="153" spans="1:23" ht="17" x14ac:dyDescent="0.2">
      <c r="A153" s="5">
        <v>151</v>
      </c>
      <c r="B153" s="5" t="s">
        <v>354</v>
      </c>
      <c r="C153" s="6" t="s">
        <v>355</v>
      </c>
      <c r="D153" s="94">
        <v>137200</v>
      </c>
      <c r="E153" s="94">
        <v>88037</v>
      </c>
      <c r="F153" s="7">
        <f t="shared" si="11"/>
        <v>0.64166909620991253</v>
      </c>
      <c r="G153" s="5" t="s">
        <v>14</v>
      </c>
      <c r="H153" s="5">
        <v>1467</v>
      </c>
      <c r="I153" s="96">
        <f t="shared" si="8"/>
        <v>60.011588275391958</v>
      </c>
      <c r="J153" s="5" t="s">
        <v>21</v>
      </c>
      <c r="K153" s="5" t="s">
        <v>22</v>
      </c>
      <c r="L153" s="5">
        <v>1402290000</v>
      </c>
      <c r="M153" s="5">
        <v>1406696400</v>
      </c>
      <c r="N153" s="8">
        <f t="shared" si="9"/>
        <v>41799.208333333336</v>
      </c>
      <c r="O153" s="8">
        <f t="shared" si="10"/>
        <v>41850.208333333336</v>
      </c>
      <c r="P153" s="21" t="str">
        <f>TEXT(CrowdfundingTable[[#This Row],[date_created]],"ddd")</f>
        <v>Mon</v>
      </c>
      <c r="Q153" s="21">
        <f>_xlfn.DAYS(CrowdfundingTable[[#This Row],[date_ended]],CrowdfundingTable[[#This Row],[date_created]])</f>
        <v>51</v>
      </c>
      <c r="R153" s="5" t="b">
        <v>0</v>
      </c>
      <c r="S153" s="5" t="b">
        <v>0</v>
      </c>
      <c r="T153" s="5" t="s">
        <v>50</v>
      </c>
      <c r="U153" s="5" t="s">
        <v>2036</v>
      </c>
      <c r="V153" s="5" t="s">
        <v>2046</v>
      </c>
      <c r="W153" s="5"/>
    </row>
    <row r="154" spans="1:23" ht="17" x14ac:dyDescent="0.2">
      <c r="A154" s="5">
        <v>152</v>
      </c>
      <c r="B154" s="5" t="s">
        <v>356</v>
      </c>
      <c r="C154" s="6" t="s">
        <v>357</v>
      </c>
      <c r="D154" s="94">
        <v>41500</v>
      </c>
      <c r="E154" s="94">
        <v>175573</v>
      </c>
      <c r="F154" s="7">
        <f t="shared" si="11"/>
        <v>4.2306746987951804</v>
      </c>
      <c r="G154" s="5" t="s">
        <v>20</v>
      </c>
      <c r="H154" s="5">
        <v>3376</v>
      </c>
      <c r="I154" s="96">
        <f t="shared" si="8"/>
        <v>52.006220379146917</v>
      </c>
      <c r="J154" s="5" t="s">
        <v>21</v>
      </c>
      <c r="K154" s="5" t="s">
        <v>22</v>
      </c>
      <c r="L154" s="5">
        <v>1487311200</v>
      </c>
      <c r="M154" s="5">
        <v>1487916000</v>
      </c>
      <c r="N154" s="8">
        <f t="shared" si="9"/>
        <v>42783.25</v>
      </c>
      <c r="O154" s="8">
        <f t="shared" si="10"/>
        <v>42790.25</v>
      </c>
      <c r="P154" s="21" t="str">
        <f>TEXT(CrowdfundingTable[[#This Row],[date_created]],"ddd")</f>
        <v>Fri</v>
      </c>
      <c r="Q154" s="21">
        <f>_xlfn.DAYS(CrowdfundingTable[[#This Row],[date_ended]],CrowdfundingTable[[#This Row],[date_created]])</f>
        <v>7</v>
      </c>
      <c r="R154" s="5" t="b">
        <v>0</v>
      </c>
      <c r="S154" s="5" t="b">
        <v>0</v>
      </c>
      <c r="T154" s="5" t="s">
        <v>60</v>
      </c>
      <c r="U154" s="5" t="s">
        <v>2036</v>
      </c>
      <c r="V154" s="5" t="s">
        <v>2049</v>
      </c>
      <c r="W154" s="5"/>
    </row>
    <row r="155" spans="1:23" ht="17" x14ac:dyDescent="0.2">
      <c r="A155" s="5">
        <v>153</v>
      </c>
      <c r="B155" s="5" t="s">
        <v>358</v>
      </c>
      <c r="C155" s="6" t="s">
        <v>359</v>
      </c>
      <c r="D155" s="94">
        <v>189400</v>
      </c>
      <c r="E155" s="94">
        <v>176112</v>
      </c>
      <c r="F155" s="7">
        <f t="shared" si="11"/>
        <v>0.92984160506863778</v>
      </c>
      <c r="G155" s="5" t="s">
        <v>14</v>
      </c>
      <c r="H155" s="5">
        <v>5681</v>
      </c>
      <c r="I155" s="96">
        <f t="shared" si="8"/>
        <v>31.000176025347649</v>
      </c>
      <c r="J155" s="5" t="s">
        <v>21</v>
      </c>
      <c r="K155" s="5" t="s">
        <v>22</v>
      </c>
      <c r="L155" s="5">
        <v>1350622800</v>
      </c>
      <c r="M155" s="5">
        <v>1351141200</v>
      </c>
      <c r="N155" s="8">
        <f t="shared" si="9"/>
        <v>41201.208333333336</v>
      </c>
      <c r="O155" s="8">
        <f t="shared" si="10"/>
        <v>41207.208333333336</v>
      </c>
      <c r="P155" s="21" t="str">
        <f>TEXT(CrowdfundingTable[[#This Row],[date_created]],"ddd")</f>
        <v>Fri</v>
      </c>
      <c r="Q155" s="21">
        <f>_xlfn.DAYS(CrowdfundingTable[[#This Row],[date_ended]],CrowdfundingTable[[#This Row],[date_created]])</f>
        <v>6</v>
      </c>
      <c r="R155" s="5" t="b">
        <v>0</v>
      </c>
      <c r="S155" s="5" t="b">
        <v>0</v>
      </c>
      <c r="T155" s="5" t="s">
        <v>33</v>
      </c>
      <c r="U155" s="5" t="s">
        <v>2040</v>
      </c>
      <c r="V155" s="5" t="s">
        <v>2055</v>
      </c>
      <c r="W155" s="5"/>
    </row>
    <row r="156" spans="1:23" ht="17" x14ac:dyDescent="0.2">
      <c r="A156" s="5">
        <v>154</v>
      </c>
      <c r="B156" s="5" t="s">
        <v>360</v>
      </c>
      <c r="C156" s="6" t="s">
        <v>361</v>
      </c>
      <c r="D156" s="94">
        <v>171300</v>
      </c>
      <c r="E156" s="94">
        <v>100650</v>
      </c>
      <c r="F156" s="7">
        <f t="shared" si="11"/>
        <v>0.58756567425569173</v>
      </c>
      <c r="G156" s="5" t="s">
        <v>14</v>
      </c>
      <c r="H156" s="5">
        <v>1059</v>
      </c>
      <c r="I156" s="96">
        <f t="shared" si="8"/>
        <v>95.042492917847028</v>
      </c>
      <c r="J156" s="5" t="s">
        <v>21</v>
      </c>
      <c r="K156" s="5" t="s">
        <v>22</v>
      </c>
      <c r="L156" s="5">
        <v>1463029200</v>
      </c>
      <c r="M156" s="5">
        <v>1465016400</v>
      </c>
      <c r="N156" s="8">
        <f t="shared" si="9"/>
        <v>42502.208333333328</v>
      </c>
      <c r="O156" s="8">
        <f t="shared" si="10"/>
        <v>42525.208333333328</v>
      </c>
      <c r="P156" s="21" t="str">
        <f>TEXT(CrowdfundingTable[[#This Row],[date_created]],"ddd")</f>
        <v>Thu</v>
      </c>
      <c r="Q156" s="21">
        <f>_xlfn.DAYS(CrowdfundingTable[[#This Row],[date_ended]],CrowdfundingTable[[#This Row],[date_created]])</f>
        <v>23</v>
      </c>
      <c r="R156" s="5" t="b">
        <v>0</v>
      </c>
      <c r="S156" s="5" t="b">
        <v>1</v>
      </c>
      <c r="T156" s="5" t="s">
        <v>60</v>
      </c>
      <c r="U156" s="5" t="s">
        <v>2036</v>
      </c>
      <c r="V156" s="5" t="s">
        <v>2049</v>
      </c>
      <c r="W156" s="5"/>
    </row>
    <row r="157" spans="1:23" ht="17" x14ac:dyDescent="0.2">
      <c r="A157" s="5">
        <v>155</v>
      </c>
      <c r="B157" s="5" t="s">
        <v>362</v>
      </c>
      <c r="C157" s="6" t="s">
        <v>363</v>
      </c>
      <c r="D157" s="94">
        <v>139500</v>
      </c>
      <c r="E157" s="94">
        <v>90706</v>
      </c>
      <c r="F157" s="7">
        <f t="shared" si="11"/>
        <v>0.65022222222222226</v>
      </c>
      <c r="G157" s="5" t="s">
        <v>14</v>
      </c>
      <c r="H157" s="5">
        <v>1194</v>
      </c>
      <c r="I157" s="96">
        <f t="shared" si="8"/>
        <v>75.968174204355108</v>
      </c>
      <c r="J157" s="5" t="s">
        <v>21</v>
      </c>
      <c r="K157" s="5" t="s">
        <v>22</v>
      </c>
      <c r="L157" s="5">
        <v>1269493200</v>
      </c>
      <c r="M157" s="5">
        <v>1270789200</v>
      </c>
      <c r="N157" s="8">
        <f t="shared" si="9"/>
        <v>40262.208333333336</v>
      </c>
      <c r="O157" s="8">
        <f t="shared" si="10"/>
        <v>40277.208333333336</v>
      </c>
      <c r="P157" s="21" t="str">
        <f>TEXT(CrowdfundingTable[[#This Row],[date_created]],"ddd")</f>
        <v>Thu</v>
      </c>
      <c r="Q157" s="21">
        <f>_xlfn.DAYS(CrowdfundingTable[[#This Row],[date_ended]],CrowdfundingTable[[#This Row],[date_created]])</f>
        <v>15</v>
      </c>
      <c r="R157" s="5" t="b">
        <v>0</v>
      </c>
      <c r="S157" s="5" t="b">
        <v>0</v>
      </c>
      <c r="T157" s="5" t="s">
        <v>33</v>
      </c>
      <c r="U157" s="5" t="s">
        <v>2040</v>
      </c>
      <c r="V157" s="5" t="s">
        <v>2055</v>
      </c>
      <c r="W157" s="5"/>
    </row>
    <row r="158" spans="1:23" ht="17" x14ac:dyDescent="0.2">
      <c r="A158" s="5">
        <v>156</v>
      </c>
      <c r="B158" s="5" t="s">
        <v>364</v>
      </c>
      <c r="C158" s="6" t="s">
        <v>365</v>
      </c>
      <c r="D158" s="94">
        <v>36400</v>
      </c>
      <c r="E158" s="94">
        <v>26914</v>
      </c>
      <c r="F158" s="7">
        <f t="shared" si="11"/>
        <v>0.73939560439560437</v>
      </c>
      <c r="G158" s="5" t="s">
        <v>74</v>
      </c>
      <c r="H158" s="5">
        <v>379</v>
      </c>
      <c r="I158" s="96">
        <f t="shared" si="8"/>
        <v>71.013192612137203</v>
      </c>
      <c r="J158" s="5" t="s">
        <v>26</v>
      </c>
      <c r="K158" s="5" t="s">
        <v>27</v>
      </c>
      <c r="L158" s="5">
        <v>1570251600</v>
      </c>
      <c r="M158" s="5">
        <v>1572325200</v>
      </c>
      <c r="N158" s="8">
        <f t="shared" si="9"/>
        <v>43743.208333333328</v>
      </c>
      <c r="O158" s="8">
        <f t="shared" si="10"/>
        <v>43767.208333333328</v>
      </c>
      <c r="P158" s="21" t="str">
        <f>TEXT(CrowdfundingTable[[#This Row],[date_created]],"ddd")</f>
        <v>Sat</v>
      </c>
      <c r="Q158" s="21">
        <f>_xlfn.DAYS(CrowdfundingTable[[#This Row],[date_ended]],CrowdfundingTable[[#This Row],[date_created]])</f>
        <v>24</v>
      </c>
      <c r="R158" s="5" t="b">
        <v>0</v>
      </c>
      <c r="S158" s="5" t="b">
        <v>0</v>
      </c>
      <c r="T158" s="5" t="s">
        <v>23</v>
      </c>
      <c r="U158" s="5" t="s">
        <v>2036</v>
      </c>
      <c r="V158" s="5" t="s">
        <v>2057</v>
      </c>
      <c r="W158" s="5"/>
    </row>
    <row r="159" spans="1:23" ht="17" x14ac:dyDescent="0.2">
      <c r="A159" s="5">
        <v>157</v>
      </c>
      <c r="B159" s="5" t="s">
        <v>366</v>
      </c>
      <c r="C159" s="6" t="s">
        <v>367</v>
      </c>
      <c r="D159" s="94">
        <v>4200</v>
      </c>
      <c r="E159" s="94">
        <v>2212</v>
      </c>
      <c r="F159" s="7">
        <f t="shared" si="11"/>
        <v>0.52666666666666662</v>
      </c>
      <c r="G159" s="5" t="s">
        <v>14</v>
      </c>
      <c r="H159" s="5">
        <v>30</v>
      </c>
      <c r="I159" s="96">
        <f t="shared" si="8"/>
        <v>73.733333333333334</v>
      </c>
      <c r="J159" s="5" t="s">
        <v>26</v>
      </c>
      <c r="K159" s="5" t="s">
        <v>27</v>
      </c>
      <c r="L159" s="5">
        <v>1388383200</v>
      </c>
      <c r="M159" s="5">
        <v>1389420000</v>
      </c>
      <c r="N159" s="8">
        <f t="shared" si="9"/>
        <v>41638.25</v>
      </c>
      <c r="O159" s="8">
        <f t="shared" si="10"/>
        <v>41650.25</v>
      </c>
      <c r="P159" s="21" t="str">
        <f>TEXT(CrowdfundingTable[[#This Row],[date_created]],"ddd")</f>
        <v>Mon</v>
      </c>
      <c r="Q159" s="21">
        <f>_xlfn.DAYS(CrowdfundingTable[[#This Row],[date_ended]],CrowdfundingTable[[#This Row],[date_created]])</f>
        <v>12</v>
      </c>
      <c r="R159" s="5" t="b">
        <v>0</v>
      </c>
      <c r="S159" s="5" t="b">
        <v>0</v>
      </c>
      <c r="T159" s="5" t="s">
        <v>122</v>
      </c>
      <c r="U159" s="5" t="s">
        <v>2037</v>
      </c>
      <c r="V159" s="5" t="s">
        <v>2054</v>
      </c>
      <c r="W159" s="5"/>
    </row>
    <row r="160" spans="1:23" ht="17" x14ac:dyDescent="0.2">
      <c r="A160" s="5">
        <v>158</v>
      </c>
      <c r="B160" s="5" t="s">
        <v>368</v>
      </c>
      <c r="C160" s="6" t="s">
        <v>369</v>
      </c>
      <c r="D160" s="94">
        <v>2100</v>
      </c>
      <c r="E160" s="94">
        <v>4640</v>
      </c>
      <c r="F160" s="7">
        <f t="shared" si="11"/>
        <v>2.2095238095238097</v>
      </c>
      <c r="G160" s="5" t="s">
        <v>20</v>
      </c>
      <c r="H160" s="5">
        <v>41</v>
      </c>
      <c r="I160" s="96">
        <f t="shared" si="8"/>
        <v>113.17073170731707</v>
      </c>
      <c r="J160" s="5" t="s">
        <v>21</v>
      </c>
      <c r="K160" s="5" t="s">
        <v>22</v>
      </c>
      <c r="L160" s="5">
        <v>1449554400</v>
      </c>
      <c r="M160" s="5">
        <v>1449640800</v>
      </c>
      <c r="N160" s="8">
        <f t="shared" si="9"/>
        <v>42346.25</v>
      </c>
      <c r="O160" s="8">
        <f t="shared" si="10"/>
        <v>42347.25</v>
      </c>
      <c r="P160" s="21" t="str">
        <f>TEXT(CrowdfundingTable[[#This Row],[date_created]],"ddd")</f>
        <v>Tue</v>
      </c>
      <c r="Q160" s="21">
        <f>_xlfn.DAYS(CrowdfundingTable[[#This Row],[date_ended]],CrowdfundingTable[[#This Row],[date_created]])</f>
        <v>1</v>
      </c>
      <c r="R160" s="5" t="b">
        <v>0</v>
      </c>
      <c r="S160" s="5" t="b">
        <v>0</v>
      </c>
      <c r="T160" s="5" t="s">
        <v>23</v>
      </c>
      <c r="U160" s="5" t="s">
        <v>2036</v>
      </c>
      <c r="V160" s="5" t="s">
        <v>2057</v>
      </c>
      <c r="W160" s="5"/>
    </row>
    <row r="161" spans="1:23" ht="17" x14ac:dyDescent="0.2">
      <c r="A161" s="5">
        <v>159</v>
      </c>
      <c r="B161" s="5" t="s">
        <v>370</v>
      </c>
      <c r="C161" s="6" t="s">
        <v>371</v>
      </c>
      <c r="D161" s="94">
        <v>191200</v>
      </c>
      <c r="E161" s="94">
        <v>191222</v>
      </c>
      <c r="F161" s="7">
        <f t="shared" si="11"/>
        <v>1.0001150627615063</v>
      </c>
      <c r="G161" s="5" t="s">
        <v>20</v>
      </c>
      <c r="H161" s="5">
        <v>1821</v>
      </c>
      <c r="I161" s="96">
        <f t="shared" si="8"/>
        <v>105.00933552992861</v>
      </c>
      <c r="J161" s="5" t="s">
        <v>21</v>
      </c>
      <c r="K161" s="5" t="s">
        <v>22</v>
      </c>
      <c r="L161" s="5">
        <v>1553662800</v>
      </c>
      <c r="M161" s="5">
        <v>1555218000</v>
      </c>
      <c r="N161" s="8">
        <f t="shared" si="9"/>
        <v>43551.208333333328</v>
      </c>
      <c r="O161" s="8">
        <f t="shared" si="10"/>
        <v>43569.208333333328</v>
      </c>
      <c r="P161" s="21" t="str">
        <f>TEXT(CrowdfundingTable[[#This Row],[date_created]],"ddd")</f>
        <v>Wed</v>
      </c>
      <c r="Q161" s="21">
        <f>_xlfn.DAYS(CrowdfundingTable[[#This Row],[date_ended]],CrowdfundingTable[[#This Row],[date_created]])</f>
        <v>18</v>
      </c>
      <c r="R161" s="5" t="b">
        <v>0</v>
      </c>
      <c r="S161" s="5" t="b">
        <v>1</v>
      </c>
      <c r="T161" s="5" t="s">
        <v>33</v>
      </c>
      <c r="U161" s="5" t="s">
        <v>2040</v>
      </c>
      <c r="V161" s="5" t="s">
        <v>2055</v>
      </c>
      <c r="W161" s="5"/>
    </row>
    <row r="162" spans="1:23" ht="17" x14ac:dyDescent="0.2">
      <c r="A162" s="5">
        <v>160</v>
      </c>
      <c r="B162" s="5" t="s">
        <v>372</v>
      </c>
      <c r="C162" s="6" t="s">
        <v>373</v>
      </c>
      <c r="D162" s="94">
        <v>8000</v>
      </c>
      <c r="E162" s="94">
        <v>12985</v>
      </c>
      <c r="F162" s="7">
        <f t="shared" si="11"/>
        <v>1.6231249999999999</v>
      </c>
      <c r="G162" s="5" t="s">
        <v>20</v>
      </c>
      <c r="H162" s="5">
        <v>164</v>
      </c>
      <c r="I162" s="96">
        <f t="shared" si="8"/>
        <v>79.176829268292678</v>
      </c>
      <c r="J162" s="5" t="s">
        <v>21</v>
      </c>
      <c r="K162" s="5" t="s">
        <v>22</v>
      </c>
      <c r="L162" s="5">
        <v>1556341200</v>
      </c>
      <c r="M162" s="5">
        <v>1557723600</v>
      </c>
      <c r="N162" s="8">
        <f t="shared" si="9"/>
        <v>43582.208333333328</v>
      </c>
      <c r="O162" s="8">
        <f t="shared" si="10"/>
        <v>43598.208333333328</v>
      </c>
      <c r="P162" s="21" t="str">
        <f>TEXT(CrowdfundingTable[[#This Row],[date_created]],"ddd")</f>
        <v>Sat</v>
      </c>
      <c r="Q162" s="21">
        <f>_xlfn.DAYS(CrowdfundingTable[[#This Row],[date_ended]],CrowdfundingTable[[#This Row],[date_created]])</f>
        <v>16</v>
      </c>
      <c r="R162" s="5" t="b">
        <v>0</v>
      </c>
      <c r="S162" s="5" t="b">
        <v>0</v>
      </c>
      <c r="T162" s="5" t="s">
        <v>65</v>
      </c>
      <c r="U162" s="5" t="s">
        <v>2039</v>
      </c>
      <c r="V162" s="5" t="s">
        <v>2063</v>
      </c>
      <c r="W162" s="5"/>
    </row>
    <row r="163" spans="1:23" ht="34" x14ac:dyDescent="0.2">
      <c r="A163" s="5">
        <v>161</v>
      </c>
      <c r="B163" s="5" t="s">
        <v>374</v>
      </c>
      <c r="C163" s="6" t="s">
        <v>375</v>
      </c>
      <c r="D163" s="94">
        <v>5500</v>
      </c>
      <c r="E163" s="94">
        <v>4300</v>
      </c>
      <c r="F163" s="7">
        <f t="shared" si="11"/>
        <v>0.78181818181818186</v>
      </c>
      <c r="G163" s="5" t="s">
        <v>14</v>
      </c>
      <c r="H163" s="5">
        <v>75</v>
      </c>
      <c r="I163" s="96">
        <f t="shared" si="8"/>
        <v>57.333333333333336</v>
      </c>
      <c r="J163" s="5" t="s">
        <v>21</v>
      </c>
      <c r="K163" s="5" t="s">
        <v>22</v>
      </c>
      <c r="L163" s="5">
        <v>1442984400</v>
      </c>
      <c r="M163" s="5">
        <v>1443502800</v>
      </c>
      <c r="N163" s="8">
        <f t="shared" si="9"/>
        <v>42270.208333333328</v>
      </c>
      <c r="O163" s="8">
        <f t="shared" si="10"/>
        <v>42276.208333333328</v>
      </c>
      <c r="P163" s="21" t="str">
        <f>TEXT(CrowdfundingTable[[#This Row],[date_created]],"ddd")</f>
        <v>Wed</v>
      </c>
      <c r="Q163" s="21">
        <f>_xlfn.DAYS(CrowdfundingTable[[#This Row],[date_ended]],CrowdfundingTable[[#This Row],[date_created]])</f>
        <v>6</v>
      </c>
      <c r="R163" s="5" t="b">
        <v>0</v>
      </c>
      <c r="S163" s="5" t="b">
        <v>1</v>
      </c>
      <c r="T163" s="5" t="s">
        <v>28</v>
      </c>
      <c r="U163" s="5" t="s">
        <v>2039</v>
      </c>
      <c r="V163" s="5" t="s">
        <v>2064</v>
      </c>
      <c r="W163" s="5"/>
    </row>
    <row r="164" spans="1:23" ht="17" x14ac:dyDescent="0.2">
      <c r="A164" s="5">
        <v>162</v>
      </c>
      <c r="B164" s="5" t="s">
        <v>376</v>
      </c>
      <c r="C164" s="6" t="s">
        <v>377</v>
      </c>
      <c r="D164" s="94">
        <v>6100</v>
      </c>
      <c r="E164" s="94">
        <v>9134</v>
      </c>
      <c r="F164" s="7">
        <f t="shared" si="11"/>
        <v>1.4973770491803278</v>
      </c>
      <c r="G164" s="5" t="s">
        <v>20</v>
      </c>
      <c r="H164" s="5">
        <v>157</v>
      </c>
      <c r="I164" s="96">
        <f t="shared" si="8"/>
        <v>58.178343949044589</v>
      </c>
      <c r="J164" s="5" t="s">
        <v>98</v>
      </c>
      <c r="K164" s="5" t="s">
        <v>99</v>
      </c>
      <c r="L164" s="5">
        <v>1544248800</v>
      </c>
      <c r="M164" s="5">
        <v>1546840800</v>
      </c>
      <c r="N164" s="8">
        <f t="shared" si="9"/>
        <v>43442.25</v>
      </c>
      <c r="O164" s="8">
        <f t="shared" si="10"/>
        <v>43472.25</v>
      </c>
      <c r="P164" s="21" t="str">
        <f>TEXT(CrowdfundingTable[[#This Row],[date_created]],"ddd")</f>
        <v>Sat</v>
      </c>
      <c r="Q164" s="21">
        <f>_xlfn.DAYS(CrowdfundingTable[[#This Row],[date_ended]],CrowdfundingTable[[#This Row],[date_created]])</f>
        <v>30</v>
      </c>
      <c r="R164" s="5" t="b">
        <v>0</v>
      </c>
      <c r="S164" s="5" t="b">
        <v>0</v>
      </c>
      <c r="T164" s="5" t="s">
        <v>23</v>
      </c>
      <c r="U164" s="5" t="s">
        <v>2036</v>
      </c>
      <c r="V164" s="5" t="s">
        <v>2057</v>
      </c>
      <c r="W164" s="5"/>
    </row>
    <row r="165" spans="1:23" ht="17" x14ac:dyDescent="0.2">
      <c r="A165" s="5">
        <v>163</v>
      </c>
      <c r="B165" s="5" t="s">
        <v>378</v>
      </c>
      <c r="C165" s="6" t="s">
        <v>379</v>
      </c>
      <c r="D165" s="94">
        <v>3500</v>
      </c>
      <c r="E165" s="94">
        <v>8864</v>
      </c>
      <c r="F165" s="7">
        <f t="shared" si="11"/>
        <v>2.5325714285714285</v>
      </c>
      <c r="G165" s="5" t="s">
        <v>20</v>
      </c>
      <c r="H165" s="5">
        <v>246</v>
      </c>
      <c r="I165" s="96">
        <f t="shared" si="8"/>
        <v>36.032520325203251</v>
      </c>
      <c r="J165" s="5" t="s">
        <v>21</v>
      </c>
      <c r="K165" s="5" t="s">
        <v>22</v>
      </c>
      <c r="L165" s="5">
        <v>1508475600</v>
      </c>
      <c r="M165" s="5">
        <v>1512712800</v>
      </c>
      <c r="N165" s="8">
        <f t="shared" si="9"/>
        <v>43028.208333333328</v>
      </c>
      <c r="O165" s="8">
        <f t="shared" si="10"/>
        <v>43077.25</v>
      </c>
      <c r="P165" s="21" t="str">
        <f>TEXT(CrowdfundingTable[[#This Row],[date_created]],"ddd")</f>
        <v>Fri</v>
      </c>
      <c r="Q165" s="21">
        <f>_xlfn.DAYS(CrowdfundingTable[[#This Row],[date_ended]],CrowdfundingTable[[#This Row],[date_created]])</f>
        <v>49</v>
      </c>
      <c r="R165" s="5" t="b">
        <v>0</v>
      </c>
      <c r="S165" s="5" t="b">
        <v>1</v>
      </c>
      <c r="T165" s="5" t="s">
        <v>122</v>
      </c>
      <c r="U165" s="5" t="s">
        <v>2037</v>
      </c>
      <c r="V165" s="5" t="s">
        <v>2054</v>
      </c>
      <c r="W165" s="5"/>
    </row>
    <row r="166" spans="1:23" ht="17" x14ac:dyDescent="0.2">
      <c r="A166" s="5">
        <v>164</v>
      </c>
      <c r="B166" s="5" t="s">
        <v>380</v>
      </c>
      <c r="C166" s="6" t="s">
        <v>381</v>
      </c>
      <c r="D166" s="94">
        <v>150500</v>
      </c>
      <c r="E166" s="94">
        <v>150755</v>
      </c>
      <c r="F166" s="7">
        <f t="shared" si="11"/>
        <v>1.0016943521594683</v>
      </c>
      <c r="G166" s="5" t="s">
        <v>20</v>
      </c>
      <c r="H166" s="5">
        <v>1396</v>
      </c>
      <c r="I166" s="96">
        <f t="shared" si="8"/>
        <v>107.99068767908309</v>
      </c>
      <c r="J166" s="5" t="s">
        <v>21</v>
      </c>
      <c r="K166" s="5" t="s">
        <v>22</v>
      </c>
      <c r="L166" s="5">
        <v>1507438800</v>
      </c>
      <c r="M166" s="5">
        <v>1507525200</v>
      </c>
      <c r="N166" s="8">
        <f t="shared" si="9"/>
        <v>43016.208333333328</v>
      </c>
      <c r="O166" s="8">
        <f t="shared" si="10"/>
        <v>43017.208333333328</v>
      </c>
      <c r="P166" s="21" t="str">
        <f>TEXT(CrowdfundingTable[[#This Row],[date_created]],"ddd")</f>
        <v>Sun</v>
      </c>
      <c r="Q166" s="21">
        <f>_xlfn.DAYS(CrowdfundingTable[[#This Row],[date_ended]],CrowdfundingTable[[#This Row],[date_created]])</f>
        <v>1</v>
      </c>
      <c r="R166" s="5" t="b">
        <v>0</v>
      </c>
      <c r="S166" s="5" t="b">
        <v>0</v>
      </c>
      <c r="T166" s="5" t="s">
        <v>33</v>
      </c>
      <c r="U166" s="5" t="s">
        <v>2040</v>
      </c>
      <c r="V166" s="5" t="s">
        <v>2055</v>
      </c>
      <c r="W166" s="5"/>
    </row>
    <row r="167" spans="1:23" ht="17" x14ac:dyDescent="0.2">
      <c r="A167" s="5">
        <v>165</v>
      </c>
      <c r="B167" s="5" t="s">
        <v>382</v>
      </c>
      <c r="C167" s="6" t="s">
        <v>383</v>
      </c>
      <c r="D167" s="94">
        <v>90400</v>
      </c>
      <c r="E167" s="94">
        <v>110279</v>
      </c>
      <c r="F167" s="7">
        <f t="shared" si="11"/>
        <v>1.2199004424778761</v>
      </c>
      <c r="G167" s="5" t="s">
        <v>20</v>
      </c>
      <c r="H167" s="5">
        <v>2506</v>
      </c>
      <c r="I167" s="96">
        <f t="shared" si="8"/>
        <v>44.005985634477256</v>
      </c>
      <c r="J167" s="5" t="s">
        <v>21</v>
      </c>
      <c r="K167" s="5" t="s">
        <v>22</v>
      </c>
      <c r="L167" s="5">
        <v>1501563600</v>
      </c>
      <c r="M167" s="5">
        <v>1504328400</v>
      </c>
      <c r="N167" s="8">
        <f t="shared" si="9"/>
        <v>42948.208333333328</v>
      </c>
      <c r="O167" s="8">
        <f t="shared" si="10"/>
        <v>42980.208333333328</v>
      </c>
      <c r="P167" s="21" t="str">
        <f>TEXT(CrowdfundingTable[[#This Row],[date_created]],"ddd")</f>
        <v>Tue</v>
      </c>
      <c r="Q167" s="21">
        <f>_xlfn.DAYS(CrowdfundingTable[[#This Row],[date_ended]],CrowdfundingTable[[#This Row],[date_created]])</f>
        <v>32</v>
      </c>
      <c r="R167" s="5" t="b">
        <v>0</v>
      </c>
      <c r="S167" s="5" t="b">
        <v>0</v>
      </c>
      <c r="T167" s="5" t="s">
        <v>28</v>
      </c>
      <c r="U167" s="5" t="s">
        <v>2039</v>
      </c>
      <c r="V167" s="5" t="s">
        <v>2064</v>
      </c>
      <c r="W167" s="5"/>
    </row>
    <row r="168" spans="1:23" ht="17" x14ac:dyDescent="0.2">
      <c r="A168" s="5">
        <v>166</v>
      </c>
      <c r="B168" s="5" t="s">
        <v>384</v>
      </c>
      <c r="C168" s="6" t="s">
        <v>385</v>
      </c>
      <c r="D168" s="94">
        <v>9800</v>
      </c>
      <c r="E168" s="94">
        <v>13439</v>
      </c>
      <c r="F168" s="7">
        <f t="shared" si="11"/>
        <v>1.3713265306122449</v>
      </c>
      <c r="G168" s="5" t="s">
        <v>20</v>
      </c>
      <c r="H168" s="5">
        <v>244</v>
      </c>
      <c r="I168" s="96">
        <f t="shared" si="8"/>
        <v>55.077868852459019</v>
      </c>
      <c r="J168" s="5" t="s">
        <v>21</v>
      </c>
      <c r="K168" s="5" t="s">
        <v>22</v>
      </c>
      <c r="L168" s="5">
        <v>1292997600</v>
      </c>
      <c r="M168" s="5">
        <v>1293343200</v>
      </c>
      <c r="N168" s="8">
        <f t="shared" si="9"/>
        <v>40534.25</v>
      </c>
      <c r="O168" s="8">
        <f t="shared" si="10"/>
        <v>40538.25</v>
      </c>
      <c r="P168" s="21" t="str">
        <f>TEXT(CrowdfundingTable[[#This Row],[date_created]],"ddd")</f>
        <v>Wed</v>
      </c>
      <c r="Q168" s="21">
        <f>_xlfn.DAYS(CrowdfundingTable[[#This Row],[date_ended]],CrowdfundingTable[[#This Row],[date_created]])</f>
        <v>4</v>
      </c>
      <c r="R168" s="5" t="b">
        <v>0</v>
      </c>
      <c r="S168" s="5" t="b">
        <v>0</v>
      </c>
      <c r="T168" s="5" t="s">
        <v>122</v>
      </c>
      <c r="U168" s="5" t="s">
        <v>2037</v>
      </c>
      <c r="V168" s="5" t="s">
        <v>2054</v>
      </c>
      <c r="W168" s="5"/>
    </row>
    <row r="169" spans="1:23" ht="17" x14ac:dyDescent="0.2">
      <c r="A169" s="5">
        <v>167</v>
      </c>
      <c r="B169" s="5" t="s">
        <v>386</v>
      </c>
      <c r="C169" s="6" t="s">
        <v>387</v>
      </c>
      <c r="D169" s="94">
        <v>2600</v>
      </c>
      <c r="E169" s="94">
        <v>10804</v>
      </c>
      <c r="F169" s="7">
        <f t="shared" si="11"/>
        <v>4.155384615384615</v>
      </c>
      <c r="G169" s="5" t="s">
        <v>20</v>
      </c>
      <c r="H169" s="5">
        <v>146</v>
      </c>
      <c r="I169" s="96">
        <f t="shared" si="8"/>
        <v>74</v>
      </c>
      <c r="J169" s="5" t="s">
        <v>26</v>
      </c>
      <c r="K169" s="5" t="s">
        <v>27</v>
      </c>
      <c r="L169" s="5">
        <v>1370840400</v>
      </c>
      <c r="M169" s="5">
        <v>1371704400</v>
      </c>
      <c r="N169" s="8">
        <f t="shared" si="9"/>
        <v>41435.208333333336</v>
      </c>
      <c r="O169" s="8">
        <f t="shared" si="10"/>
        <v>41445.208333333336</v>
      </c>
      <c r="P169" s="21" t="str">
        <f>TEXT(CrowdfundingTable[[#This Row],[date_created]],"ddd")</f>
        <v>Mon</v>
      </c>
      <c r="Q169" s="21">
        <f>_xlfn.DAYS(CrowdfundingTable[[#This Row],[date_ended]],CrowdfundingTable[[#This Row],[date_created]])</f>
        <v>10</v>
      </c>
      <c r="R169" s="5" t="b">
        <v>0</v>
      </c>
      <c r="S169" s="5" t="b">
        <v>0</v>
      </c>
      <c r="T169" s="5" t="s">
        <v>33</v>
      </c>
      <c r="U169" s="5" t="s">
        <v>2040</v>
      </c>
      <c r="V169" s="5" t="s">
        <v>2055</v>
      </c>
      <c r="W169" s="5"/>
    </row>
    <row r="170" spans="1:23" ht="17" x14ac:dyDescent="0.2">
      <c r="A170" s="5">
        <v>168</v>
      </c>
      <c r="B170" s="5" t="s">
        <v>388</v>
      </c>
      <c r="C170" s="6" t="s">
        <v>389</v>
      </c>
      <c r="D170" s="94">
        <v>128100</v>
      </c>
      <c r="E170" s="94">
        <v>40107</v>
      </c>
      <c r="F170" s="7">
        <f t="shared" si="11"/>
        <v>0.3130913348946136</v>
      </c>
      <c r="G170" s="5" t="s">
        <v>14</v>
      </c>
      <c r="H170" s="5">
        <v>955</v>
      </c>
      <c r="I170" s="96">
        <f t="shared" si="8"/>
        <v>41.996858638743454</v>
      </c>
      <c r="J170" s="5" t="s">
        <v>36</v>
      </c>
      <c r="K170" s="5" t="s">
        <v>37</v>
      </c>
      <c r="L170" s="5">
        <v>1550815200</v>
      </c>
      <c r="M170" s="5">
        <v>1552798800</v>
      </c>
      <c r="N170" s="8">
        <f t="shared" si="9"/>
        <v>43518.25</v>
      </c>
      <c r="O170" s="8">
        <f t="shared" si="10"/>
        <v>43541.208333333328</v>
      </c>
      <c r="P170" s="21" t="str">
        <f>TEXT(CrowdfundingTable[[#This Row],[date_created]],"ddd")</f>
        <v>Fri</v>
      </c>
      <c r="Q170" s="21">
        <f>_xlfn.DAYS(CrowdfundingTable[[#This Row],[date_ended]],CrowdfundingTable[[#This Row],[date_created]])</f>
        <v>23</v>
      </c>
      <c r="R170" s="5" t="b">
        <v>0</v>
      </c>
      <c r="S170" s="5" t="b">
        <v>1</v>
      </c>
      <c r="T170" s="5" t="s">
        <v>60</v>
      </c>
      <c r="U170" s="5" t="s">
        <v>2036</v>
      </c>
      <c r="V170" s="5" t="s">
        <v>2049</v>
      </c>
      <c r="W170" s="5"/>
    </row>
    <row r="171" spans="1:23" ht="17" x14ac:dyDescent="0.2">
      <c r="A171" s="5">
        <v>169</v>
      </c>
      <c r="B171" s="5" t="s">
        <v>390</v>
      </c>
      <c r="C171" s="6" t="s">
        <v>391</v>
      </c>
      <c r="D171" s="94">
        <v>23300</v>
      </c>
      <c r="E171" s="94">
        <v>98811</v>
      </c>
      <c r="F171" s="7">
        <f t="shared" si="11"/>
        <v>4.240815450643777</v>
      </c>
      <c r="G171" s="5" t="s">
        <v>20</v>
      </c>
      <c r="H171" s="5">
        <v>1267</v>
      </c>
      <c r="I171" s="96">
        <f t="shared" si="8"/>
        <v>77.988161010260455</v>
      </c>
      <c r="J171" s="5" t="s">
        <v>21</v>
      </c>
      <c r="K171" s="5" t="s">
        <v>22</v>
      </c>
      <c r="L171" s="5">
        <v>1339909200</v>
      </c>
      <c r="M171" s="5">
        <v>1342328400</v>
      </c>
      <c r="N171" s="8">
        <f t="shared" si="9"/>
        <v>41077.208333333336</v>
      </c>
      <c r="O171" s="8">
        <f t="shared" si="10"/>
        <v>41105.208333333336</v>
      </c>
      <c r="P171" s="21" t="str">
        <f>TEXT(CrowdfundingTable[[#This Row],[date_created]],"ddd")</f>
        <v>Sun</v>
      </c>
      <c r="Q171" s="21">
        <f>_xlfn.DAYS(CrowdfundingTable[[#This Row],[date_ended]],CrowdfundingTable[[#This Row],[date_created]])</f>
        <v>28</v>
      </c>
      <c r="R171" s="5" t="b">
        <v>0</v>
      </c>
      <c r="S171" s="5" t="b">
        <v>1</v>
      </c>
      <c r="T171" s="5" t="s">
        <v>100</v>
      </c>
      <c r="U171" s="5" t="s">
        <v>2032</v>
      </c>
      <c r="V171" s="5" t="s">
        <v>2059</v>
      </c>
      <c r="W171" s="5"/>
    </row>
    <row r="172" spans="1:23" ht="17" x14ac:dyDescent="0.2">
      <c r="A172" s="5">
        <v>170</v>
      </c>
      <c r="B172" s="5" t="s">
        <v>392</v>
      </c>
      <c r="C172" s="6" t="s">
        <v>393</v>
      </c>
      <c r="D172" s="94">
        <v>188100</v>
      </c>
      <c r="E172" s="94">
        <v>5528</v>
      </c>
      <c r="F172" s="7">
        <f t="shared" si="11"/>
        <v>2.9388623072833599E-2</v>
      </c>
      <c r="G172" s="5" t="s">
        <v>14</v>
      </c>
      <c r="H172" s="5">
        <v>67</v>
      </c>
      <c r="I172" s="96">
        <f t="shared" si="8"/>
        <v>82.507462686567166</v>
      </c>
      <c r="J172" s="5" t="s">
        <v>21</v>
      </c>
      <c r="K172" s="5" t="s">
        <v>22</v>
      </c>
      <c r="L172" s="5">
        <v>1501736400</v>
      </c>
      <c r="M172" s="5">
        <v>1502341200</v>
      </c>
      <c r="N172" s="8">
        <f t="shared" si="9"/>
        <v>42950.208333333328</v>
      </c>
      <c r="O172" s="8">
        <f t="shared" si="10"/>
        <v>42957.208333333328</v>
      </c>
      <c r="P172" s="21" t="str">
        <f>TEXT(CrowdfundingTable[[#This Row],[date_created]],"ddd")</f>
        <v>Thu</v>
      </c>
      <c r="Q172" s="21">
        <f>_xlfn.DAYS(CrowdfundingTable[[#This Row],[date_ended]],CrowdfundingTable[[#This Row],[date_created]])</f>
        <v>7</v>
      </c>
      <c r="R172" s="5" t="b">
        <v>0</v>
      </c>
      <c r="S172" s="5" t="b">
        <v>0</v>
      </c>
      <c r="T172" s="5" t="s">
        <v>60</v>
      </c>
      <c r="U172" s="5" t="s">
        <v>2036</v>
      </c>
      <c r="V172" s="5" t="s">
        <v>2049</v>
      </c>
      <c r="W172" s="5"/>
    </row>
    <row r="173" spans="1:23" ht="34" x14ac:dyDescent="0.2">
      <c r="A173" s="5">
        <v>171</v>
      </c>
      <c r="B173" s="5" t="s">
        <v>394</v>
      </c>
      <c r="C173" s="6" t="s">
        <v>395</v>
      </c>
      <c r="D173" s="94">
        <v>4900</v>
      </c>
      <c r="E173" s="94">
        <v>521</v>
      </c>
      <c r="F173" s="7">
        <f t="shared" si="11"/>
        <v>0.1063265306122449</v>
      </c>
      <c r="G173" s="5" t="s">
        <v>14</v>
      </c>
      <c r="H173" s="5">
        <v>5</v>
      </c>
      <c r="I173" s="96">
        <f t="shared" si="8"/>
        <v>104.2</v>
      </c>
      <c r="J173" s="5" t="s">
        <v>21</v>
      </c>
      <c r="K173" s="5" t="s">
        <v>22</v>
      </c>
      <c r="L173" s="5">
        <v>1395291600</v>
      </c>
      <c r="M173" s="5">
        <v>1397192400</v>
      </c>
      <c r="N173" s="8">
        <f t="shared" si="9"/>
        <v>41718.208333333336</v>
      </c>
      <c r="O173" s="8">
        <f t="shared" si="10"/>
        <v>41740.208333333336</v>
      </c>
      <c r="P173" s="21" t="str">
        <f>TEXT(CrowdfundingTable[[#This Row],[date_created]],"ddd")</f>
        <v>Thu</v>
      </c>
      <c r="Q173" s="21">
        <f>_xlfn.DAYS(CrowdfundingTable[[#This Row],[date_ended]],CrowdfundingTable[[#This Row],[date_created]])</f>
        <v>22</v>
      </c>
      <c r="R173" s="5" t="b">
        <v>0</v>
      </c>
      <c r="S173" s="5" t="b">
        <v>0</v>
      </c>
      <c r="T173" s="5" t="s">
        <v>206</v>
      </c>
      <c r="U173" s="5" t="s">
        <v>2038</v>
      </c>
      <c r="V173" s="5" t="s">
        <v>2061</v>
      </c>
      <c r="W173" s="5"/>
    </row>
    <row r="174" spans="1:23" ht="17" x14ac:dyDescent="0.2">
      <c r="A174" s="5">
        <v>172</v>
      </c>
      <c r="B174" s="5" t="s">
        <v>396</v>
      </c>
      <c r="C174" s="6" t="s">
        <v>397</v>
      </c>
      <c r="D174" s="94">
        <v>800</v>
      </c>
      <c r="E174" s="94">
        <v>663</v>
      </c>
      <c r="F174" s="7">
        <f t="shared" si="11"/>
        <v>0.82874999999999999</v>
      </c>
      <c r="G174" s="5" t="s">
        <v>14</v>
      </c>
      <c r="H174" s="5">
        <v>26</v>
      </c>
      <c r="I174" s="96">
        <f t="shared" si="8"/>
        <v>25.5</v>
      </c>
      <c r="J174" s="5" t="s">
        <v>21</v>
      </c>
      <c r="K174" s="5" t="s">
        <v>22</v>
      </c>
      <c r="L174" s="5">
        <v>1405746000</v>
      </c>
      <c r="M174" s="5">
        <v>1407042000</v>
      </c>
      <c r="N174" s="8">
        <f t="shared" si="9"/>
        <v>41839.208333333336</v>
      </c>
      <c r="O174" s="8">
        <f t="shared" si="10"/>
        <v>41854.208333333336</v>
      </c>
      <c r="P174" s="21" t="str">
        <f>TEXT(CrowdfundingTable[[#This Row],[date_created]],"ddd")</f>
        <v>Sat</v>
      </c>
      <c r="Q174" s="21">
        <f>_xlfn.DAYS(CrowdfundingTable[[#This Row],[date_ended]],CrowdfundingTable[[#This Row],[date_created]])</f>
        <v>15</v>
      </c>
      <c r="R174" s="5" t="b">
        <v>0</v>
      </c>
      <c r="S174" s="5" t="b">
        <v>1</v>
      </c>
      <c r="T174" s="5" t="s">
        <v>42</v>
      </c>
      <c r="U174" s="5" t="s">
        <v>2032</v>
      </c>
      <c r="V174" s="5" t="s">
        <v>2044</v>
      </c>
      <c r="W174" s="5"/>
    </row>
    <row r="175" spans="1:23" ht="17" x14ac:dyDescent="0.2">
      <c r="A175" s="5">
        <v>173</v>
      </c>
      <c r="B175" s="5" t="s">
        <v>398</v>
      </c>
      <c r="C175" s="6" t="s">
        <v>399</v>
      </c>
      <c r="D175" s="94">
        <v>96700</v>
      </c>
      <c r="E175" s="94">
        <v>157635</v>
      </c>
      <c r="F175" s="7">
        <f t="shared" si="11"/>
        <v>1.6301447776628748</v>
      </c>
      <c r="G175" s="5" t="s">
        <v>20</v>
      </c>
      <c r="H175" s="5">
        <v>1561</v>
      </c>
      <c r="I175" s="96">
        <f t="shared" si="8"/>
        <v>100.98334401024984</v>
      </c>
      <c r="J175" s="5" t="s">
        <v>21</v>
      </c>
      <c r="K175" s="5" t="s">
        <v>22</v>
      </c>
      <c r="L175" s="5">
        <v>1368853200</v>
      </c>
      <c r="M175" s="5">
        <v>1369371600</v>
      </c>
      <c r="N175" s="8">
        <f t="shared" si="9"/>
        <v>41412.208333333336</v>
      </c>
      <c r="O175" s="8">
        <f t="shared" si="10"/>
        <v>41418.208333333336</v>
      </c>
      <c r="P175" s="21" t="str">
        <f>TEXT(CrowdfundingTable[[#This Row],[date_created]],"ddd")</f>
        <v>Sat</v>
      </c>
      <c r="Q175" s="21">
        <f>_xlfn.DAYS(CrowdfundingTable[[#This Row],[date_ended]],CrowdfundingTable[[#This Row],[date_created]])</f>
        <v>6</v>
      </c>
      <c r="R175" s="5" t="b">
        <v>0</v>
      </c>
      <c r="S175" s="5" t="b">
        <v>0</v>
      </c>
      <c r="T175" s="5" t="s">
        <v>33</v>
      </c>
      <c r="U175" s="5" t="s">
        <v>2040</v>
      </c>
      <c r="V175" s="5" t="s">
        <v>2055</v>
      </c>
      <c r="W175" s="5"/>
    </row>
    <row r="176" spans="1:23" ht="17" x14ac:dyDescent="0.2">
      <c r="A176" s="5">
        <v>174</v>
      </c>
      <c r="B176" s="5" t="s">
        <v>400</v>
      </c>
      <c r="C176" s="6" t="s">
        <v>401</v>
      </c>
      <c r="D176" s="94">
        <v>600</v>
      </c>
      <c r="E176" s="94">
        <v>5368</v>
      </c>
      <c r="F176" s="7">
        <f t="shared" si="11"/>
        <v>8.9466666666666672</v>
      </c>
      <c r="G176" s="5" t="s">
        <v>20</v>
      </c>
      <c r="H176" s="5">
        <v>48</v>
      </c>
      <c r="I176" s="96">
        <f t="shared" si="8"/>
        <v>111.83333333333333</v>
      </c>
      <c r="J176" s="5" t="s">
        <v>21</v>
      </c>
      <c r="K176" s="5" t="s">
        <v>22</v>
      </c>
      <c r="L176" s="5">
        <v>1444021200</v>
      </c>
      <c r="M176" s="5">
        <v>1444107600</v>
      </c>
      <c r="N176" s="8">
        <f t="shared" si="9"/>
        <v>42282.208333333328</v>
      </c>
      <c r="O176" s="8">
        <f t="shared" si="10"/>
        <v>42283.208333333328</v>
      </c>
      <c r="P176" s="21" t="str">
        <f>TEXT(CrowdfundingTable[[#This Row],[date_created]],"ddd")</f>
        <v>Mon</v>
      </c>
      <c r="Q176" s="21">
        <f>_xlfn.DAYS(CrowdfundingTable[[#This Row],[date_ended]],CrowdfundingTable[[#This Row],[date_created]])</f>
        <v>1</v>
      </c>
      <c r="R176" s="5" t="b">
        <v>0</v>
      </c>
      <c r="S176" s="5" t="b">
        <v>1</v>
      </c>
      <c r="T176" s="5" t="s">
        <v>65</v>
      </c>
      <c r="U176" s="5" t="s">
        <v>2039</v>
      </c>
      <c r="V176" s="5" t="s">
        <v>2063</v>
      </c>
      <c r="W176" s="5"/>
    </row>
    <row r="177" spans="1:23" ht="17" x14ac:dyDescent="0.2">
      <c r="A177" s="5">
        <v>175</v>
      </c>
      <c r="B177" s="5" t="s">
        <v>402</v>
      </c>
      <c r="C177" s="6" t="s">
        <v>403</v>
      </c>
      <c r="D177" s="94">
        <v>181200</v>
      </c>
      <c r="E177" s="94">
        <v>47459</v>
      </c>
      <c r="F177" s="7">
        <f t="shared" si="11"/>
        <v>0.26191501103752757</v>
      </c>
      <c r="G177" s="5" t="s">
        <v>14</v>
      </c>
      <c r="H177" s="5">
        <v>1130</v>
      </c>
      <c r="I177" s="96">
        <f t="shared" si="8"/>
        <v>41.999115044247787</v>
      </c>
      <c r="J177" s="5" t="s">
        <v>21</v>
      </c>
      <c r="K177" s="5" t="s">
        <v>22</v>
      </c>
      <c r="L177" s="5">
        <v>1472619600</v>
      </c>
      <c r="M177" s="5">
        <v>1474261200</v>
      </c>
      <c r="N177" s="8">
        <f t="shared" si="9"/>
        <v>42613.208333333328</v>
      </c>
      <c r="O177" s="8">
        <f t="shared" si="10"/>
        <v>42632.208333333328</v>
      </c>
      <c r="P177" s="21" t="str">
        <f>TEXT(CrowdfundingTable[[#This Row],[date_created]],"ddd")</f>
        <v>Wed</v>
      </c>
      <c r="Q177" s="21">
        <f>_xlfn.DAYS(CrowdfundingTable[[#This Row],[date_ended]],CrowdfundingTable[[#This Row],[date_created]])</f>
        <v>19</v>
      </c>
      <c r="R177" s="5" t="b">
        <v>0</v>
      </c>
      <c r="S177" s="5" t="b">
        <v>0</v>
      </c>
      <c r="T177" s="5" t="s">
        <v>33</v>
      </c>
      <c r="U177" s="5" t="s">
        <v>2040</v>
      </c>
      <c r="V177" s="5" t="s">
        <v>2055</v>
      </c>
      <c r="W177" s="5"/>
    </row>
    <row r="178" spans="1:23" ht="34" x14ac:dyDescent="0.2">
      <c r="A178" s="5">
        <v>176</v>
      </c>
      <c r="B178" s="5" t="s">
        <v>404</v>
      </c>
      <c r="C178" s="6" t="s">
        <v>405</v>
      </c>
      <c r="D178" s="94">
        <v>115000</v>
      </c>
      <c r="E178" s="94">
        <v>86060</v>
      </c>
      <c r="F178" s="7">
        <f t="shared" si="11"/>
        <v>0.74834782608695649</v>
      </c>
      <c r="G178" s="5" t="s">
        <v>14</v>
      </c>
      <c r="H178" s="5">
        <v>782</v>
      </c>
      <c r="I178" s="96">
        <f t="shared" si="8"/>
        <v>110.05115089514067</v>
      </c>
      <c r="J178" s="5" t="s">
        <v>21</v>
      </c>
      <c r="K178" s="5" t="s">
        <v>22</v>
      </c>
      <c r="L178" s="5">
        <v>1472878800</v>
      </c>
      <c r="M178" s="5">
        <v>1473656400</v>
      </c>
      <c r="N178" s="8">
        <f t="shared" si="9"/>
        <v>42616.208333333328</v>
      </c>
      <c r="O178" s="8">
        <f t="shared" si="10"/>
        <v>42625.208333333328</v>
      </c>
      <c r="P178" s="21" t="str">
        <f>TEXT(CrowdfundingTable[[#This Row],[date_created]],"ddd")</f>
        <v>Sat</v>
      </c>
      <c r="Q178" s="21">
        <f>_xlfn.DAYS(CrowdfundingTable[[#This Row],[date_ended]],CrowdfundingTable[[#This Row],[date_created]])</f>
        <v>9</v>
      </c>
      <c r="R178" s="5" t="b">
        <v>0</v>
      </c>
      <c r="S178" s="5" t="b">
        <v>0</v>
      </c>
      <c r="T178" s="5" t="s">
        <v>33</v>
      </c>
      <c r="U178" s="5" t="s">
        <v>2040</v>
      </c>
      <c r="V178" s="5" t="s">
        <v>2055</v>
      </c>
      <c r="W178" s="5"/>
    </row>
    <row r="179" spans="1:23" ht="17" x14ac:dyDescent="0.2">
      <c r="A179" s="5">
        <v>177</v>
      </c>
      <c r="B179" s="5" t="s">
        <v>406</v>
      </c>
      <c r="C179" s="6" t="s">
        <v>407</v>
      </c>
      <c r="D179" s="94">
        <v>38800</v>
      </c>
      <c r="E179" s="94">
        <v>161593</v>
      </c>
      <c r="F179" s="7">
        <f t="shared" si="11"/>
        <v>4.1647680412371137</v>
      </c>
      <c r="G179" s="5" t="s">
        <v>20</v>
      </c>
      <c r="H179" s="5">
        <v>2739</v>
      </c>
      <c r="I179" s="96">
        <f t="shared" si="8"/>
        <v>58.997079225994888</v>
      </c>
      <c r="J179" s="5" t="s">
        <v>21</v>
      </c>
      <c r="K179" s="5" t="s">
        <v>22</v>
      </c>
      <c r="L179" s="5">
        <v>1289800800</v>
      </c>
      <c r="M179" s="5">
        <v>1291960800</v>
      </c>
      <c r="N179" s="8">
        <f t="shared" si="9"/>
        <v>40497.25</v>
      </c>
      <c r="O179" s="8">
        <f t="shared" si="10"/>
        <v>40522.25</v>
      </c>
      <c r="P179" s="21" t="str">
        <f>TEXT(CrowdfundingTable[[#This Row],[date_created]],"ddd")</f>
        <v>Mon</v>
      </c>
      <c r="Q179" s="21">
        <f>_xlfn.DAYS(CrowdfundingTable[[#This Row],[date_ended]],CrowdfundingTable[[#This Row],[date_created]])</f>
        <v>25</v>
      </c>
      <c r="R179" s="5" t="b">
        <v>0</v>
      </c>
      <c r="S179" s="5" t="b">
        <v>0</v>
      </c>
      <c r="T179" s="5" t="s">
        <v>33</v>
      </c>
      <c r="U179" s="5" t="s">
        <v>2040</v>
      </c>
      <c r="V179" s="5" t="s">
        <v>2055</v>
      </c>
      <c r="W179" s="5"/>
    </row>
    <row r="180" spans="1:23" ht="17" x14ac:dyDescent="0.2">
      <c r="A180" s="5">
        <v>178</v>
      </c>
      <c r="B180" s="5" t="s">
        <v>408</v>
      </c>
      <c r="C180" s="6" t="s">
        <v>409</v>
      </c>
      <c r="D180" s="94">
        <v>7200</v>
      </c>
      <c r="E180" s="94">
        <v>6927</v>
      </c>
      <c r="F180" s="7">
        <f t="shared" si="11"/>
        <v>0.96208333333333329</v>
      </c>
      <c r="G180" s="5" t="s">
        <v>14</v>
      </c>
      <c r="H180" s="5">
        <v>210</v>
      </c>
      <c r="I180" s="96">
        <f t="shared" si="8"/>
        <v>32.985714285714288</v>
      </c>
      <c r="J180" s="5" t="s">
        <v>21</v>
      </c>
      <c r="K180" s="5" t="s">
        <v>22</v>
      </c>
      <c r="L180" s="5">
        <v>1505970000</v>
      </c>
      <c r="M180" s="5">
        <v>1506747600</v>
      </c>
      <c r="N180" s="8">
        <f t="shared" si="9"/>
        <v>42999.208333333328</v>
      </c>
      <c r="O180" s="8">
        <f t="shared" si="10"/>
        <v>43008.208333333328</v>
      </c>
      <c r="P180" s="21" t="str">
        <f>TEXT(CrowdfundingTable[[#This Row],[date_created]],"ddd")</f>
        <v>Thu</v>
      </c>
      <c r="Q180" s="21">
        <f>_xlfn.DAYS(CrowdfundingTable[[#This Row],[date_ended]],CrowdfundingTable[[#This Row],[date_created]])</f>
        <v>9</v>
      </c>
      <c r="R180" s="5" t="b">
        <v>0</v>
      </c>
      <c r="S180" s="5" t="b">
        <v>0</v>
      </c>
      <c r="T180" s="5" t="s">
        <v>17</v>
      </c>
      <c r="U180" s="5" t="s">
        <v>2033</v>
      </c>
      <c r="V180" s="5" t="s">
        <v>2048</v>
      </c>
      <c r="W180" s="5"/>
    </row>
    <row r="181" spans="1:23" ht="17" x14ac:dyDescent="0.2">
      <c r="A181" s="5">
        <v>179</v>
      </c>
      <c r="B181" s="5" t="s">
        <v>410</v>
      </c>
      <c r="C181" s="6" t="s">
        <v>411</v>
      </c>
      <c r="D181" s="94">
        <v>44500</v>
      </c>
      <c r="E181" s="94">
        <v>159185</v>
      </c>
      <c r="F181" s="7">
        <f t="shared" si="11"/>
        <v>3.5771910112359548</v>
      </c>
      <c r="G181" s="5" t="s">
        <v>20</v>
      </c>
      <c r="H181" s="5">
        <v>3537</v>
      </c>
      <c r="I181" s="96">
        <f t="shared" si="8"/>
        <v>45.005654509471306</v>
      </c>
      <c r="J181" s="5" t="s">
        <v>15</v>
      </c>
      <c r="K181" s="5" t="s">
        <v>16</v>
      </c>
      <c r="L181" s="5">
        <v>1363496400</v>
      </c>
      <c r="M181" s="5">
        <v>1363582800</v>
      </c>
      <c r="N181" s="8">
        <f t="shared" si="9"/>
        <v>41350.208333333336</v>
      </c>
      <c r="O181" s="8">
        <f t="shared" si="10"/>
        <v>41351.208333333336</v>
      </c>
      <c r="P181" s="21" t="str">
        <f>TEXT(CrowdfundingTable[[#This Row],[date_created]],"ddd")</f>
        <v>Sun</v>
      </c>
      <c r="Q181" s="21">
        <f>_xlfn.DAYS(CrowdfundingTable[[#This Row],[date_ended]],CrowdfundingTable[[#This Row],[date_created]])</f>
        <v>1</v>
      </c>
      <c r="R181" s="5" t="b">
        <v>0</v>
      </c>
      <c r="S181" s="5" t="b">
        <v>1</v>
      </c>
      <c r="T181" s="5" t="s">
        <v>33</v>
      </c>
      <c r="U181" s="5" t="s">
        <v>2040</v>
      </c>
      <c r="V181" s="5" t="s">
        <v>2055</v>
      </c>
      <c r="W181" s="5"/>
    </row>
    <row r="182" spans="1:23" ht="17" x14ac:dyDescent="0.2">
      <c r="A182" s="5">
        <v>180</v>
      </c>
      <c r="B182" s="5" t="s">
        <v>412</v>
      </c>
      <c r="C182" s="6" t="s">
        <v>413</v>
      </c>
      <c r="D182" s="94">
        <v>56000</v>
      </c>
      <c r="E182" s="94">
        <v>172736</v>
      </c>
      <c r="F182" s="7">
        <f t="shared" si="11"/>
        <v>3.0845714285714285</v>
      </c>
      <c r="G182" s="5" t="s">
        <v>20</v>
      </c>
      <c r="H182" s="5">
        <v>2107</v>
      </c>
      <c r="I182" s="96">
        <f t="shared" si="8"/>
        <v>81.98196487897485</v>
      </c>
      <c r="J182" s="5" t="s">
        <v>26</v>
      </c>
      <c r="K182" s="5" t="s">
        <v>27</v>
      </c>
      <c r="L182" s="5">
        <v>1269234000</v>
      </c>
      <c r="M182" s="5">
        <v>1269666000</v>
      </c>
      <c r="N182" s="8">
        <f t="shared" si="9"/>
        <v>40259.208333333336</v>
      </c>
      <c r="O182" s="8">
        <f t="shared" si="10"/>
        <v>40264.208333333336</v>
      </c>
      <c r="P182" s="21" t="str">
        <f>TEXT(CrowdfundingTable[[#This Row],[date_created]],"ddd")</f>
        <v>Mon</v>
      </c>
      <c r="Q182" s="21">
        <f>_xlfn.DAYS(CrowdfundingTable[[#This Row],[date_ended]],CrowdfundingTable[[#This Row],[date_created]])</f>
        <v>5</v>
      </c>
      <c r="R182" s="5" t="b">
        <v>0</v>
      </c>
      <c r="S182" s="5" t="b">
        <v>0</v>
      </c>
      <c r="T182" s="5" t="s">
        <v>65</v>
      </c>
      <c r="U182" s="5" t="s">
        <v>2039</v>
      </c>
      <c r="V182" s="5" t="s">
        <v>2063</v>
      </c>
      <c r="W182" s="5"/>
    </row>
    <row r="183" spans="1:23" ht="17" x14ac:dyDescent="0.2">
      <c r="A183" s="5">
        <v>181</v>
      </c>
      <c r="B183" s="5" t="s">
        <v>414</v>
      </c>
      <c r="C183" s="6" t="s">
        <v>415</v>
      </c>
      <c r="D183" s="94">
        <v>8600</v>
      </c>
      <c r="E183" s="94">
        <v>5315</v>
      </c>
      <c r="F183" s="7">
        <f t="shared" si="11"/>
        <v>0.61802325581395345</v>
      </c>
      <c r="G183" s="5" t="s">
        <v>14</v>
      </c>
      <c r="H183" s="5">
        <v>136</v>
      </c>
      <c r="I183" s="96">
        <f t="shared" si="8"/>
        <v>39.080882352941174</v>
      </c>
      <c r="J183" s="5" t="s">
        <v>21</v>
      </c>
      <c r="K183" s="5" t="s">
        <v>22</v>
      </c>
      <c r="L183" s="5">
        <v>1507093200</v>
      </c>
      <c r="M183" s="5">
        <v>1508648400</v>
      </c>
      <c r="N183" s="8">
        <f t="shared" si="9"/>
        <v>43012.208333333328</v>
      </c>
      <c r="O183" s="8">
        <f t="shared" si="10"/>
        <v>43030.208333333328</v>
      </c>
      <c r="P183" s="21" t="str">
        <f>TEXT(CrowdfundingTable[[#This Row],[date_created]],"ddd")</f>
        <v>Wed</v>
      </c>
      <c r="Q183" s="21">
        <f>_xlfn.DAYS(CrowdfundingTable[[#This Row],[date_ended]],CrowdfundingTable[[#This Row],[date_created]])</f>
        <v>18</v>
      </c>
      <c r="R183" s="5" t="b">
        <v>0</v>
      </c>
      <c r="S183" s="5" t="b">
        <v>0</v>
      </c>
      <c r="T183" s="5" t="s">
        <v>28</v>
      </c>
      <c r="U183" s="5" t="s">
        <v>2039</v>
      </c>
      <c r="V183" s="5" t="s">
        <v>2064</v>
      </c>
      <c r="W183" s="5"/>
    </row>
    <row r="184" spans="1:23" ht="34" x14ac:dyDescent="0.2">
      <c r="A184" s="5">
        <v>182</v>
      </c>
      <c r="B184" s="5" t="s">
        <v>416</v>
      </c>
      <c r="C184" s="6" t="s">
        <v>417</v>
      </c>
      <c r="D184" s="94">
        <v>27100</v>
      </c>
      <c r="E184" s="94">
        <v>195750</v>
      </c>
      <c r="F184" s="7">
        <f t="shared" si="11"/>
        <v>7.2232472324723247</v>
      </c>
      <c r="G184" s="5" t="s">
        <v>20</v>
      </c>
      <c r="H184" s="5">
        <v>3318</v>
      </c>
      <c r="I184" s="96">
        <f t="shared" si="8"/>
        <v>58.996383363471971</v>
      </c>
      <c r="J184" s="5" t="s">
        <v>36</v>
      </c>
      <c r="K184" s="5" t="s">
        <v>37</v>
      </c>
      <c r="L184" s="5">
        <v>1560574800</v>
      </c>
      <c r="M184" s="5">
        <v>1561957200</v>
      </c>
      <c r="N184" s="8">
        <f t="shared" si="9"/>
        <v>43631.208333333328</v>
      </c>
      <c r="O184" s="8">
        <f t="shared" si="10"/>
        <v>43647.208333333328</v>
      </c>
      <c r="P184" s="21" t="str">
        <f>TEXT(CrowdfundingTable[[#This Row],[date_created]],"ddd")</f>
        <v>Sat</v>
      </c>
      <c r="Q184" s="21">
        <f>_xlfn.DAYS(CrowdfundingTable[[#This Row],[date_ended]],CrowdfundingTable[[#This Row],[date_created]])</f>
        <v>16</v>
      </c>
      <c r="R184" s="5" t="b">
        <v>0</v>
      </c>
      <c r="S184" s="5" t="b">
        <v>0</v>
      </c>
      <c r="T184" s="5" t="s">
        <v>33</v>
      </c>
      <c r="U184" s="5" t="s">
        <v>2040</v>
      </c>
      <c r="V184" s="5" t="s">
        <v>2055</v>
      </c>
      <c r="W184" s="5"/>
    </row>
    <row r="185" spans="1:23" ht="34" x14ac:dyDescent="0.2">
      <c r="A185" s="5">
        <v>183</v>
      </c>
      <c r="B185" s="5" t="s">
        <v>418</v>
      </c>
      <c r="C185" s="6" t="s">
        <v>419</v>
      </c>
      <c r="D185" s="94">
        <v>5100</v>
      </c>
      <c r="E185" s="94">
        <v>3525</v>
      </c>
      <c r="F185" s="7">
        <f t="shared" si="11"/>
        <v>0.69117647058823528</v>
      </c>
      <c r="G185" s="5" t="s">
        <v>14</v>
      </c>
      <c r="H185" s="5">
        <v>86</v>
      </c>
      <c r="I185" s="96">
        <f t="shared" si="8"/>
        <v>40.988372093023258</v>
      </c>
      <c r="J185" s="5" t="s">
        <v>15</v>
      </c>
      <c r="K185" s="5" t="s">
        <v>16</v>
      </c>
      <c r="L185" s="5">
        <v>1284008400</v>
      </c>
      <c r="M185" s="5">
        <v>1285131600</v>
      </c>
      <c r="N185" s="8">
        <f t="shared" si="9"/>
        <v>40430.208333333336</v>
      </c>
      <c r="O185" s="8">
        <f t="shared" si="10"/>
        <v>40443.208333333336</v>
      </c>
      <c r="P185" s="21" t="str">
        <f>TEXT(CrowdfundingTable[[#This Row],[date_created]],"ddd")</f>
        <v>Thu</v>
      </c>
      <c r="Q185" s="21">
        <f>_xlfn.DAYS(CrowdfundingTable[[#This Row],[date_ended]],CrowdfundingTable[[#This Row],[date_created]])</f>
        <v>13</v>
      </c>
      <c r="R185" s="5" t="b">
        <v>0</v>
      </c>
      <c r="S185" s="5" t="b">
        <v>0</v>
      </c>
      <c r="T185" s="5" t="s">
        <v>23</v>
      </c>
      <c r="U185" s="5" t="s">
        <v>2036</v>
      </c>
      <c r="V185" s="5" t="s">
        <v>2057</v>
      </c>
      <c r="W185" s="5"/>
    </row>
    <row r="186" spans="1:23" ht="17" x14ac:dyDescent="0.2">
      <c r="A186" s="5">
        <v>184</v>
      </c>
      <c r="B186" s="5" t="s">
        <v>420</v>
      </c>
      <c r="C186" s="6" t="s">
        <v>421</v>
      </c>
      <c r="D186" s="94">
        <v>3600</v>
      </c>
      <c r="E186" s="94">
        <v>10550</v>
      </c>
      <c r="F186" s="7">
        <f t="shared" si="11"/>
        <v>2.9305555555555554</v>
      </c>
      <c r="G186" s="5" t="s">
        <v>20</v>
      </c>
      <c r="H186" s="5">
        <v>340</v>
      </c>
      <c r="I186" s="96">
        <f t="shared" si="8"/>
        <v>31.029411764705884</v>
      </c>
      <c r="J186" s="5" t="s">
        <v>21</v>
      </c>
      <c r="K186" s="5" t="s">
        <v>22</v>
      </c>
      <c r="L186" s="5">
        <v>1556859600</v>
      </c>
      <c r="M186" s="5">
        <v>1556946000</v>
      </c>
      <c r="N186" s="8">
        <f t="shared" si="9"/>
        <v>43588.208333333328</v>
      </c>
      <c r="O186" s="8">
        <f t="shared" si="10"/>
        <v>43589.208333333328</v>
      </c>
      <c r="P186" s="21" t="str">
        <f>TEXT(CrowdfundingTable[[#This Row],[date_created]],"ddd")</f>
        <v>Fri</v>
      </c>
      <c r="Q186" s="21">
        <f>_xlfn.DAYS(CrowdfundingTable[[#This Row],[date_ended]],CrowdfundingTable[[#This Row],[date_created]])</f>
        <v>1</v>
      </c>
      <c r="R186" s="5" t="b">
        <v>0</v>
      </c>
      <c r="S186" s="5" t="b">
        <v>0</v>
      </c>
      <c r="T186" s="5" t="s">
        <v>33</v>
      </c>
      <c r="U186" s="5" t="s">
        <v>2040</v>
      </c>
      <c r="V186" s="5" t="s">
        <v>2055</v>
      </c>
      <c r="W186" s="5"/>
    </row>
    <row r="187" spans="1:23" ht="17" x14ac:dyDescent="0.2">
      <c r="A187" s="5">
        <v>185</v>
      </c>
      <c r="B187" s="5" t="s">
        <v>422</v>
      </c>
      <c r="C187" s="6" t="s">
        <v>423</v>
      </c>
      <c r="D187" s="94">
        <v>1000</v>
      </c>
      <c r="E187" s="94">
        <v>718</v>
      </c>
      <c r="F187" s="7">
        <f t="shared" si="11"/>
        <v>0.71799999999999997</v>
      </c>
      <c r="G187" s="5" t="s">
        <v>14</v>
      </c>
      <c r="H187" s="5">
        <v>19</v>
      </c>
      <c r="I187" s="96">
        <f t="shared" si="8"/>
        <v>37.789473684210527</v>
      </c>
      <c r="J187" s="5" t="s">
        <v>21</v>
      </c>
      <c r="K187" s="5" t="s">
        <v>22</v>
      </c>
      <c r="L187" s="5">
        <v>1526187600</v>
      </c>
      <c r="M187" s="5">
        <v>1527138000</v>
      </c>
      <c r="N187" s="8">
        <f t="shared" si="9"/>
        <v>43233.208333333328</v>
      </c>
      <c r="O187" s="8">
        <f t="shared" si="10"/>
        <v>43244.208333333328</v>
      </c>
      <c r="P187" s="21" t="str">
        <f>TEXT(CrowdfundingTable[[#This Row],[date_created]],"ddd")</f>
        <v>Sun</v>
      </c>
      <c r="Q187" s="21">
        <f>_xlfn.DAYS(CrowdfundingTable[[#This Row],[date_ended]],CrowdfundingTable[[#This Row],[date_created]])</f>
        <v>11</v>
      </c>
      <c r="R187" s="5" t="b">
        <v>0</v>
      </c>
      <c r="S187" s="5" t="b">
        <v>0</v>
      </c>
      <c r="T187" s="5" t="s">
        <v>269</v>
      </c>
      <c r="U187" s="5" t="s">
        <v>2032</v>
      </c>
      <c r="V187" s="5" t="s">
        <v>2060</v>
      </c>
      <c r="W187" s="5"/>
    </row>
    <row r="188" spans="1:23" ht="17" x14ac:dyDescent="0.2">
      <c r="A188" s="5">
        <v>186</v>
      </c>
      <c r="B188" s="5" t="s">
        <v>424</v>
      </c>
      <c r="C188" s="6" t="s">
        <v>425</v>
      </c>
      <c r="D188" s="94">
        <v>88800</v>
      </c>
      <c r="E188" s="94">
        <v>28358</v>
      </c>
      <c r="F188" s="7">
        <f t="shared" si="11"/>
        <v>0.31934684684684683</v>
      </c>
      <c r="G188" s="5" t="s">
        <v>14</v>
      </c>
      <c r="H188" s="5">
        <v>886</v>
      </c>
      <c r="I188" s="96">
        <f t="shared" si="8"/>
        <v>32.006772009029348</v>
      </c>
      <c r="J188" s="5" t="s">
        <v>21</v>
      </c>
      <c r="K188" s="5" t="s">
        <v>22</v>
      </c>
      <c r="L188" s="5">
        <v>1400821200</v>
      </c>
      <c r="M188" s="5">
        <v>1402117200</v>
      </c>
      <c r="N188" s="8">
        <f t="shared" si="9"/>
        <v>41782.208333333336</v>
      </c>
      <c r="O188" s="8">
        <f t="shared" si="10"/>
        <v>41797.208333333336</v>
      </c>
      <c r="P188" s="21" t="str">
        <f>TEXT(CrowdfundingTable[[#This Row],[date_created]],"ddd")</f>
        <v>Fri</v>
      </c>
      <c r="Q188" s="21">
        <f>_xlfn.DAYS(CrowdfundingTable[[#This Row],[date_ended]],CrowdfundingTable[[#This Row],[date_created]])</f>
        <v>15</v>
      </c>
      <c r="R188" s="5" t="b">
        <v>0</v>
      </c>
      <c r="S188" s="5" t="b">
        <v>0</v>
      </c>
      <c r="T188" s="5" t="s">
        <v>33</v>
      </c>
      <c r="U188" s="5" t="s">
        <v>2040</v>
      </c>
      <c r="V188" s="5" t="s">
        <v>2055</v>
      </c>
      <c r="W188" s="5"/>
    </row>
    <row r="189" spans="1:23" ht="17" x14ac:dyDescent="0.2">
      <c r="A189" s="5">
        <v>187</v>
      </c>
      <c r="B189" s="5" t="s">
        <v>426</v>
      </c>
      <c r="C189" s="6" t="s">
        <v>427</v>
      </c>
      <c r="D189" s="94">
        <v>60200</v>
      </c>
      <c r="E189" s="94">
        <v>138384</v>
      </c>
      <c r="F189" s="7">
        <f t="shared" si="11"/>
        <v>2.2987375415282392</v>
      </c>
      <c r="G189" s="5" t="s">
        <v>20</v>
      </c>
      <c r="H189" s="5">
        <v>1442</v>
      </c>
      <c r="I189" s="96">
        <f t="shared" si="8"/>
        <v>95.966712898751737</v>
      </c>
      <c r="J189" s="5" t="s">
        <v>15</v>
      </c>
      <c r="K189" s="5" t="s">
        <v>16</v>
      </c>
      <c r="L189" s="5">
        <v>1361599200</v>
      </c>
      <c r="M189" s="5">
        <v>1364014800</v>
      </c>
      <c r="N189" s="8">
        <f t="shared" si="9"/>
        <v>41328.25</v>
      </c>
      <c r="O189" s="8">
        <f t="shared" si="10"/>
        <v>41356.208333333336</v>
      </c>
      <c r="P189" s="21" t="str">
        <f>TEXT(CrowdfundingTable[[#This Row],[date_created]],"ddd")</f>
        <v>Sat</v>
      </c>
      <c r="Q189" s="21">
        <f>_xlfn.DAYS(CrowdfundingTable[[#This Row],[date_ended]],CrowdfundingTable[[#This Row],[date_created]])</f>
        <v>28</v>
      </c>
      <c r="R189" s="5" t="b">
        <v>0</v>
      </c>
      <c r="S189" s="5" t="b">
        <v>1</v>
      </c>
      <c r="T189" s="5" t="s">
        <v>100</v>
      </c>
      <c r="U189" s="5" t="s">
        <v>2032</v>
      </c>
      <c r="V189" s="5" t="s">
        <v>2059</v>
      </c>
      <c r="W189" s="5"/>
    </row>
    <row r="190" spans="1:23" ht="17" x14ac:dyDescent="0.2">
      <c r="A190" s="5">
        <v>188</v>
      </c>
      <c r="B190" s="5" t="s">
        <v>428</v>
      </c>
      <c r="C190" s="6" t="s">
        <v>429</v>
      </c>
      <c r="D190" s="94">
        <v>8200</v>
      </c>
      <c r="E190" s="94">
        <v>2625</v>
      </c>
      <c r="F190" s="7">
        <f t="shared" si="11"/>
        <v>0.3201219512195122</v>
      </c>
      <c r="G190" s="5" t="s">
        <v>14</v>
      </c>
      <c r="H190" s="5">
        <v>35</v>
      </c>
      <c r="I190" s="96">
        <f t="shared" si="8"/>
        <v>75</v>
      </c>
      <c r="J190" s="5" t="s">
        <v>107</v>
      </c>
      <c r="K190" s="5" t="s">
        <v>108</v>
      </c>
      <c r="L190" s="5">
        <v>1417500000</v>
      </c>
      <c r="M190" s="5">
        <v>1417586400</v>
      </c>
      <c r="N190" s="8">
        <f t="shared" si="9"/>
        <v>41975.25</v>
      </c>
      <c r="O190" s="8">
        <f t="shared" si="10"/>
        <v>41976.25</v>
      </c>
      <c r="P190" s="21" t="str">
        <f>TEXT(CrowdfundingTable[[#This Row],[date_created]],"ddd")</f>
        <v>Tue</v>
      </c>
      <c r="Q190" s="21">
        <f>_xlfn.DAYS(CrowdfundingTable[[#This Row],[date_ended]],CrowdfundingTable[[#This Row],[date_created]])</f>
        <v>1</v>
      </c>
      <c r="R190" s="5" t="b">
        <v>0</v>
      </c>
      <c r="S190" s="5" t="b">
        <v>0</v>
      </c>
      <c r="T190" s="5" t="s">
        <v>33</v>
      </c>
      <c r="U190" s="5" t="s">
        <v>2040</v>
      </c>
      <c r="V190" s="5" t="s">
        <v>2055</v>
      </c>
      <c r="W190" s="5"/>
    </row>
    <row r="191" spans="1:23" ht="17" x14ac:dyDescent="0.2">
      <c r="A191" s="5">
        <v>189</v>
      </c>
      <c r="B191" s="5" t="s">
        <v>430</v>
      </c>
      <c r="C191" s="6" t="s">
        <v>431</v>
      </c>
      <c r="D191" s="94">
        <v>191300</v>
      </c>
      <c r="E191" s="94">
        <v>45004</v>
      </c>
      <c r="F191" s="7">
        <f t="shared" si="11"/>
        <v>0.23525352848928385</v>
      </c>
      <c r="G191" s="5" t="s">
        <v>74</v>
      </c>
      <c r="H191" s="5">
        <v>441</v>
      </c>
      <c r="I191" s="96">
        <f t="shared" si="8"/>
        <v>102.0498866213152</v>
      </c>
      <c r="J191" s="5" t="s">
        <v>21</v>
      </c>
      <c r="K191" s="5" t="s">
        <v>22</v>
      </c>
      <c r="L191" s="5">
        <v>1457071200</v>
      </c>
      <c r="M191" s="5">
        <v>1457071200</v>
      </c>
      <c r="N191" s="8">
        <f t="shared" si="9"/>
        <v>42433.25</v>
      </c>
      <c r="O191" s="8">
        <f t="shared" si="10"/>
        <v>42433.25</v>
      </c>
      <c r="P191" s="21" t="str">
        <f>TEXT(CrowdfundingTable[[#This Row],[date_created]],"ddd")</f>
        <v>Fri</v>
      </c>
      <c r="Q191" s="21">
        <f>_xlfn.DAYS(CrowdfundingTable[[#This Row],[date_ended]],CrowdfundingTable[[#This Row],[date_created]])</f>
        <v>0</v>
      </c>
      <c r="R191" s="5" t="b">
        <v>0</v>
      </c>
      <c r="S191" s="5" t="b">
        <v>0</v>
      </c>
      <c r="T191" s="5" t="s">
        <v>33</v>
      </c>
      <c r="U191" s="5" t="s">
        <v>2040</v>
      </c>
      <c r="V191" s="5" t="s">
        <v>2055</v>
      </c>
      <c r="W191" s="5"/>
    </row>
    <row r="192" spans="1:23" ht="17" x14ac:dyDescent="0.2">
      <c r="A192" s="5">
        <v>190</v>
      </c>
      <c r="B192" s="5" t="s">
        <v>432</v>
      </c>
      <c r="C192" s="6" t="s">
        <v>433</v>
      </c>
      <c r="D192" s="94">
        <v>3700</v>
      </c>
      <c r="E192" s="94">
        <v>2538</v>
      </c>
      <c r="F192" s="7">
        <f t="shared" si="11"/>
        <v>0.68594594594594593</v>
      </c>
      <c r="G192" s="5" t="s">
        <v>14</v>
      </c>
      <c r="H192" s="5">
        <v>24</v>
      </c>
      <c r="I192" s="96">
        <f t="shared" si="8"/>
        <v>105.75</v>
      </c>
      <c r="J192" s="5" t="s">
        <v>21</v>
      </c>
      <c r="K192" s="5" t="s">
        <v>22</v>
      </c>
      <c r="L192" s="5">
        <v>1370322000</v>
      </c>
      <c r="M192" s="5">
        <v>1370408400</v>
      </c>
      <c r="N192" s="8">
        <f t="shared" si="9"/>
        <v>41429.208333333336</v>
      </c>
      <c r="O192" s="8">
        <f t="shared" si="10"/>
        <v>41430.208333333336</v>
      </c>
      <c r="P192" s="21" t="str">
        <f>TEXT(CrowdfundingTable[[#This Row],[date_created]],"ddd")</f>
        <v>Tue</v>
      </c>
      <c r="Q192" s="21">
        <f>_xlfn.DAYS(CrowdfundingTable[[#This Row],[date_ended]],CrowdfundingTable[[#This Row],[date_created]])</f>
        <v>1</v>
      </c>
      <c r="R192" s="5" t="b">
        <v>0</v>
      </c>
      <c r="S192" s="5" t="b">
        <v>1</v>
      </c>
      <c r="T192" s="5" t="s">
        <v>33</v>
      </c>
      <c r="U192" s="5" t="s">
        <v>2040</v>
      </c>
      <c r="V192" s="5" t="s">
        <v>2055</v>
      </c>
      <c r="W192" s="5"/>
    </row>
    <row r="193" spans="1:23" ht="17" x14ac:dyDescent="0.2">
      <c r="A193" s="5">
        <v>191</v>
      </c>
      <c r="B193" s="5" t="s">
        <v>434</v>
      </c>
      <c r="C193" s="6" t="s">
        <v>435</v>
      </c>
      <c r="D193" s="94">
        <v>8400</v>
      </c>
      <c r="E193" s="94">
        <v>3188</v>
      </c>
      <c r="F193" s="7">
        <f t="shared" si="11"/>
        <v>0.37952380952380954</v>
      </c>
      <c r="G193" s="5" t="s">
        <v>14</v>
      </c>
      <c r="H193" s="5">
        <v>86</v>
      </c>
      <c r="I193" s="96">
        <f t="shared" si="8"/>
        <v>37.069767441860463</v>
      </c>
      <c r="J193" s="5" t="s">
        <v>107</v>
      </c>
      <c r="K193" s="5" t="s">
        <v>108</v>
      </c>
      <c r="L193" s="5">
        <v>1552366800</v>
      </c>
      <c r="M193" s="5">
        <v>1552626000</v>
      </c>
      <c r="N193" s="8">
        <f t="shared" si="9"/>
        <v>43536.208333333328</v>
      </c>
      <c r="O193" s="8">
        <f t="shared" si="10"/>
        <v>43539.208333333328</v>
      </c>
      <c r="P193" s="21" t="str">
        <f>TEXT(CrowdfundingTable[[#This Row],[date_created]],"ddd")</f>
        <v>Tue</v>
      </c>
      <c r="Q193" s="21">
        <f>_xlfn.DAYS(CrowdfundingTable[[#This Row],[date_ended]],CrowdfundingTable[[#This Row],[date_created]])</f>
        <v>3</v>
      </c>
      <c r="R193" s="5" t="b">
        <v>0</v>
      </c>
      <c r="S193" s="5" t="b">
        <v>0</v>
      </c>
      <c r="T193" s="5" t="s">
        <v>33</v>
      </c>
      <c r="U193" s="5" t="s">
        <v>2040</v>
      </c>
      <c r="V193" s="5" t="s">
        <v>2055</v>
      </c>
      <c r="W193" s="5"/>
    </row>
    <row r="194" spans="1:23" ht="17" x14ac:dyDescent="0.2">
      <c r="A194" s="5">
        <v>192</v>
      </c>
      <c r="B194" s="5" t="s">
        <v>436</v>
      </c>
      <c r="C194" s="6" t="s">
        <v>437</v>
      </c>
      <c r="D194" s="94">
        <v>42600</v>
      </c>
      <c r="E194" s="94">
        <v>8517</v>
      </c>
      <c r="F194" s="7">
        <f t="shared" si="11"/>
        <v>0.19992957746478873</v>
      </c>
      <c r="G194" s="5" t="s">
        <v>14</v>
      </c>
      <c r="H194" s="5">
        <v>243</v>
      </c>
      <c r="I194" s="96">
        <f t="shared" ref="I194:I257" si="12">IF(H194&lt;&gt;0,E194/H194,0)</f>
        <v>35.049382716049379</v>
      </c>
      <c r="J194" s="5" t="s">
        <v>21</v>
      </c>
      <c r="K194" s="5" t="s">
        <v>22</v>
      </c>
      <c r="L194" s="5">
        <v>1403845200</v>
      </c>
      <c r="M194" s="5">
        <v>1404190800</v>
      </c>
      <c r="N194" s="8">
        <f t="shared" si="9"/>
        <v>41817.208333333336</v>
      </c>
      <c r="O194" s="8">
        <f t="shared" si="10"/>
        <v>41821.208333333336</v>
      </c>
      <c r="P194" s="21" t="str">
        <f>TEXT(CrowdfundingTable[[#This Row],[date_created]],"ddd")</f>
        <v>Fri</v>
      </c>
      <c r="Q194" s="21">
        <f>_xlfn.DAYS(CrowdfundingTable[[#This Row],[date_ended]],CrowdfundingTable[[#This Row],[date_created]])</f>
        <v>4</v>
      </c>
      <c r="R194" s="5" t="b">
        <v>0</v>
      </c>
      <c r="S194" s="5" t="b">
        <v>0</v>
      </c>
      <c r="T194" s="5" t="s">
        <v>23</v>
      </c>
      <c r="U194" s="5" t="s">
        <v>2036</v>
      </c>
      <c r="V194" s="5" t="s">
        <v>2057</v>
      </c>
      <c r="W194" s="5"/>
    </row>
    <row r="195" spans="1:23" ht="17" x14ac:dyDescent="0.2">
      <c r="A195" s="5">
        <v>193</v>
      </c>
      <c r="B195" s="5" t="s">
        <v>438</v>
      </c>
      <c r="C195" s="6" t="s">
        <v>439</v>
      </c>
      <c r="D195" s="94">
        <v>6600</v>
      </c>
      <c r="E195" s="94">
        <v>3012</v>
      </c>
      <c r="F195" s="7">
        <f t="shared" si="11"/>
        <v>0.45636363636363636</v>
      </c>
      <c r="G195" s="5" t="s">
        <v>14</v>
      </c>
      <c r="H195" s="5">
        <v>65</v>
      </c>
      <c r="I195" s="96">
        <f t="shared" si="12"/>
        <v>46.338461538461537</v>
      </c>
      <c r="J195" s="5" t="s">
        <v>21</v>
      </c>
      <c r="K195" s="5" t="s">
        <v>22</v>
      </c>
      <c r="L195" s="5">
        <v>1523163600</v>
      </c>
      <c r="M195" s="5">
        <v>1523509200</v>
      </c>
      <c r="N195" s="8">
        <f t="shared" ref="N195:N258" si="13">(((L195/60)/60)/24)+DATE(1970,1,1)</f>
        <v>43198.208333333328</v>
      </c>
      <c r="O195" s="8">
        <f t="shared" ref="O195:O258" si="14">(((M195/60)/60)/24)+DATE(1970,1,1)</f>
        <v>43202.208333333328</v>
      </c>
      <c r="P195" s="21" t="str">
        <f>TEXT(CrowdfundingTable[[#This Row],[date_created]],"ddd")</f>
        <v>Sun</v>
      </c>
      <c r="Q195" s="21">
        <f>_xlfn.DAYS(CrowdfundingTable[[#This Row],[date_ended]],CrowdfundingTable[[#This Row],[date_created]])</f>
        <v>4</v>
      </c>
      <c r="R195" s="5" t="b">
        <v>1</v>
      </c>
      <c r="S195" s="5" t="b">
        <v>0</v>
      </c>
      <c r="T195" s="5" t="s">
        <v>60</v>
      </c>
      <c r="U195" s="5" t="s">
        <v>2036</v>
      </c>
      <c r="V195" s="5" t="s">
        <v>2049</v>
      </c>
      <c r="W195" s="5"/>
    </row>
    <row r="196" spans="1:23" ht="17" x14ac:dyDescent="0.2">
      <c r="A196" s="5">
        <v>194</v>
      </c>
      <c r="B196" s="5" t="s">
        <v>440</v>
      </c>
      <c r="C196" s="6" t="s">
        <v>441</v>
      </c>
      <c r="D196" s="94">
        <v>7100</v>
      </c>
      <c r="E196" s="94">
        <v>8716</v>
      </c>
      <c r="F196" s="7">
        <f t="shared" ref="F196:F259" si="15">E196/D196</f>
        <v>1.227605633802817</v>
      </c>
      <c r="G196" s="5" t="s">
        <v>20</v>
      </c>
      <c r="H196" s="5">
        <v>126</v>
      </c>
      <c r="I196" s="96">
        <f t="shared" si="12"/>
        <v>69.174603174603178</v>
      </c>
      <c r="J196" s="5" t="s">
        <v>21</v>
      </c>
      <c r="K196" s="5" t="s">
        <v>22</v>
      </c>
      <c r="L196" s="5">
        <v>1442206800</v>
      </c>
      <c r="M196" s="5">
        <v>1443589200</v>
      </c>
      <c r="N196" s="8">
        <f t="shared" si="13"/>
        <v>42261.208333333328</v>
      </c>
      <c r="O196" s="8">
        <f t="shared" si="14"/>
        <v>42277.208333333328</v>
      </c>
      <c r="P196" s="21" t="str">
        <f>TEXT(CrowdfundingTable[[#This Row],[date_created]],"ddd")</f>
        <v>Mon</v>
      </c>
      <c r="Q196" s="21">
        <f>_xlfn.DAYS(CrowdfundingTable[[#This Row],[date_ended]],CrowdfundingTable[[#This Row],[date_created]])</f>
        <v>16</v>
      </c>
      <c r="R196" s="5" t="b">
        <v>0</v>
      </c>
      <c r="S196" s="5" t="b">
        <v>0</v>
      </c>
      <c r="T196" s="5" t="s">
        <v>148</v>
      </c>
      <c r="U196" s="5" t="s">
        <v>2036</v>
      </c>
      <c r="V196" s="5" t="s">
        <v>2051</v>
      </c>
      <c r="W196" s="5"/>
    </row>
    <row r="197" spans="1:23" ht="17" x14ac:dyDescent="0.2">
      <c r="A197" s="5">
        <v>195</v>
      </c>
      <c r="B197" s="5" t="s">
        <v>442</v>
      </c>
      <c r="C197" s="6" t="s">
        <v>443</v>
      </c>
      <c r="D197" s="94">
        <v>15800</v>
      </c>
      <c r="E197" s="94">
        <v>57157</v>
      </c>
      <c r="F197" s="7">
        <f t="shared" si="15"/>
        <v>3.61753164556962</v>
      </c>
      <c r="G197" s="5" t="s">
        <v>20</v>
      </c>
      <c r="H197" s="5">
        <v>524</v>
      </c>
      <c r="I197" s="96">
        <f t="shared" si="12"/>
        <v>109.07824427480917</v>
      </c>
      <c r="J197" s="5" t="s">
        <v>21</v>
      </c>
      <c r="K197" s="5" t="s">
        <v>22</v>
      </c>
      <c r="L197" s="5">
        <v>1532840400</v>
      </c>
      <c r="M197" s="5">
        <v>1533445200</v>
      </c>
      <c r="N197" s="8">
        <f t="shared" si="13"/>
        <v>43310.208333333328</v>
      </c>
      <c r="O197" s="8">
        <f t="shared" si="14"/>
        <v>43317.208333333328</v>
      </c>
      <c r="P197" s="21" t="str">
        <f>TEXT(CrowdfundingTable[[#This Row],[date_created]],"ddd")</f>
        <v>Sun</v>
      </c>
      <c r="Q197" s="21">
        <f>_xlfn.DAYS(CrowdfundingTable[[#This Row],[date_ended]],CrowdfundingTable[[#This Row],[date_created]])</f>
        <v>7</v>
      </c>
      <c r="R197" s="5" t="b">
        <v>0</v>
      </c>
      <c r="S197" s="5" t="b">
        <v>0</v>
      </c>
      <c r="T197" s="5" t="s">
        <v>50</v>
      </c>
      <c r="U197" s="5" t="s">
        <v>2036</v>
      </c>
      <c r="V197" s="5" t="s">
        <v>2046</v>
      </c>
      <c r="W197" s="5"/>
    </row>
    <row r="198" spans="1:23" ht="17" x14ac:dyDescent="0.2">
      <c r="A198" s="5">
        <v>196</v>
      </c>
      <c r="B198" s="5" t="s">
        <v>444</v>
      </c>
      <c r="C198" s="6" t="s">
        <v>445</v>
      </c>
      <c r="D198" s="94">
        <v>8200</v>
      </c>
      <c r="E198" s="94">
        <v>5178</v>
      </c>
      <c r="F198" s="7">
        <f t="shared" si="15"/>
        <v>0.63146341463414635</v>
      </c>
      <c r="G198" s="5" t="s">
        <v>14</v>
      </c>
      <c r="H198" s="5">
        <v>100</v>
      </c>
      <c r="I198" s="96">
        <f t="shared" si="12"/>
        <v>51.78</v>
      </c>
      <c r="J198" s="5" t="s">
        <v>36</v>
      </c>
      <c r="K198" s="5" t="s">
        <v>37</v>
      </c>
      <c r="L198" s="5">
        <v>1472878800</v>
      </c>
      <c r="M198" s="5">
        <v>1474520400</v>
      </c>
      <c r="N198" s="8">
        <f t="shared" si="13"/>
        <v>42616.208333333328</v>
      </c>
      <c r="O198" s="8">
        <f t="shared" si="14"/>
        <v>42635.208333333328</v>
      </c>
      <c r="P198" s="21" t="str">
        <f>TEXT(CrowdfundingTable[[#This Row],[date_created]],"ddd")</f>
        <v>Sat</v>
      </c>
      <c r="Q198" s="21">
        <f>_xlfn.DAYS(CrowdfundingTable[[#This Row],[date_ended]],CrowdfundingTable[[#This Row],[date_created]])</f>
        <v>19</v>
      </c>
      <c r="R198" s="5" t="b">
        <v>0</v>
      </c>
      <c r="S198" s="5" t="b">
        <v>0</v>
      </c>
      <c r="T198" s="5" t="s">
        <v>65</v>
      </c>
      <c r="U198" s="5" t="s">
        <v>2039</v>
      </c>
      <c r="V198" s="5" t="s">
        <v>2063</v>
      </c>
      <c r="W198" s="5"/>
    </row>
    <row r="199" spans="1:23" ht="17" x14ac:dyDescent="0.2">
      <c r="A199" s="5">
        <v>197</v>
      </c>
      <c r="B199" s="5" t="s">
        <v>446</v>
      </c>
      <c r="C199" s="6" t="s">
        <v>447</v>
      </c>
      <c r="D199" s="94">
        <v>54700</v>
      </c>
      <c r="E199" s="94">
        <v>163118</v>
      </c>
      <c r="F199" s="7">
        <f t="shared" si="15"/>
        <v>2.9820475319926874</v>
      </c>
      <c r="G199" s="5" t="s">
        <v>20</v>
      </c>
      <c r="H199" s="5">
        <v>1989</v>
      </c>
      <c r="I199" s="96">
        <f t="shared" si="12"/>
        <v>82.010055304172951</v>
      </c>
      <c r="J199" s="5" t="s">
        <v>21</v>
      </c>
      <c r="K199" s="5" t="s">
        <v>22</v>
      </c>
      <c r="L199" s="5">
        <v>1498194000</v>
      </c>
      <c r="M199" s="5">
        <v>1499403600</v>
      </c>
      <c r="N199" s="8">
        <f t="shared" si="13"/>
        <v>42909.208333333328</v>
      </c>
      <c r="O199" s="8">
        <f t="shared" si="14"/>
        <v>42923.208333333328</v>
      </c>
      <c r="P199" s="21" t="str">
        <f>TEXT(CrowdfundingTable[[#This Row],[date_created]],"ddd")</f>
        <v>Fri</v>
      </c>
      <c r="Q199" s="21">
        <f>_xlfn.DAYS(CrowdfundingTable[[#This Row],[date_ended]],CrowdfundingTable[[#This Row],[date_created]])</f>
        <v>14</v>
      </c>
      <c r="R199" s="5" t="b">
        <v>0</v>
      </c>
      <c r="S199" s="5" t="b">
        <v>0</v>
      </c>
      <c r="T199" s="5" t="s">
        <v>53</v>
      </c>
      <c r="U199" s="5" t="s">
        <v>2032</v>
      </c>
      <c r="V199" s="5" t="s">
        <v>2045</v>
      </c>
      <c r="W199" s="5"/>
    </row>
    <row r="200" spans="1:23" ht="17" x14ac:dyDescent="0.2">
      <c r="A200" s="5">
        <v>198</v>
      </c>
      <c r="B200" s="5" t="s">
        <v>448</v>
      </c>
      <c r="C200" s="6" t="s">
        <v>449</v>
      </c>
      <c r="D200" s="94">
        <v>63200</v>
      </c>
      <c r="E200" s="94">
        <v>6041</v>
      </c>
      <c r="F200" s="7">
        <f t="shared" si="15"/>
        <v>9.5585443037974685E-2</v>
      </c>
      <c r="G200" s="5" t="s">
        <v>14</v>
      </c>
      <c r="H200" s="5">
        <v>168</v>
      </c>
      <c r="I200" s="96">
        <f t="shared" si="12"/>
        <v>35.958333333333336</v>
      </c>
      <c r="J200" s="5" t="s">
        <v>21</v>
      </c>
      <c r="K200" s="5" t="s">
        <v>22</v>
      </c>
      <c r="L200" s="5">
        <v>1281070800</v>
      </c>
      <c r="M200" s="5">
        <v>1283576400</v>
      </c>
      <c r="N200" s="8">
        <f t="shared" si="13"/>
        <v>40396.208333333336</v>
      </c>
      <c r="O200" s="8">
        <f t="shared" si="14"/>
        <v>40425.208333333336</v>
      </c>
      <c r="P200" s="21" t="str">
        <f>TEXT(CrowdfundingTable[[#This Row],[date_created]],"ddd")</f>
        <v>Fri</v>
      </c>
      <c r="Q200" s="21">
        <f>_xlfn.DAYS(CrowdfundingTable[[#This Row],[date_ended]],CrowdfundingTable[[#This Row],[date_created]])</f>
        <v>29</v>
      </c>
      <c r="R200" s="5" t="b">
        <v>0</v>
      </c>
      <c r="S200" s="5" t="b">
        <v>0</v>
      </c>
      <c r="T200" s="5" t="s">
        <v>50</v>
      </c>
      <c r="U200" s="5" t="s">
        <v>2036</v>
      </c>
      <c r="V200" s="5" t="s">
        <v>2046</v>
      </c>
      <c r="W200" s="5"/>
    </row>
    <row r="201" spans="1:23" ht="17" x14ac:dyDescent="0.2">
      <c r="A201" s="5">
        <v>199</v>
      </c>
      <c r="B201" s="5" t="s">
        <v>450</v>
      </c>
      <c r="C201" s="6" t="s">
        <v>451</v>
      </c>
      <c r="D201" s="94">
        <v>1800</v>
      </c>
      <c r="E201" s="94">
        <v>968</v>
      </c>
      <c r="F201" s="7">
        <f t="shared" si="15"/>
        <v>0.5377777777777778</v>
      </c>
      <c r="G201" s="5" t="s">
        <v>14</v>
      </c>
      <c r="H201" s="5">
        <v>13</v>
      </c>
      <c r="I201" s="96">
        <f t="shared" si="12"/>
        <v>74.461538461538467</v>
      </c>
      <c r="J201" s="5" t="s">
        <v>21</v>
      </c>
      <c r="K201" s="5" t="s">
        <v>22</v>
      </c>
      <c r="L201" s="5">
        <v>1436245200</v>
      </c>
      <c r="M201" s="5">
        <v>1436590800</v>
      </c>
      <c r="N201" s="8">
        <f t="shared" si="13"/>
        <v>42192.208333333328</v>
      </c>
      <c r="O201" s="8">
        <f t="shared" si="14"/>
        <v>42196.208333333328</v>
      </c>
      <c r="P201" s="21" t="str">
        <f>TEXT(CrowdfundingTable[[#This Row],[date_created]],"ddd")</f>
        <v>Tue</v>
      </c>
      <c r="Q201" s="21">
        <f>_xlfn.DAYS(CrowdfundingTable[[#This Row],[date_ended]],CrowdfundingTable[[#This Row],[date_created]])</f>
        <v>4</v>
      </c>
      <c r="R201" s="5" t="b">
        <v>0</v>
      </c>
      <c r="S201" s="5" t="b">
        <v>0</v>
      </c>
      <c r="T201" s="5" t="s">
        <v>23</v>
      </c>
      <c r="U201" s="5" t="s">
        <v>2036</v>
      </c>
      <c r="V201" s="5" t="s">
        <v>2057</v>
      </c>
      <c r="W201" s="5"/>
    </row>
    <row r="202" spans="1:23" ht="17" x14ac:dyDescent="0.2">
      <c r="A202" s="5">
        <v>200</v>
      </c>
      <c r="B202" s="5" t="s">
        <v>452</v>
      </c>
      <c r="C202" s="6" t="s">
        <v>453</v>
      </c>
      <c r="D202" s="94">
        <v>100</v>
      </c>
      <c r="E202" s="94">
        <v>2</v>
      </c>
      <c r="F202" s="7">
        <f t="shared" si="15"/>
        <v>0.02</v>
      </c>
      <c r="G202" s="5" t="s">
        <v>14</v>
      </c>
      <c r="H202" s="5">
        <v>1</v>
      </c>
      <c r="I202" s="96">
        <f t="shared" si="12"/>
        <v>2</v>
      </c>
      <c r="J202" s="5" t="s">
        <v>15</v>
      </c>
      <c r="K202" s="5" t="s">
        <v>16</v>
      </c>
      <c r="L202" s="5">
        <v>1269493200</v>
      </c>
      <c r="M202" s="5">
        <v>1270443600</v>
      </c>
      <c r="N202" s="8">
        <f t="shared" si="13"/>
        <v>40262.208333333336</v>
      </c>
      <c r="O202" s="8">
        <f t="shared" si="14"/>
        <v>40273.208333333336</v>
      </c>
      <c r="P202" s="21" t="str">
        <f>TEXT(CrowdfundingTable[[#This Row],[date_created]],"ddd")</f>
        <v>Thu</v>
      </c>
      <c r="Q202" s="21">
        <f>_xlfn.DAYS(CrowdfundingTable[[#This Row],[date_ended]],CrowdfundingTable[[#This Row],[date_created]])</f>
        <v>11</v>
      </c>
      <c r="R202" s="5" t="b">
        <v>0</v>
      </c>
      <c r="S202" s="5" t="b">
        <v>0</v>
      </c>
      <c r="T202" s="5" t="s">
        <v>33</v>
      </c>
      <c r="U202" s="5" t="s">
        <v>2040</v>
      </c>
      <c r="V202" s="5" t="s">
        <v>2055</v>
      </c>
      <c r="W202" s="5"/>
    </row>
    <row r="203" spans="1:23" ht="17" x14ac:dyDescent="0.2">
      <c r="A203" s="5">
        <v>201</v>
      </c>
      <c r="B203" s="5" t="s">
        <v>454</v>
      </c>
      <c r="C203" s="6" t="s">
        <v>455</v>
      </c>
      <c r="D203" s="94">
        <v>2100</v>
      </c>
      <c r="E203" s="94">
        <v>14305</v>
      </c>
      <c r="F203" s="7">
        <f t="shared" si="15"/>
        <v>6.8119047619047617</v>
      </c>
      <c r="G203" s="5" t="s">
        <v>20</v>
      </c>
      <c r="H203" s="5">
        <v>157</v>
      </c>
      <c r="I203" s="96">
        <f t="shared" si="12"/>
        <v>91.114649681528661</v>
      </c>
      <c r="J203" s="5" t="s">
        <v>21</v>
      </c>
      <c r="K203" s="5" t="s">
        <v>22</v>
      </c>
      <c r="L203" s="5">
        <v>1406264400</v>
      </c>
      <c r="M203" s="5">
        <v>1407819600</v>
      </c>
      <c r="N203" s="8">
        <f t="shared" si="13"/>
        <v>41845.208333333336</v>
      </c>
      <c r="O203" s="8">
        <f t="shared" si="14"/>
        <v>41863.208333333336</v>
      </c>
      <c r="P203" s="21" t="str">
        <f>TEXT(CrowdfundingTable[[#This Row],[date_created]],"ddd")</f>
        <v>Fri</v>
      </c>
      <c r="Q203" s="21">
        <f>_xlfn.DAYS(CrowdfundingTable[[#This Row],[date_ended]],CrowdfundingTable[[#This Row],[date_created]])</f>
        <v>18</v>
      </c>
      <c r="R203" s="5" t="b">
        <v>0</v>
      </c>
      <c r="S203" s="5" t="b">
        <v>0</v>
      </c>
      <c r="T203" s="5" t="s">
        <v>28</v>
      </c>
      <c r="U203" s="5" t="s">
        <v>2039</v>
      </c>
      <c r="V203" s="5" t="s">
        <v>2064</v>
      </c>
      <c r="W203" s="5"/>
    </row>
    <row r="204" spans="1:23" ht="17" x14ac:dyDescent="0.2">
      <c r="A204" s="5">
        <v>202</v>
      </c>
      <c r="B204" s="5" t="s">
        <v>456</v>
      </c>
      <c r="C204" s="6" t="s">
        <v>457</v>
      </c>
      <c r="D204" s="94">
        <v>8300</v>
      </c>
      <c r="E204" s="94">
        <v>6543</v>
      </c>
      <c r="F204" s="7">
        <f t="shared" si="15"/>
        <v>0.78831325301204824</v>
      </c>
      <c r="G204" s="5" t="s">
        <v>74</v>
      </c>
      <c r="H204" s="5">
        <v>82</v>
      </c>
      <c r="I204" s="96">
        <f t="shared" si="12"/>
        <v>79.792682926829272</v>
      </c>
      <c r="J204" s="5" t="s">
        <v>21</v>
      </c>
      <c r="K204" s="5" t="s">
        <v>22</v>
      </c>
      <c r="L204" s="5">
        <v>1317531600</v>
      </c>
      <c r="M204" s="5">
        <v>1317877200</v>
      </c>
      <c r="N204" s="8">
        <f t="shared" si="13"/>
        <v>40818.208333333336</v>
      </c>
      <c r="O204" s="8">
        <f t="shared" si="14"/>
        <v>40822.208333333336</v>
      </c>
      <c r="P204" s="21" t="str">
        <f>TEXT(CrowdfundingTable[[#This Row],[date_created]],"ddd")</f>
        <v>Sun</v>
      </c>
      <c r="Q204" s="21">
        <f>_xlfn.DAYS(CrowdfundingTable[[#This Row],[date_ended]],CrowdfundingTable[[#This Row],[date_created]])</f>
        <v>4</v>
      </c>
      <c r="R204" s="5" t="b">
        <v>0</v>
      </c>
      <c r="S204" s="5" t="b">
        <v>0</v>
      </c>
      <c r="T204" s="5" t="s">
        <v>17</v>
      </c>
      <c r="U204" s="5" t="s">
        <v>2033</v>
      </c>
      <c r="V204" s="5" t="s">
        <v>2048</v>
      </c>
      <c r="W204" s="5"/>
    </row>
    <row r="205" spans="1:23" ht="34" x14ac:dyDescent="0.2">
      <c r="A205" s="5">
        <v>203</v>
      </c>
      <c r="B205" s="5" t="s">
        <v>458</v>
      </c>
      <c r="C205" s="6" t="s">
        <v>459</v>
      </c>
      <c r="D205" s="94">
        <v>143900</v>
      </c>
      <c r="E205" s="94">
        <v>193413</v>
      </c>
      <c r="F205" s="7">
        <f t="shared" si="15"/>
        <v>1.3440792216817234</v>
      </c>
      <c r="G205" s="5" t="s">
        <v>20</v>
      </c>
      <c r="H205" s="5">
        <v>4498</v>
      </c>
      <c r="I205" s="96">
        <f t="shared" si="12"/>
        <v>42.999777678968428</v>
      </c>
      <c r="J205" s="5" t="s">
        <v>26</v>
      </c>
      <c r="K205" s="5" t="s">
        <v>27</v>
      </c>
      <c r="L205" s="5">
        <v>1484632800</v>
      </c>
      <c r="M205" s="5">
        <v>1484805600</v>
      </c>
      <c r="N205" s="8">
        <f t="shared" si="13"/>
        <v>42752.25</v>
      </c>
      <c r="O205" s="8">
        <f t="shared" si="14"/>
        <v>42754.25</v>
      </c>
      <c r="P205" s="21" t="str">
        <f>TEXT(CrowdfundingTable[[#This Row],[date_created]],"ddd")</f>
        <v>Tue</v>
      </c>
      <c r="Q205" s="21">
        <f>_xlfn.DAYS(CrowdfundingTable[[#This Row],[date_ended]],CrowdfundingTable[[#This Row],[date_created]])</f>
        <v>2</v>
      </c>
      <c r="R205" s="5" t="b">
        <v>0</v>
      </c>
      <c r="S205" s="5" t="b">
        <v>0</v>
      </c>
      <c r="T205" s="5" t="s">
        <v>33</v>
      </c>
      <c r="U205" s="5" t="s">
        <v>2040</v>
      </c>
      <c r="V205" s="5" t="s">
        <v>2055</v>
      </c>
      <c r="W205" s="5"/>
    </row>
    <row r="206" spans="1:23" ht="17" x14ac:dyDescent="0.2">
      <c r="A206" s="5">
        <v>204</v>
      </c>
      <c r="B206" s="5" t="s">
        <v>460</v>
      </c>
      <c r="C206" s="6" t="s">
        <v>461</v>
      </c>
      <c r="D206" s="94">
        <v>75000</v>
      </c>
      <c r="E206" s="94">
        <v>2529</v>
      </c>
      <c r="F206" s="7">
        <f t="shared" si="15"/>
        <v>3.372E-2</v>
      </c>
      <c r="G206" s="5" t="s">
        <v>14</v>
      </c>
      <c r="H206" s="5">
        <v>40</v>
      </c>
      <c r="I206" s="96">
        <f t="shared" si="12"/>
        <v>63.225000000000001</v>
      </c>
      <c r="J206" s="5" t="s">
        <v>21</v>
      </c>
      <c r="K206" s="5" t="s">
        <v>22</v>
      </c>
      <c r="L206" s="5">
        <v>1301806800</v>
      </c>
      <c r="M206" s="5">
        <v>1302670800</v>
      </c>
      <c r="N206" s="8">
        <f t="shared" si="13"/>
        <v>40636.208333333336</v>
      </c>
      <c r="O206" s="8">
        <f t="shared" si="14"/>
        <v>40646.208333333336</v>
      </c>
      <c r="P206" s="21" t="str">
        <f>TEXT(CrowdfundingTable[[#This Row],[date_created]],"ddd")</f>
        <v>Sun</v>
      </c>
      <c r="Q206" s="21">
        <f>_xlfn.DAYS(CrowdfundingTable[[#This Row],[date_ended]],CrowdfundingTable[[#This Row],[date_created]])</f>
        <v>10</v>
      </c>
      <c r="R206" s="5" t="b">
        <v>0</v>
      </c>
      <c r="S206" s="5" t="b">
        <v>0</v>
      </c>
      <c r="T206" s="5" t="s">
        <v>159</v>
      </c>
      <c r="U206" s="5" t="s">
        <v>2036</v>
      </c>
      <c r="V206" s="5" t="s">
        <v>2050</v>
      </c>
      <c r="W206" s="5"/>
    </row>
    <row r="207" spans="1:23" ht="17" x14ac:dyDescent="0.2">
      <c r="A207" s="5">
        <v>205</v>
      </c>
      <c r="B207" s="5" t="s">
        <v>462</v>
      </c>
      <c r="C207" s="6" t="s">
        <v>463</v>
      </c>
      <c r="D207" s="94">
        <v>1300</v>
      </c>
      <c r="E207" s="94">
        <v>5614</v>
      </c>
      <c r="F207" s="7">
        <f t="shared" si="15"/>
        <v>4.3184615384615386</v>
      </c>
      <c r="G207" s="5" t="s">
        <v>20</v>
      </c>
      <c r="H207" s="5">
        <v>80</v>
      </c>
      <c r="I207" s="96">
        <f t="shared" si="12"/>
        <v>70.174999999999997</v>
      </c>
      <c r="J207" s="5" t="s">
        <v>21</v>
      </c>
      <c r="K207" s="5" t="s">
        <v>22</v>
      </c>
      <c r="L207" s="5">
        <v>1539752400</v>
      </c>
      <c r="M207" s="5">
        <v>1540789200</v>
      </c>
      <c r="N207" s="8">
        <f t="shared" si="13"/>
        <v>43390.208333333328</v>
      </c>
      <c r="O207" s="8">
        <f t="shared" si="14"/>
        <v>43402.208333333328</v>
      </c>
      <c r="P207" s="21" t="str">
        <f>TEXT(CrowdfundingTable[[#This Row],[date_created]],"ddd")</f>
        <v>Wed</v>
      </c>
      <c r="Q207" s="21">
        <f>_xlfn.DAYS(CrowdfundingTable[[#This Row],[date_ended]],CrowdfundingTable[[#This Row],[date_created]])</f>
        <v>12</v>
      </c>
      <c r="R207" s="5" t="b">
        <v>1</v>
      </c>
      <c r="S207" s="5" t="b">
        <v>0</v>
      </c>
      <c r="T207" s="5" t="s">
        <v>33</v>
      </c>
      <c r="U207" s="5" t="s">
        <v>2040</v>
      </c>
      <c r="V207" s="5" t="s">
        <v>2055</v>
      </c>
      <c r="W207" s="5"/>
    </row>
    <row r="208" spans="1:23" ht="17" x14ac:dyDescent="0.2">
      <c r="A208" s="5">
        <v>206</v>
      </c>
      <c r="B208" s="5" t="s">
        <v>464</v>
      </c>
      <c r="C208" s="6" t="s">
        <v>465</v>
      </c>
      <c r="D208" s="94">
        <v>9000</v>
      </c>
      <c r="E208" s="94">
        <v>3496</v>
      </c>
      <c r="F208" s="7">
        <f t="shared" si="15"/>
        <v>0.38844444444444443</v>
      </c>
      <c r="G208" s="5" t="s">
        <v>74</v>
      </c>
      <c r="H208" s="5">
        <v>57</v>
      </c>
      <c r="I208" s="96">
        <f t="shared" si="12"/>
        <v>61.333333333333336</v>
      </c>
      <c r="J208" s="5" t="s">
        <v>21</v>
      </c>
      <c r="K208" s="5" t="s">
        <v>22</v>
      </c>
      <c r="L208" s="5">
        <v>1267250400</v>
      </c>
      <c r="M208" s="5">
        <v>1268028000</v>
      </c>
      <c r="N208" s="8">
        <f t="shared" si="13"/>
        <v>40236.25</v>
      </c>
      <c r="O208" s="8">
        <f t="shared" si="14"/>
        <v>40245.25</v>
      </c>
      <c r="P208" s="21" t="str">
        <f>TEXT(CrowdfundingTable[[#This Row],[date_created]],"ddd")</f>
        <v>Sat</v>
      </c>
      <c r="Q208" s="21">
        <f>_xlfn.DAYS(CrowdfundingTable[[#This Row],[date_ended]],CrowdfundingTable[[#This Row],[date_created]])</f>
        <v>9</v>
      </c>
      <c r="R208" s="5" t="b">
        <v>0</v>
      </c>
      <c r="S208" s="5" t="b">
        <v>0</v>
      </c>
      <c r="T208" s="5" t="s">
        <v>119</v>
      </c>
      <c r="U208" s="5" t="s">
        <v>2038</v>
      </c>
      <c r="V208" s="5" t="s">
        <v>2047</v>
      </c>
      <c r="W208" s="5"/>
    </row>
    <row r="209" spans="1:23" ht="17" x14ac:dyDescent="0.2">
      <c r="A209" s="5">
        <v>207</v>
      </c>
      <c r="B209" s="5" t="s">
        <v>466</v>
      </c>
      <c r="C209" s="6" t="s">
        <v>467</v>
      </c>
      <c r="D209" s="94">
        <v>1000</v>
      </c>
      <c r="E209" s="94">
        <v>4257</v>
      </c>
      <c r="F209" s="7">
        <f t="shared" si="15"/>
        <v>4.2569999999999997</v>
      </c>
      <c r="G209" s="5" t="s">
        <v>20</v>
      </c>
      <c r="H209" s="5">
        <v>43</v>
      </c>
      <c r="I209" s="96">
        <f t="shared" si="12"/>
        <v>99</v>
      </c>
      <c r="J209" s="5" t="s">
        <v>21</v>
      </c>
      <c r="K209" s="5" t="s">
        <v>22</v>
      </c>
      <c r="L209" s="5">
        <v>1535432400</v>
      </c>
      <c r="M209" s="5">
        <v>1537160400</v>
      </c>
      <c r="N209" s="8">
        <f t="shared" si="13"/>
        <v>43340.208333333328</v>
      </c>
      <c r="O209" s="8">
        <f t="shared" si="14"/>
        <v>43360.208333333328</v>
      </c>
      <c r="P209" s="21" t="str">
        <f>TEXT(CrowdfundingTable[[#This Row],[date_created]],"ddd")</f>
        <v>Tue</v>
      </c>
      <c r="Q209" s="21">
        <f>_xlfn.DAYS(CrowdfundingTable[[#This Row],[date_ended]],CrowdfundingTable[[#This Row],[date_created]])</f>
        <v>20</v>
      </c>
      <c r="R209" s="5" t="b">
        <v>0</v>
      </c>
      <c r="S209" s="5" t="b">
        <v>1</v>
      </c>
      <c r="T209" s="5" t="s">
        <v>23</v>
      </c>
      <c r="U209" s="5" t="s">
        <v>2036</v>
      </c>
      <c r="V209" s="5" t="s">
        <v>2057</v>
      </c>
      <c r="W209" s="5"/>
    </row>
    <row r="210" spans="1:23" ht="17" x14ac:dyDescent="0.2">
      <c r="A210" s="5">
        <v>208</v>
      </c>
      <c r="B210" s="5" t="s">
        <v>468</v>
      </c>
      <c r="C210" s="6" t="s">
        <v>469</v>
      </c>
      <c r="D210" s="94">
        <v>196900</v>
      </c>
      <c r="E210" s="94">
        <v>199110</v>
      </c>
      <c r="F210" s="7">
        <f t="shared" si="15"/>
        <v>1.0112239715591671</v>
      </c>
      <c r="G210" s="5" t="s">
        <v>20</v>
      </c>
      <c r="H210" s="5">
        <v>2053</v>
      </c>
      <c r="I210" s="96">
        <f t="shared" si="12"/>
        <v>96.984900146127615</v>
      </c>
      <c r="J210" s="5" t="s">
        <v>21</v>
      </c>
      <c r="K210" s="5" t="s">
        <v>22</v>
      </c>
      <c r="L210" s="5">
        <v>1510207200</v>
      </c>
      <c r="M210" s="5">
        <v>1512280800</v>
      </c>
      <c r="N210" s="8">
        <f t="shared" si="13"/>
        <v>43048.25</v>
      </c>
      <c r="O210" s="8">
        <f t="shared" si="14"/>
        <v>43072.25</v>
      </c>
      <c r="P210" s="21" t="str">
        <f>TEXT(CrowdfundingTable[[#This Row],[date_created]],"ddd")</f>
        <v>Thu</v>
      </c>
      <c r="Q210" s="21">
        <f>_xlfn.DAYS(CrowdfundingTable[[#This Row],[date_ended]],CrowdfundingTable[[#This Row],[date_created]])</f>
        <v>24</v>
      </c>
      <c r="R210" s="5" t="b">
        <v>0</v>
      </c>
      <c r="S210" s="5" t="b">
        <v>0</v>
      </c>
      <c r="T210" s="5" t="s">
        <v>42</v>
      </c>
      <c r="U210" s="5" t="s">
        <v>2032</v>
      </c>
      <c r="V210" s="5" t="s">
        <v>2044</v>
      </c>
      <c r="W210" s="5"/>
    </row>
    <row r="211" spans="1:23" ht="17" x14ac:dyDescent="0.2">
      <c r="A211" s="5">
        <v>209</v>
      </c>
      <c r="B211" s="5" t="s">
        <v>470</v>
      </c>
      <c r="C211" s="6" t="s">
        <v>471</v>
      </c>
      <c r="D211" s="94">
        <v>194500</v>
      </c>
      <c r="E211" s="94">
        <v>41212</v>
      </c>
      <c r="F211" s="7">
        <f t="shared" si="15"/>
        <v>0.21188688946015424</v>
      </c>
      <c r="G211" s="5" t="s">
        <v>47</v>
      </c>
      <c r="H211" s="5">
        <v>808</v>
      </c>
      <c r="I211" s="96">
        <f t="shared" si="12"/>
        <v>51.004950495049506</v>
      </c>
      <c r="J211" s="5" t="s">
        <v>26</v>
      </c>
      <c r="K211" s="5" t="s">
        <v>27</v>
      </c>
      <c r="L211" s="5">
        <v>1462510800</v>
      </c>
      <c r="M211" s="5">
        <v>1463115600</v>
      </c>
      <c r="N211" s="8">
        <f t="shared" si="13"/>
        <v>42496.208333333328</v>
      </c>
      <c r="O211" s="8">
        <f t="shared" si="14"/>
        <v>42503.208333333328</v>
      </c>
      <c r="P211" s="21" t="str">
        <f>TEXT(CrowdfundingTable[[#This Row],[date_created]],"ddd")</f>
        <v>Fri</v>
      </c>
      <c r="Q211" s="21">
        <f>_xlfn.DAYS(CrowdfundingTable[[#This Row],[date_ended]],CrowdfundingTable[[#This Row],[date_created]])</f>
        <v>7</v>
      </c>
      <c r="R211" s="5" t="b">
        <v>0</v>
      </c>
      <c r="S211" s="5" t="b">
        <v>0</v>
      </c>
      <c r="T211" s="5" t="s">
        <v>42</v>
      </c>
      <c r="U211" s="5" t="s">
        <v>2032</v>
      </c>
      <c r="V211" s="5" t="s">
        <v>2044</v>
      </c>
      <c r="W211" s="5"/>
    </row>
    <row r="212" spans="1:23" ht="17" x14ac:dyDescent="0.2">
      <c r="A212" s="5">
        <v>210</v>
      </c>
      <c r="B212" s="5" t="s">
        <v>472</v>
      </c>
      <c r="C212" s="6" t="s">
        <v>473</v>
      </c>
      <c r="D212" s="94">
        <v>9400</v>
      </c>
      <c r="E212" s="94">
        <v>6338</v>
      </c>
      <c r="F212" s="7">
        <f t="shared" si="15"/>
        <v>0.67425531914893622</v>
      </c>
      <c r="G212" s="5" t="s">
        <v>14</v>
      </c>
      <c r="H212" s="5">
        <v>226</v>
      </c>
      <c r="I212" s="96">
        <f t="shared" si="12"/>
        <v>28.044247787610619</v>
      </c>
      <c r="J212" s="5" t="s">
        <v>36</v>
      </c>
      <c r="K212" s="5" t="s">
        <v>37</v>
      </c>
      <c r="L212" s="5">
        <v>1488520800</v>
      </c>
      <c r="M212" s="5">
        <v>1490850000</v>
      </c>
      <c r="N212" s="8">
        <f t="shared" si="13"/>
        <v>42797.25</v>
      </c>
      <c r="O212" s="8">
        <f t="shared" si="14"/>
        <v>42824.208333333328</v>
      </c>
      <c r="P212" s="21" t="str">
        <f>TEXT(CrowdfundingTable[[#This Row],[date_created]],"ddd")</f>
        <v>Fri</v>
      </c>
      <c r="Q212" s="21">
        <f>_xlfn.DAYS(CrowdfundingTable[[#This Row],[date_ended]],CrowdfundingTable[[#This Row],[date_created]])</f>
        <v>27</v>
      </c>
      <c r="R212" s="5" t="b">
        <v>0</v>
      </c>
      <c r="S212" s="5" t="b">
        <v>0</v>
      </c>
      <c r="T212" s="5" t="s">
        <v>474</v>
      </c>
      <c r="U212" s="5" t="s">
        <v>2032</v>
      </c>
      <c r="V212" s="5" t="s">
        <v>2058</v>
      </c>
      <c r="W212" s="5"/>
    </row>
    <row r="213" spans="1:23" ht="17" x14ac:dyDescent="0.2">
      <c r="A213" s="5">
        <v>211</v>
      </c>
      <c r="B213" s="5" t="s">
        <v>475</v>
      </c>
      <c r="C213" s="6" t="s">
        <v>476</v>
      </c>
      <c r="D213" s="94">
        <v>104400</v>
      </c>
      <c r="E213" s="94">
        <v>99100</v>
      </c>
      <c r="F213" s="7">
        <f t="shared" si="15"/>
        <v>0.9492337164750958</v>
      </c>
      <c r="G213" s="5" t="s">
        <v>14</v>
      </c>
      <c r="H213" s="5">
        <v>1625</v>
      </c>
      <c r="I213" s="96">
        <f t="shared" si="12"/>
        <v>60.984615384615381</v>
      </c>
      <c r="J213" s="5" t="s">
        <v>21</v>
      </c>
      <c r="K213" s="5" t="s">
        <v>22</v>
      </c>
      <c r="L213" s="5">
        <v>1377579600</v>
      </c>
      <c r="M213" s="5">
        <v>1379653200</v>
      </c>
      <c r="N213" s="8">
        <f t="shared" si="13"/>
        <v>41513.208333333336</v>
      </c>
      <c r="O213" s="8">
        <f t="shared" si="14"/>
        <v>41537.208333333336</v>
      </c>
      <c r="P213" s="21" t="str">
        <f>TEXT(CrowdfundingTable[[#This Row],[date_created]],"ddd")</f>
        <v>Tue</v>
      </c>
      <c r="Q213" s="21">
        <f>_xlfn.DAYS(CrowdfundingTable[[#This Row],[date_ended]],CrowdfundingTable[[#This Row],[date_created]])</f>
        <v>24</v>
      </c>
      <c r="R213" s="5" t="b">
        <v>0</v>
      </c>
      <c r="S213" s="5" t="b">
        <v>0</v>
      </c>
      <c r="T213" s="5" t="s">
        <v>33</v>
      </c>
      <c r="U213" s="5" t="s">
        <v>2040</v>
      </c>
      <c r="V213" s="5" t="s">
        <v>2055</v>
      </c>
      <c r="W213" s="5"/>
    </row>
    <row r="214" spans="1:23" ht="17" x14ac:dyDescent="0.2">
      <c r="A214" s="5">
        <v>212</v>
      </c>
      <c r="B214" s="5" t="s">
        <v>477</v>
      </c>
      <c r="C214" s="6" t="s">
        <v>478</v>
      </c>
      <c r="D214" s="94">
        <v>8100</v>
      </c>
      <c r="E214" s="94">
        <v>12300</v>
      </c>
      <c r="F214" s="7">
        <f t="shared" si="15"/>
        <v>1.5185185185185186</v>
      </c>
      <c r="G214" s="5" t="s">
        <v>20</v>
      </c>
      <c r="H214" s="5">
        <v>168</v>
      </c>
      <c r="I214" s="96">
        <f t="shared" si="12"/>
        <v>73.214285714285708</v>
      </c>
      <c r="J214" s="5" t="s">
        <v>21</v>
      </c>
      <c r="K214" s="5" t="s">
        <v>22</v>
      </c>
      <c r="L214" s="5">
        <v>1576389600</v>
      </c>
      <c r="M214" s="5">
        <v>1580364000</v>
      </c>
      <c r="N214" s="8">
        <f t="shared" si="13"/>
        <v>43814.25</v>
      </c>
      <c r="O214" s="8">
        <f t="shared" si="14"/>
        <v>43860.25</v>
      </c>
      <c r="P214" s="21" t="str">
        <f>TEXT(CrowdfundingTable[[#This Row],[date_created]],"ddd")</f>
        <v>Sun</v>
      </c>
      <c r="Q214" s="21">
        <f>_xlfn.DAYS(CrowdfundingTable[[#This Row],[date_ended]],CrowdfundingTable[[#This Row],[date_created]])</f>
        <v>46</v>
      </c>
      <c r="R214" s="5" t="b">
        <v>0</v>
      </c>
      <c r="S214" s="5" t="b">
        <v>0</v>
      </c>
      <c r="T214" s="5" t="s">
        <v>33</v>
      </c>
      <c r="U214" s="5" t="s">
        <v>2040</v>
      </c>
      <c r="V214" s="5" t="s">
        <v>2055</v>
      </c>
      <c r="W214" s="5"/>
    </row>
    <row r="215" spans="1:23" ht="34" x14ac:dyDescent="0.2">
      <c r="A215" s="5">
        <v>213</v>
      </c>
      <c r="B215" s="5" t="s">
        <v>479</v>
      </c>
      <c r="C215" s="6" t="s">
        <v>480</v>
      </c>
      <c r="D215" s="94">
        <v>87900</v>
      </c>
      <c r="E215" s="94">
        <v>171549</v>
      </c>
      <c r="F215" s="7">
        <f t="shared" si="15"/>
        <v>1.9516382252559727</v>
      </c>
      <c r="G215" s="5" t="s">
        <v>20</v>
      </c>
      <c r="H215" s="5">
        <v>4289</v>
      </c>
      <c r="I215" s="96">
        <f t="shared" si="12"/>
        <v>39.997435299603637</v>
      </c>
      <c r="J215" s="5" t="s">
        <v>21</v>
      </c>
      <c r="K215" s="5" t="s">
        <v>22</v>
      </c>
      <c r="L215" s="5">
        <v>1289019600</v>
      </c>
      <c r="M215" s="5">
        <v>1289714400</v>
      </c>
      <c r="N215" s="8">
        <f t="shared" si="13"/>
        <v>40488.208333333336</v>
      </c>
      <c r="O215" s="8">
        <f t="shared" si="14"/>
        <v>40496.25</v>
      </c>
      <c r="P215" s="21" t="str">
        <f>TEXT(CrowdfundingTable[[#This Row],[date_created]],"ddd")</f>
        <v>Sat</v>
      </c>
      <c r="Q215" s="21">
        <f>_xlfn.DAYS(CrowdfundingTable[[#This Row],[date_ended]],CrowdfundingTable[[#This Row],[date_created]])</f>
        <v>8</v>
      </c>
      <c r="R215" s="5" t="b">
        <v>0</v>
      </c>
      <c r="S215" s="5" t="b">
        <v>1</v>
      </c>
      <c r="T215" s="5" t="s">
        <v>60</v>
      </c>
      <c r="U215" s="5" t="s">
        <v>2036</v>
      </c>
      <c r="V215" s="5" t="s">
        <v>2049</v>
      </c>
      <c r="W215" s="5"/>
    </row>
    <row r="216" spans="1:23" ht="17" x14ac:dyDescent="0.2">
      <c r="A216" s="5">
        <v>214</v>
      </c>
      <c r="B216" s="5" t="s">
        <v>481</v>
      </c>
      <c r="C216" s="6" t="s">
        <v>482</v>
      </c>
      <c r="D216" s="94">
        <v>1400</v>
      </c>
      <c r="E216" s="94">
        <v>14324</v>
      </c>
      <c r="F216" s="7">
        <f t="shared" si="15"/>
        <v>10.231428571428571</v>
      </c>
      <c r="G216" s="5" t="s">
        <v>20</v>
      </c>
      <c r="H216" s="5">
        <v>165</v>
      </c>
      <c r="I216" s="96">
        <f t="shared" si="12"/>
        <v>86.812121212121212</v>
      </c>
      <c r="J216" s="5" t="s">
        <v>21</v>
      </c>
      <c r="K216" s="5" t="s">
        <v>22</v>
      </c>
      <c r="L216" s="5">
        <v>1282194000</v>
      </c>
      <c r="M216" s="5">
        <v>1282712400</v>
      </c>
      <c r="N216" s="8">
        <f t="shared" si="13"/>
        <v>40409.208333333336</v>
      </c>
      <c r="O216" s="8">
        <f t="shared" si="14"/>
        <v>40415.208333333336</v>
      </c>
      <c r="P216" s="21" t="str">
        <f>TEXT(CrowdfundingTable[[#This Row],[date_created]],"ddd")</f>
        <v>Thu</v>
      </c>
      <c r="Q216" s="21">
        <f>_xlfn.DAYS(CrowdfundingTable[[#This Row],[date_ended]],CrowdfundingTable[[#This Row],[date_created]])</f>
        <v>6</v>
      </c>
      <c r="R216" s="5" t="b">
        <v>0</v>
      </c>
      <c r="S216" s="5" t="b">
        <v>0</v>
      </c>
      <c r="T216" s="5" t="s">
        <v>23</v>
      </c>
      <c r="U216" s="5" t="s">
        <v>2036</v>
      </c>
      <c r="V216" s="5" t="s">
        <v>2057</v>
      </c>
      <c r="W216" s="5"/>
    </row>
    <row r="217" spans="1:23" ht="17" x14ac:dyDescent="0.2">
      <c r="A217" s="5">
        <v>215</v>
      </c>
      <c r="B217" s="5" t="s">
        <v>483</v>
      </c>
      <c r="C217" s="6" t="s">
        <v>484</v>
      </c>
      <c r="D217" s="94">
        <v>156800</v>
      </c>
      <c r="E217" s="94">
        <v>6024</v>
      </c>
      <c r="F217" s="7">
        <f t="shared" si="15"/>
        <v>3.8418367346938778E-2</v>
      </c>
      <c r="G217" s="5" t="s">
        <v>14</v>
      </c>
      <c r="H217" s="5">
        <v>143</v>
      </c>
      <c r="I217" s="96">
        <f t="shared" si="12"/>
        <v>42.125874125874127</v>
      </c>
      <c r="J217" s="5" t="s">
        <v>21</v>
      </c>
      <c r="K217" s="5" t="s">
        <v>22</v>
      </c>
      <c r="L217" s="5">
        <v>1550037600</v>
      </c>
      <c r="M217" s="5">
        <v>1550210400</v>
      </c>
      <c r="N217" s="8">
        <f t="shared" si="13"/>
        <v>43509.25</v>
      </c>
      <c r="O217" s="8">
        <f t="shared" si="14"/>
        <v>43511.25</v>
      </c>
      <c r="P217" s="21" t="str">
        <f>TEXT(CrowdfundingTable[[#This Row],[date_created]],"ddd")</f>
        <v>Wed</v>
      </c>
      <c r="Q217" s="21">
        <f>_xlfn.DAYS(CrowdfundingTable[[#This Row],[date_ended]],CrowdfundingTable[[#This Row],[date_created]])</f>
        <v>2</v>
      </c>
      <c r="R217" s="5" t="b">
        <v>0</v>
      </c>
      <c r="S217" s="5" t="b">
        <v>0</v>
      </c>
      <c r="T217" s="5" t="s">
        <v>33</v>
      </c>
      <c r="U217" s="5" t="s">
        <v>2040</v>
      </c>
      <c r="V217" s="5" t="s">
        <v>2055</v>
      </c>
      <c r="W217" s="5"/>
    </row>
    <row r="218" spans="1:23" ht="17" x14ac:dyDescent="0.2">
      <c r="A218" s="5">
        <v>216</v>
      </c>
      <c r="B218" s="5" t="s">
        <v>485</v>
      </c>
      <c r="C218" s="6" t="s">
        <v>486</v>
      </c>
      <c r="D218" s="94">
        <v>121700</v>
      </c>
      <c r="E218" s="94">
        <v>188721</v>
      </c>
      <c r="F218" s="7">
        <f t="shared" si="15"/>
        <v>1.5507066557107643</v>
      </c>
      <c r="G218" s="5" t="s">
        <v>20</v>
      </c>
      <c r="H218" s="5">
        <v>1815</v>
      </c>
      <c r="I218" s="96">
        <f t="shared" si="12"/>
        <v>103.97851239669421</v>
      </c>
      <c r="J218" s="5" t="s">
        <v>21</v>
      </c>
      <c r="K218" s="5" t="s">
        <v>22</v>
      </c>
      <c r="L218" s="5">
        <v>1321941600</v>
      </c>
      <c r="M218" s="5">
        <v>1322114400</v>
      </c>
      <c r="N218" s="8">
        <f t="shared" si="13"/>
        <v>40869.25</v>
      </c>
      <c r="O218" s="8">
        <f t="shared" si="14"/>
        <v>40871.25</v>
      </c>
      <c r="P218" s="21" t="str">
        <f>TEXT(CrowdfundingTable[[#This Row],[date_created]],"ddd")</f>
        <v>Tue</v>
      </c>
      <c r="Q218" s="21">
        <f>_xlfn.DAYS(CrowdfundingTable[[#This Row],[date_ended]],CrowdfundingTable[[#This Row],[date_created]])</f>
        <v>2</v>
      </c>
      <c r="R218" s="5" t="b">
        <v>0</v>
      </c>
      <c r="S218" s="5" t="b">
        <v>0</v>
      </c>
      <c r="T218" s="5" t="s">
        <v>33</v>
      </c>
      <c r="U218" s="5" t="s">
        <v>2040</v>
      </c>
      <c r="V218" s="5" t="s">
        <v>2055</v>
      </c>
      <c r="W218" s="5"/>
    </row>
    <row r="219" spans="1:23" ht="17" x14ac:dyDescent="0.2">
      <c r="A219" s="5">
        <v>217</v>
      </c>
      <c r="B219" s="5" t="s">
        <v>487</v>
      </c>
      <c r="C219" s="6" t="s">
        <v>488</v>
      </c>
      <c r="D219" s="94">
        <v>129400</v>
      </c>
      <c r="E219" s="94">
        <v>57911</v>
      </c>
      <c r="F219" s="7">
        <f t="shared" si="15"/>
        <v>0.44753477588871715</v>
      </c>
      <c r="G219" s="5" t="s">
        <v>14</v>
      </c>
      <c r="H219" s="5">
        <v>934</v>
      </c>
      <c r="I219" s="96">
        <f t="shared" si="12"/>
        <v>62.003211991434689</v>
      </c>
      <c r="J219" s="5" t="s">
        <v>21</v>
      </c>
      <c r="K219" s="5" t="s">
        <v>22</v>
      </c>
      <c r="L219" s="5">
        <v>1556427600</v>
      </c>
      <c r="M219" s="5">
        <v>1557205200</v>
      </c>
      <c r="N219" s="8">
        <f t="shared" si="13"/>
        <v>43583.208333333328</v>
      </c>
      <c r="O219" s="8">
        <f t="shared" si="14"/>
        <v>43592.208333333328</v>
      </c>
      <c r="P219" s="21" t="str">
        <f>TEXT(CrowdfundingTable[[#This Row],[date_created]],"ddd")</f>
        <v>Sun</v>
      </c>
      <c r="Q219" s="21">
        <f>_xlfn.DAYS(CrowdfundingTable[[#This Row],[date_ended]],CrowdfundingTable[[#This Row],[date_created]])</f>
        <v>9</v>
      </c>
      <c r="R219" s="5" t="b">
        <v>0</v>
      </c>
      <c r="S219" s="5" t="b">
        <v>0</v>
      </c>
      <c r="T219" s="5" t="s">
        <v>474</v>
      </c>
      <c r="U219" s="5" t="s">
        <v>2032</v>
      </c>
      <c r="V219" s="5" t="s">
        <v>2058</v>
      </c>
      <c r="W219" s="5"/>
    </row>
    <row r="220" spans="1:23" ht="17" x14ac:dyDescent="0.2">
      <c r="A220" s="5">
        <v>218</v>
      </c>
      <c r="B220" s="5" t="s">
        <v>489</v>
      </c>
      <c r="C220" s="6" t="s">
        <v>490</v>
      </c>
      <c r="D220" s="94">
        <v>5700</v>
      </c>
      <c r="E220" s="94">
        <v>12309</v>
      </c>
      <c r="F220" s="7">
        <f t="shared" si="15"/>
        <v>2.1594736842105262</v>
      </c>
      <c r="G220" s="5" t="s">
        <v>20</v>
      </c>
      <c r="H220" s="5">
        <v>397</v>
      </c>
      <c r="I220" s="96">
        <f t="shared" si="12"/>
        <v>31.005037783375315</v>
      </c>
      <c r="J220" s="5" t="s">
        <v>40</v>
      </c>
      <c r="K220" s="5" t="s">
        <v>41</v>
      </c>
      <c r="L220" s="5">
        <v>1320991200</v>
      </c>
      <c r="M220" s="5">
        <v>1323928800</v>
      </c>
      <c r="N220" s="8">
        <f t="shared" si="13"/>
        <v>40858.25</v>
      </c>
      <c r="O220" s="8">
        <f t="shared" si="14"/>
        <v>40892.25</v>
      </c>
      <c r="P220" s="21" t="str">
        <f>TEXT(CrowdfundingTable[[#This Row],[date_created]],"ddd")</f>
        <v>Fri</v>
      </c>
      <c r="Q220" s="21">
        <f>_xlfn.DAYS(CrowdfundingTable[[#This Row],[date_ended]],CrowdfundingTable[[#This Row],[date_created]])</f>
        <v>34</v>
      </c>
      <c r="R220" s="5" t="b">
        <v>0</v>
      </c>
      <c r="S220" s="5" t="b">
        <v>1</v>
      </c>
      <c r="T220" s="5" t="s">
        <v>100</v>
      </c>
      <c r="U220" s="5" t="s">
        <v>2032</v>
      </c>
      <c r="V220" s="5" t="s">
        <v>2059</v>
      </c>
      <c r="W220" s="5"/>
    </row>
    <row r="221" spans="1:23" ht="17" x14ac:dyDescent="0.2">
      <c r="A221" s="5">
        <v>219</v>
      </c>
      <c r="B221" s="5" t="s">
        <v>491</v>
      </c>
      <c r="C221" s="6" t="s">
        <v>492</v>
      </c>
      <c r="D221" s="94">
        <v>41700</v>
      </c>
      <c r="E221" s="94">
        <v>138497</v>
      </c>
      <c r="F221" s="7">
        <f t="shared" si="15"/>
        <v>3.3212709832134291</v>
      </c>
      <c r="G221" s="5" t="s">
        <v>20</v>
      </c>
      <c r="H221" s="5">
        <v>1539</v>
      </c>
      <c r="I221" s="96">
        <f t="shared" si="12"/>
        <v>89.991552956465242</v>
      </c>
      <c r="J221" s="5" t="s">
        <v>21</v>
      </c>
      <c r="K221" s="5" t="s">
        <v>22</v>
      </c>
      <c r="L221" s="5">
        <v>1345093200</v>
      </c>
      <c r="M221" s="5">
        <v>1346130000</v>
      </c>
      <c r="N221" s="8">
        <f t="shared" si="13"/>
        <v>41137.208333333336</v>
      </c>
      <c r="O221" s="8">
        <f t="shared" si="14"/>
        <v>41149.208333333336</v>
      </c>
      <c r="P221" s="21" t="str">
        <f>TEXT(CrowdfundingTable[[#This Row],[date_created]],"ddd")</f>
        <v>Thu</v>
      </c>
      <c r="Q221" s="21">
        <f>_xlfn.DAYS(CrowdfundingTable[[#This Row],[date_ended]],CrowdfundingTable[[#This Row],[date_created]])</f>
        <v>12</v>
      </c>
      <c r="R221" s="5" t="b">
        <v>0</v>
      </c>
      <c r="S221" s="5" t="b">
        <v>0</v>
      </c>
      <c r="T221" s="5" t="s">
        <v>71</v>
      </c>
      <c r="U221" s="5" t="s">
        <v>2032</v>
      </c>
      <c r="V221" s="5" t="s">
        <v>2042</v>
      </c>
      <c r="W221" s="5"/>
    </row>
    <row r="222" spans="1:23" ht="17" x14ac:dyDescent="0.2">
      <c r="A222" s="5">
        <v>220</v>
      </c>
      <c r="B222" s="5" t="s">
        <v>493</v>
      </c>
      <c r="C222" s="6" t="s">
        <v>494</v>
      </c>
      <c r="D222" s="94">
        <v>7900</v>
      </c>
      <c r="E222" s="94">
        <v>667</v>
      </c>
      <c r="F222" s="7">
        <f t="shared" si="15"/>
        <v>8.4430379746835441E-2</v>
      </c>
      <c r="G222" s="5" t="s">
        <v>14</v>
      </c>
      <c r="H222" s="5">
        <v>17</v>
      </c>
      <c r="I222" s="96">
        <f t="shared" si="12"/>
        <v>39.235294117647058</v>
      </c>
      <c r="J222" s="5" t="s">
        <v>21</v>
      </c>
      <c r="K222" s="5" t="s">
        <v>22</v>
      </c>
      <c r="L222" s="5">
        <v>1309496400</v>
      </c>
      <c r="M222" s="5">
        <v>1311051600</v>
      </c>
      <c r="N222" s="8">
        <f t="shared" si="13"/>
        <v>40725.208333333336</v>
      </c>
      <c r="O222" s="8">
        <f t="shared" si="14"/>
        <v>40743.208333333336</v>
      </c>
      <c r="P222" s="21" t="str">
        <f>TEXT(CrowdfundingTable[[#This Row],[date_created]],"ddd")</f>
        <v>Fri</v>
      </c>
      <c r="Q222" s="21">
        <f>_xlfn.DAYS(CrowdfundingTable[[#This Row],[date_ended]],CrowdfundingTable[[#This Row],[date_created]])</f>
        <v>18</v>
      </c>
      <c r="R222" s="5" t="b">
        <v>1</v>
      </c>
      <c r="S222" s="5" t="b">
        <v>0</v>
      </c>
      <c r="T222" s="5" t="s">
        <v>33</v>
      </c>
      <c r="U222" s="5" t="s">
        <v>2040</v>
      </c>
      <c r="V222" s="5" t="s">
        <v>2055</v>
      </c>
      <c r="W222" s="5"/>
    </row>
    <row r="223" spans="1:23" ht="34" x14ac:dyDescent="0.2">
      <c r="A223" s="5">
        <v>221</v>
      </c>
      <c r="B223" s="5" t="s">
        <v>495</v>
      </c>
      <c r="C223" s="6" t="s">
        <v>496</v>
      </c>
      <c r="D223" s="94">
        <v>121500</v>
      </c>
      <c r="E223" s="94">
        <v>119830</v>
      </c>
      <c r="F223" s="7">
        <f t="shared" si="15"/>
        <v>0.9862551440329218</v>
      </c>
      <c r="G223" s="5" t="s">
        <v>14</v>
      </c>
      <c r="H223" s="5">
        <v>2179</v>
      </c>
      <c r="I223" s="96">
        <f t="shared" si="12"/>
        <v>54.993116108306566</v>
      </c>
      <c r="J223" s="5" t="s">
        <v>21</v>
      </c>
      <c r="K223" s="5" t="s">
        <v>22</v>
      </c>
      <c r="L223" s="5">
        <v>1340254800</v>
      </c>
      <c r="M223" s="5">
        <v>1340427600</v>
      </c>
      <c r="N223" s="8">
        <f t="shared" si="13"/>
        <v>41081.208333333336</v>
      </c>
      <c r="O223" s="8">
        <f t="shared" si="14"/>
        <v>41083.208333333336</v>
      </c>
      <c r="P223" s="21" t="str">
        <f>TEXT(CrowdfundingTable[[#This Row],[date_created]],"ddd")</f>
        <v>Thu</v>
      </c>
      <c r="Q223" s="21">
        <f>_xlfn.DAYS(CrowdfundingTable[[#This Row],[date_ended]],CrowdfundingTable[[#This Row],[date_created]])</f>
        <v>2</v>
      </c>
      <c r="R223" s="5" t="b">
        <v>1</v>
      </c>
      <c r="S223" s="5" t="b">
        <v>0</v>
      </c>
      <c r="T223" s="5" t="s">
        <v>17</v>
      </c>
      <c r="U223" s="5" t="s">
        <v>2033</v>
      </c>
      <c r="V223" s="5" t="s">
        <v>2048</v>
      </c>
      <c r="W223" s="5"/>
    </row>
    <row r="224" spans="1:23" ht="17" x14ac:dyDescent="0.2">
      <c r="A224" s="5">
        <v>222</v>
      </c>
      <c r="B224" s="5" t="s">
        <v>497</v>
      </c>
      <c r="C224" s="6" t="s">
        <v>498</v>
      </c>
      <c r="D224" s="94">
        <v>4800</v>
      </c>
      <c r="E224" s="94">
        <v>6623</v>
      </c>
      <c r="F224" s="7">
        <f t="shared" si="15"/>
        <v>1.3797916666666667</v>
      </c>
      <c r="G224" s="5" t="s">
        <v>20</v>
      </c>
      <c r="H224" s="5">
        <v>138</v>
      </c>
      <c r="I224" s="96">
        <f t="shared" si="12"/>
        <v>47.992753623188406</v>
      </c>
      <c r="J224" s="5" t="s">
        <v>21</v>
      </c>
      <c r="K224" s="5" t="s">
        <v>22</v>
      </c>
      <c r="L224" s="5">
        <v>1412226000</v>
      </c>
      <c r="M224" s="5">
        <v>1412312400</v>
      </c>
      <c r="N224" s="8">
        <f t="shared" si="13"/>
        <v>41914.208333333336</v>
      </c>
      <c r="O224" s="8">
        <f t="shared" si="14"/>
        <v>41915.208333333336</v>
      </c>
      <c r="P224" s="21" t="str">
        <f>TEXT(CrowdfundingTable[[#This Row],[date_created]],"ddd")</f>
        <v>Thu</v>
      </c>
      <c r="Q224" s="21">
        <f>_xlfn.DAYS(CrowdfundingTable[[#This Row],[date_ended]],CrowdfundingTable[[#This Row],[date_created]])</f>
        <v>1</v>
      </c>
      <c r="R224" s="5" t="b">
        <v>0</v>
      </c>
      <c r="S224" s="5" t="b">
        <v>0</v>
      </c>
      <c r="T224" s="5" t="s">
        <v>122</v>
      </c>
      <c r="U224" s="5" t="s">
        <v>2037</v>
      </c>
      <c r="V224" s="5" t="s">
        <v>2054</v>
      </c>
      <c r="W224" s="5"/>
    </row>
    <row r="225" spans="1:23" ht="17" x14ac:dyDescent="0.2">
      <c r="A225" s="5">
        <v>223</v>
      </c>
      <c r="B225" s="5" t="s">
        <v>499</v>
      </c>
      <c r="C225" s="6" t="s">
        <v>500</v>
      </c>
      <c r="D225" s="94">
        <v>87300</v>
      </c>
      <c r="E225" s="94">
        <v>81897</v>
      </c>
      <c r="F225" s="7">
        <f t="shared" si="15"/>
        <v>0.93810996563573879</v>
      </c>
      <c r="G225" s="5" t="s">
        <v>14</v>
      </c>
      <c r="H225" s="5">
        <v>931</v>
      </c>
      <c r="I225" s="96">
        <f t="shared" si="12"/>
        <v>87.966702470461868</v>
      </c>
      <c r="J225" s="5" t="s">
        <v>21</v>
      </c>
      <c r="K225" s="5" t="s">
        <v>22</v>
      </c>
      <c r="L225" s="5">
        <v>1458104400</v>
      </c>
      <c r="M225" s="5">
        <v>1459314000</v>
      </c>
      <c r="N225" s="8">
        <f t="shared" si="13"/>
        <v>42445.208333333328</v>
      </c>
      <c r="O225" s="8">
        <f t="shared" si="14"/>
        <v>42459.208333333328</v>
      </c>
      <c r="P225" s="21" t="str">
        <f>TEXT(CrowdfundingTable[[#This Row],[date_created]],"ddd")</f>
        <v>Wed</v>
      </c>
      <c r="Q225" s="21">
        <f>_xlfn.DAYS(CrowdfundingTable[[#This Row],[date_ended]],CrowdfundingTable[[#This Row],[date_created]])</f>
        <v>14</v>
      </c>
      <c r="R225" s="5" t="b">
        <v>0</v>
      </c>
      <c r="S225" s="5" t="b">
        <v>0</v>
      </c>
      <c r="T225" s="5" t="s">
        <v>33</v>
      </c>
      <c r="U225" s="5" t="s">
        <v>2040</v>
      </c>
      <c r="V225" s="5" t="s">
        <v>2055</v>
      </c>
      <c r="W225" s="5"/>
    </row>
    <row r="226" spans="1:23" ht="17" x14ac:dyDescent="0.2">
      <c r="A226" s="5">
        <v>224</v>
      </c>
      <c r="B226" s="5" t="s">
        <v>501</v>
      </c>
      <c r="C226" s="6" t="s">
        <v>502</v>
      </c>
      <c r="D226" s="94">
        <v>46300</v>
      </c>
      <c r="E226" s="94">
        <v>186885</v>
      </c>
      <c r="F226" s="7">
        <f t="shared" si="15"/>
        <v>4.0363930885529156</v>
      </c>
      <c r="G226" s="5" t="s">
        <v>20</v>
      </c>
      <c r="H226" s="5">
        <v>3594</v>
      </c>
      <c r="I226" s="96">
        <f t="shared" si="12"/>
        <v>51.999165275459099</v>
      </c>
      <c r="J226" s="5" t="s">
        <v>21</v>
      </c>
      <c r="K226" s="5" t="s">
        <v>22</v>
      </c>
      <c r="L226" s="5">
        <v>1411534800</v>
      </c>
      <c r="M226" s="5">
        <v>1415426400</v>
      </c>
      <c r="N226" s="8">
        <f t="shared" si="13"/>
        <v>41906.208333333336</v>
      </c>
      <c r="O226" s="8">
        <f t="shared" si="14"/>
        <v>41951.25</v>
      </c>
      <c r="P226" s="21" t="str">
        <f>TEXT(CrowdfundingTable[[#This Row],[date_created]],"ddd")</f>
        <v>Wed</v>
      </c>
      <c r="Q226" s="21">
        <f>_xlfn.DAYS(CrowdfundingTable[[#This Row],[date_ended]],CrowdfundingTable[[#This Row],[date_created]])</f>
        <v>45</v>
      </c>
      <c r="R226" s="5" t="b">
        <v>0</v>
      </c>
      <c r="S226" s="5" t="b">
        <v>0</v>
      </c>
      <c r="T226" s="5" t="s">
        <v>474</v>
      </c>
      <c r="U226" s="5" t="s">
        <v>2032</v>
      </c>
      <c r="V226" s="5" t="s">
        <v>2058</v>
      </c>
      <c r="W226" s="5"/>
    </row>
    <row r="227" spans="1:23" ht="17" x14ac:dyDescent="0.2">
      <c r="A227" s="5">
        <v>225</v>
      </c>
      <c r="B227" s="5" t="s">
        <v>503</v>
      </c>
      <c r="C227" s="6" t="s">
        <v>504</v>
      </c>
      <c r="D227" s="94">
        <v>67800</v>
      </c>
      <c r="E227" s="94">
        <v>176398</v>
      </c>
      <c r="F227" s="7">
        <f t="shared" si="15"/>
        <v>2.6017404129793511</v>
      </c>
      <c r="G227" s="5" t="s">
        <v>20</v>
      </c>
      <c r="H227" s="5">
        <v>5880</v>
      </c>
      <c r="I227" s="96">
        <f t="shared" si="12"/>
        <v>29.999659863945578</v>
      </c>
      <c r="J227" s="5" t="s">
        <v>21</v>
      </c>
      <c r="K227" s="5" t="s">
        <v>22</v>
      </c>
      <c r="L227" s="5">
        <v>1399093200</v>
      </c>
      <c r="M227" s="5">
        <v>1399093200</v>
      </c>
      <c r="N227" s="8">
        <f t="shared" si="13"/>
        <v>41762.208333333336</v>
      </c>
      <c r="O227" s="8">
        <f t="shared" si="14"/>
        <v>41762.208333333336</v>
      </c>
      <c r="P227" s="21" t="str">
        <f>TEXT(CrowdfundingTable[[#This Row],[date_created]],"ddd")</f>
        <v>Sat</v>
      </c>
      <c r="Q227" s="21">
        <f>_xlfn.DAYS(CrowdfundingTable[[#This Row],[date_ended]],CrowdfundingTable[[#This Row],[date_created]])</f>
        <v>0</v>
      </c>
      <c r="R227" s="5" t="b">
        <v>1</v>
      </c>
      <c r="S227" s="5" t="b">
        <v>0</v>
      </c>
      <c r="T227" s="5" t="s">
        <v>23</v>
      </c>
      <c r="U227" s="5" t="s">
        <v>2036</v>
      </c>
      <c r="V227" s="5" t="s">
        <v>2057</v>
      </c>
      <c r="W227" s="5"/>
    </row>
    <row r="228" spans="1:23" ht="17" x14ac:dyDescent="0.2">
      <c r="A228" s="5">
        <v>226</v>
      </c>
      <c r="B228" s="5" t="s">
        <v>253</v>
      </c>
      <c r="C228" s="6" t="s">
        <v>505</v>
      </c>
      <c r="D228" s="94">
        <v>3000</v>
      </c>
      <c r="E228" s="94">
        <v>10999</v>
      </c>
      <c r="F228" s="7">
        <f t="shared" si="15"/>
        <v>3.6663333333333332</v>
      </c>
      <c r="G228" s="5" t="s">
        <v>20</v>
      </c>
      <c r="H228" s="5">
        <v>112</v>
      </c>
      <c r="I228" s="96">
        <f t="shared" si="12"/>
        <v>98.205357142857139</v>
      </c>
      <c r="J228" s="5" t="s">
        <v>21</v>
      </c>
      <c r="K228" s="5" t="s">
        <v>22</v>
      </c>
      <c r="L228" s="5">
        <v>1270702800</v>
      </c>
      <c r="M228" s="5">
        <v>1273899600</v>
      </c>
      <c r="N228" s="8">
        <f t="shared" si="13"/>
        <v>40276.208333333336</v>
      </c>
      <c r="O228" s="8">
        <f t="shared" si="14"/>
        <v>40313.208333333336</v>
      </c>
      <c r="P228" s="21" t="str">
        <f>TEXT(CrowdfundingTable[[#This Row],[date_created]],"ddd")</f>
        <v>Thu</v>
      </c>
      <c r="Q228" s="21">
        <f>_xlfn.DAYS(CrowdfundingTable[[#This Row],[date_ended]],CrowdfundingTable[[#This Row],[date_created]])</f>
        <v>37</v>
      </c>
      <c r="R228" s="5" t="b">
        <v>0</v>
      </c>
      <c r="S228" s="5" t="b">
        <v>0</v>
      </c>
      <c r="T228" s="5" t="s">
        <v>122</v>
      </c>
      <c r="U228" s="5" t="s">
        <v>2037</v>
      </c>
      <c r="V228" s="5" t="s">
        <v>2054</v>
      </c>
      <c r="W228" s="5"/>
    </row>
    <row r="229" spans="1:23" ht="17" x14ac:dyDescent="0.2">
      <c r="A229" s="5">
        <v>227</v>
      </c>
      <c r="B229" s="5" t="s">
        <v>506</v>
      </c>
      <c r="C229" s="6" t="s">
        <v>507</v>
      </c>
      <c r="D229" s="94">
        <v>60900</v>
      </c>
      <c r="E229" s="94">
        <v>102751</v>
      </c>
      <c r="F229" s="7">
        <f t="shared" si="15"/>
        <v>1.687208538587849</v>
      </c>
      <c r="G229" s="5" t="s">
        <v>20</v>
      </c>
      <c r="H229" s="5">
        <v>943</v>
      </c>
      <c r="I229" s="96">
        <f t="shared" si="12"/>
        <v>108.96182396606575</v>
      </c>
      <c r="J229" s="5" t="s">
        <v>21</v>
      </c>
      <c r="K229" s="5" t="s">
        <v>22</v>
      </c>
      <c r="L229" s="5">
        <v>1431666000</v>
      </c>
      <c r="M229" s="5">
        <v>1432184400</v>
      </c>
      <c r="N229" s="8">
        <f t="shared" si="13"/>
        <v>42139.208333333328</v>
      </c>
      <c r="O229" s="8">
        <f t="shared" si="14"/>
        <v>42145.208333333328</v>
      </c>
      <c r="P229" s="21" t="str">
        <f>TEXT(CrowdfundingTable[[#This Row],[date_created]],"ddd")</f>
        <v>Fri</v>
      </c>
      <c r="Q229" s="21">
        <f>_xlfn.DAYS(CrowdfundingTable[[#This Row],[date_ended]],CrowdfundingTable[[#This Row],[date_created]])</f>
        <v>6</v>
      </c>
      <c r="R229" s="5" t="b">
        <v>0</v>
      </c>
      <c r="S229" s="5" t="b">
        <v>0</v>
      </c>
      <c r="T229" s="5" t="s">
        <v>292</v>
      </c>
      <c r="U229" s="5" t="s">
        <v>2034</v>
      </c>
      <c r="V229" s="5" t="s">
        <v>2052</v>
      </c>
      <c r="W229" s="5"/>
    </row>
    <row r="230" spans="1:23" ht="17" x14ac:dyDescent="0.2">
      <c r="A230" s="5">
        <v>228</v>
      </c>
      <c r="B230" s="5" t="s">
        <v>508</v>
      </c>
      <c r="C230" s="6" t="s">
        <v>509</v>
      </c>
      <c r="D230" s="94">
        <v>137900</v>
      </c>
      <c r="E230" s="94">
        <v>165352</v>
      </c>
      <c r="F230" s="7">
        <f t="shared" si="15"/>
        <v>1.1990717911530093</v>
      </c>
      <c r="G230" s="5" t="s">
        <v>20</v>
      </c>
      <c r="H230" s="5">
        <v>2468</v>
      </c>
      <c r="I230" s="96">
        <f t="shared" si="12"/>
        <v>66.998379254457049</v>
      </c>
      <c r="J230" s="5" t="s">
        <v>21</v>
      </c>
      <c r="K230" s="5" t="s">
        <v>22</v>
      </c>
      <c r="L230" s="5">
        <v>1472619600</v>
      </c>
      <c r="M230" s="5">
        <v>1474779600</v>
      </c>
      <c r="N230" s="8">
        <f t="shared" si="13"/>
        <v>42613.208333333328</v>
      </c>
      <c r="O230" s="8">
        <f t="shared" si="14"/>
        <v>42638.208333333328</v>
      </c>
      <c r="P230" s="21" t="str">
        <f>TEXT(CrowdfundingTable[[#This Row],[date_created]],"ddd")</f>
        <v>Wed</v>
      </c>
      <c r="Q230" s="21">
        <f>_xlfn.DAYS(CrowdfundingTable[[#This Row],[date_ended]],CrowdfundingTable[[#This Row],[date_created]])</f>
        <v>25</v>
      </c>
      <c r="R230" s="5" t="b">
        <v>0</v>
      </c>
      <c r="S230" s="5" t="b">
        <v>0</v>
      </c>
      <c r="T230" s="5" t="s">
        <v>71</v>
      </c>
      <c r="U230" s="5" t="s">
        <v>2032</v>
      </c>
      <c r="V230" s="5" t="s">
        <v>2042</v>
      </c>
      <c r="W230" s="5"/>
    </row>
    <row r="231" spans="1:23" ht="17" x14ac:dyDescent="0.2">
      <c r="A231" s="5">
        <v>229</v>
      </c>
      <c r="B231" s="5" t="s">
        <v>510</v>
      </c>
      <c r="C231" s="6" t="s">
        <v>511</v>
      </c>
      <c r="D231" s="94">
        <v>85600</v>
      </c>
      <c r="E231" s="94">
        <v>165798</v>
      </c>
      <c r="F231" s="7">
        <f t="shared" si="15"/>
        <v>1.936892523364486</v>
      </c>
      <c r="G231" s="5" t="s">
        <v>20</v>
      </c>
      <c r="H231" s="5">
        <v>2551</v>
      </c>
      <c r="I231" s="96">
        <f t="shared" si="12"/>
        <v>64.99333594668758</v>
      </c>
      <c r="J231" s="5" t="s">
        <v>21</v>
      </c>
      <c r="K231" s="5" t="s">
        <v>22</v>
      </c>
      <c r="L231" s="5">
        <v>1496293200</v>
      </c>
      <c r="M231" s="5">
        <v>1500440400</v>
      </c>
      <c r="N231" s="8">
        <f t="shared" si="13"/>
        <v>42887.208333333328</v>
      </c>
      <c r="O231" s="8">
        <f t="shared" si="14"/>
        <v>42935.208333333328</v>
      </c>
      <c r="P231" s="21" t="str">
        <f>TEXT(CrowdfundingTable[[#This Row],[date_created]],"ddd")</f>
        <v>Thu</v>
      </c>
      <c r="Q231" s="21">
        <f>_xlfn.DAYS(CrowdfundingTable[[#This Row],[date_ended]],CrowdfundingTable[[#This Row],[date_created]])</f>
        <v>48</v>
      </c>
      <c r="R231" s="5" t="b">
        <v>0</v>
      </c>
      <c r="S231" s="5" t="b">
        <v>1</v>
      </c>
      <c r="T231" s="5" t="s">
        <v>292</v>
      </c>
      <c r="U231" s="5" t="s">
        <v>2034</v>
      </c>
      <c r="V231" s="5" t="s">
        <v>2052</v>
      </c>
      <c r="W231" s="5"/>
    </row>
    <row r="232" spans="1:23" ht="17" x14ac:dyDescent="0.2">
      <c r="A232" s="5">
        <v>230</v>
      </c>
      <c r="B232" s="5" t="s">
        <v>512</v>
      </c>
      <c r="C232" s="6" t="s">
        <v>513</v>
      </c>
      <c r="D232" s="94">
        <v>2400</v>
      </c>
      <c r="E232" s="94">
        <v>10084</v>
      </c>
      <c r="F232" s="7">
        <f t="shared" si="15"/>
        <v>4.2016666666666671</v>
      </c>
      <c r="G232" s="5" t="s">
        <v>20</v>
      </c>
      <c r="H232" s="5">
        <v>101</v>
      </c>
      <c r="I232" s="96">
        <f t="shared" si="12"/>
        <v>99.841584158415841</v>
      </c>
      <c r="J232" s="5" t="s">
        <v>21</v>
      </c>
      <c r="K232" s="5" t="s">
        <v>22</v>
      </c>
      <c r="L232" s="5">
        <v>1575612000</v>
      </c>
      <c r="M232" s="5">
        <v>1575612000</v>
      </c>
      <c r="N232" s="8">
        <f t="shared" si="13"/>
        <v>43805.25</v>
      </c>
      <c r="O232" s="8">
        <f t="shared" si="14"/>
        <v>43805.25</v>
      </c>
      <c r="P232" s="21" t="str">
        <f>TEXT(CrowdfundingTable[[#This Row],[date_created]],"ddd")</f>
        <v>Fri</v>
      </c>
      <c r="Q232" s="21">
        <f>_xlfn.DAYS(CrowdfundingTable[[#This Row],[date_ended]],CrowdfundingTable[[#This Row],[date_created]])</f>
        <v>0</v>
      </c>
      <c r="R232" s="5" t="b">
        <v>0</v>
      </c>
      <c r="S232" s="5" t="b">
        <v>0</v>
      </c>
      <c r="T232" s="5" t="s">
        <v>89</v>
      </c>
      <c r="U232" s="5" t="s">
        <v>2034</v>
      </c>
      <c r="V232" s="5" t="s">
        <v>2062</v>
      </c>
      <c r="W232" s="5"/>
    </row>
    <row r="233" spans="1:23" ht="17" x14ac:dyDescent="0.2">
      <c r="A233" s="5">
        <v>231</v>
      </c>
      <c r="B233" s="5" t="s">
        <v>514</v>
      </c>
      <c r="C233" s="6" t="s">
        <v>515</v>
      </c>
      <c r="D233" s="94">
        <v>7200</v>
      </c>
      <c r="E233" s="94">
        <v>5523</v>
      </c>
      <c r="F233" s="7">
        <f t="shared" si="15"/>
        <v>0.76708333333333334</v>
      </c>
      <c r="G233" s="5" t="s">
        <v>74</v>
      </c>
      <c r="H233" s="5">
        <v>67</v>
      </c>
      <c r="I233" s="96">
        <f t="shared" si="12"/>
        <v>82.432835820895519</v>
      </c>
      <c r="J233" s="5" t="s">
        <v>21</v>
      </c>
      <c r="K233" s="5" t="s">
        <v>22</v>
      </c>
      <c r="L233" s="5">
        <v>1369112400</v>
      </c>
      <c r="M233" s="5">
        <v>1374123600</v>
      </c>
      <c r="N233" s="8">
        <f t="shared" si="13"/>
        <v>41415.208333333336</v>
      </c>
      <c r="O233" s="8">
        <f t="shared" si="14"/>
        <v>41473.208333333336</v>
      </c>
      <c r="P233" s="21" t="str">
        <f>TEXT(CrowdfundingTable[[#This Row],[date_created]],"ddd")</f>
        <v>Tue</v>
      </c>
      <c r="Q233" s="21">
        <f>_xlfn.DAYS(CrowdfundingTable[[#This Row],[date_ended]],CrowdfundingTable[[#This Row],[date_created]])</f>
        <v>58</v>
      </c>
      <c r="R233" s="5" t="b">
        <v>0</v>
      </c>
      <c r="S233" s="5" t="b">
        <v>0</v>
      </c>
      <c r="T233" s="5" t="s">
        <v>33</v>
      </c>
      <c r="U233" s="5" t="s">
        <v>2040</v>
      </c>
      <c r="V233" s="5" t="s">
        <v>2055</v>
      </c>
      <c r="W233" s="5"/>
    </row>
    <row r="234" spans="1:23" ht="17" x14ac:dyDescent="0.2">
      <c r="A234" s="5">
        <v>232</v>
      </c>
      <c r="B234" s="5" t="s">
        <v>516</v>
      </c>
      <c r="C234" s="6" t="s">
        <v>517</v>
      </c>
      <c r="D234" s="94">
        <v>3400</v>
      </c>
      <c r="E234" s="94">
        <v>5823</v>
      </c>
      <c r="F234" s="7">
        <f t="shared" si="15"/>
        <v>1.7126470588235294</v>
      </c>
      <c r="G234" s="5" t="s">
        <v>20</v>
      </c>
      <c r="H234" s="5">
        <v>92</v>
      </c>
      <c r="I234" s="96">
        <f t="shared" si="12"/>
        <v>63.293478260869563</v>
      </c>
      <c r="J234" s="5" t="s">
        <v>21</v>
      </c>
      <c r="K234" s="5" t="s">
        <v>22</v>
      </c>
      <c r="L234" s="5">
        <v>1469422800</v>
      </c>
      <c r="M234" s="5">
        <v>1469509200</v>
      </c>
      <c r="N234" s="8">
        <f t="shared" si="13"/>
        <v>42576.208333333328</v>
      </c>
      <c r="O234" s="8">
        <f t="shared" si="14"/>
        <v>42577.208333333328</v>
      </c>
      <c r="P234" s="21" t="str">
        <f>TEXT(CrowdfundingTable[[#This Row],[date_created]],"ddd")</f>
        <v>Mon</v>
      </c>
      <c r="Q234" s="21">
        <f>_xlfn.DAYS(CrowdfundingTable[[#This Row],[date_ended]],CrowdfundingTable[[#This Row],[date_created]])</f>
        <v>1</v>
      </c>
      <c r="R234" s="5" t="b">
        <v>0</v>
      </c>
      <c r="S234" s="5" t="b">
        <v>0</v>
      </c>
      <c r="T234" s="5" t="s">
        <v>33</v>
      </c>
      <c r="U234" s="5" t="s">
        <v>2040</v>
      </c>
      <c r="V234" s="5" t="s">
        <v>2055</v>
      </c>
      <c r="W234" s="5"/>
    </row>
    <row r="235" spans="1:23" ht="17" x14ac:dyDescent="0.2">
      <c r="A235" s="5">
        <v>233</v>
      </c>
      <c r="B235" s="5" t="s">
        <v>518</v>
      </c>
      <c r="C235" s="6" t="s">
        <v>519</v>
      </c>
      <c r="D235" s="94">
        <v>3800</v>
      </c>
      <c r="E235" s="94">
        <v>6000</v>
      </c>
      <c r="F235" s="7">
        <f t="shared" si="15"/>
        <v>1.5789473684210527</v>
      </c>
      <c r="G235" s="5" t="s">
        <v>20</v>
      </c>
      <c r="H235" s="5">
        <v>62</v>
      </c>
      <c r="I235" s="96">
        <f t="shared" si="12"/>
        <v>96.774193548387103</v>
      </c>
      <c r="J235" s="5" t="s">
        <v>21</v>
      </c>
      <c r="K235" s="5" t="s">
        <v>22</v>
      </c>
      <c r="L235" s="5">
        <v>1307854800</v>
      </c>
      <c r="M235" s="5">
        <v>1309237200</v>
      </c>
      <c r="N235" s="8">
        <f t="shared" si="13"/>
        <v>40706.208333333336</v>
      </c>
      <c r="O235" s="8">
        <f t="shared" si="14"/>
        <v>40722.208333333336</v>
      </c>
      <c r="P235" s="21" t="str">
        <f>TEXT(CrowdfundingTable[[#This Row],[date_created]],"ddd")</f>
        <v>Sun</v>
      </c>
      <c r="Q235" s="21">
        <f>_xlfn.DAYS(CrowdfundingTable[[#This Row],[date_ended]],CrowdfundingTable[[#This Row],[date_created]])</f>
        <v>16</v>
      </c>
      <c r="R235" s="5" t="b">
        <v>0</v>
      </c>
      <c r="S235" s="5" t="b">
        <v>0</v>
      </c>
      <c r="T235" s="5" t="s">
        <v>71</v>
      </c>
      <c r="U235" s="5" t="s">
        <v>2032</v>
      </c>
      <c r="V235" s="5" t="s">
        <v>2042</v>
      </c>
      <c r="W235" s="5"/>
    </row>
    <row r="236" spans="1:23" ht="17" x14ac:dyDescent="0.2">
      <c r="A236" s="5">
        <v>234</v>
      </c>
      <c r="B236" s="5" t="s">
        <v>520</v>
      </c>
      <c r="C236" s="6" t="s">
        <v>521</v>
      </c>
      <c r="D236" s="94">
        <v>7500</v>
      </c>
      <c r="E236" s="94">
        <v>8181</v>
      </c>
      <c r="F236" s="7">
        <f t="shared" si="15"/>
        <v>1.0908</v>
      </c>
      <c r="G236" s="5" t="s">
        <v>20</v>
      </c>
      <c r="H236" s="5">
        <v>149</v>
      </c>
      <c r="I236" s="96">
        <f t="shared" si="12"/>
        <v>54.906040268456373</v>
      </c>
      <c r="J236" s="5" t="s">
        <v>107</v>
      </c>
      <c r="K236" s="5" t="s">
        <v>108</v>
      </c>
      <c r="L236" s="5">
        <v>1503378000</v>
      </c>
      <c r="M236" s="5">
        <v>1503982800</v>
      </c>
      <c r="N236" s="8">
        <f t="shared" si="13"/>
        <v>42969.208333333328</v>
      </c>
      <c r="O236" s="8">
        <f t="shared" si="14"/>
        <v>42976.208333333328</v>
      </c>
      <c r="P236" s="21" t="str">
        <f>TEXT(CrowdfundingTable[[#This Row],[date_created]],"ddd")</f>
        <v>Tue</v>
      </c>
      <c r="Q236" s="21">
        <f>_xlfn.DAYS(CrowdfundingTable[[#This Row],[date_ended]],CrowdfundingTable[[#This Row],[date_created]])</f>
        <v>7</v>
      </c>
      <c r="R236" s="5" t="b">
        <v>0</v>
      </c>
      <c r="S236" s="5" t="b">
        <v>1</v>
      </c>
      <c r="T236" s="5" t="s">
        <v>89</v>
      </c>
      <c r="U236" s="5" t="s">
        <v>2034</v>
      </c>
      <c r="V236" s="5" t="s">
        <v>2062</v>
      </c>
      <c r="W236" s="5"/>
    </row>
    <row r="237" spans="1:23" ht="34" x14ac:dyDescent="0.2">
      <c r="A237" s="5">
        <v>235</v>
      </c>
      <c r="B237" s="5" t="s">
        <v>522</v>
      </c>
      <c r="C237" s="6" t="s">
        <v>523</v>
      </c>
      <c r="D237" s="94">
        <v>8600</v>
      </c>
      <c r="E237" s="94">
        <v>3589</v>
      </c>
      <c r="F237" s="7">
        <f t="shared" si="15"/>
        <v>0.41732558139534881</v>
      </c>
      <c r="G237" s="5" t="s">
        <v>14</v>
      </c>
      <c r="H237" s="5">
        <v>92</v>
      </c>
      <c r="I237" s="96">
        <f t="shared" si="12"/>
        <v>39.010869565217391</v>
      </c>
      <c r="J237" s="5" t="s">
        <v>21</v>
      </c>
      <c r="K237" s="5" t="s">
        <v>22</v>
      </c>
      <c r="L237" s="5">
        <v>1486965600</v>
      </c>
      <c r="M237" s="5">
        <v>1487397600</v>
      </c>
      <c r="N237" s="8">
        <f t="shared" si="13"/>
        <v>42779.25</v>
      </c>
      <c r="O237" s="8">
        <f t="shared" si="14"/>
        <v>42784.25</v>
      </c>
      <c r="P237" s="21" t="str">
        <f>TEXT(CrowdfundingTable[[#This Row],[date_created]],"ddd")</f>
        <v>Mon</v>
      </c>
      <c r="Q237" s="21">
        <f>_xlfn.DAYS(CrowdfundingTable[[#This Row],[date_ended]],CrowdfundingTable[[#This Row],[date_created]])</f>
        <v>5</v>
      </c>
      <c r="R237" s="5" t="b">
        <v>0</v>
      </c>
      <c r="S237" s="5" t="b">
        <v>0</v>
      </c>
      <c r="T237" s="5" t="s">
        <v>71</v>
      </c>
      <c r="U237" s="5" t="s">
        <v>2032</v>
      </c>
      <c r="V237" s="5" t="s">
        <v>2042</v>
      </c>
      <c r="W237" s="5"/>
    </row>
    <row r="238" spans="1:23" ht="17" x14ac:dyDescent="0.2">
      <c r="A238" s="5">
        <v>236</v>
      </c>
      <c r="B238" s="5" t="s">
        <v>524</v>
      </c>
      <c r="C238" s="6" t="s">
        <v>525</v>
      </c>
      <c r="D238" s="94">
        <v>39500</v>
      </c>
      <c r="E238" s="94">
        <v>4323</v>
      </c>
      <c r="F238" s="7">
        <f t="shared" si="15"/>
        <v>0.10944303797468355</v>
      </c>
      <c r="G238" s="5" t="s">
        <v>14</v>
      </c>
      <c r="H238" s="5">
        <v>57</v>
      </c>
      <c r="I238" s="96">
        <f t="shared" si="12"/>
        <v>75.84210526315789</v>
      </c>
      <c r="J238" s="5" t="s">
        <v>26</v>
      </c>
      <c r="K238" s="5" t="s">
        <v>27</v>
      </c>
      <c r="L238" s="5">
        <v>1561438800</v>
      </c>
      <c r="M238" s="5">
        <v>1562043600</v>
      </c>
      <c r="N238" s="8">
        <f t="shared" si="13"/>
        <v>43641.208333333328</v>
      </c>
      <c r="O238" s="8">
        <f t="shared" si="14"/>
        <v>43648.208333333328</v>
      </c>
      <c r="P238" s="21" t="str">
        <f>TEXT(CrowdfundingTable[[#This Row],[date_created]],"ddd")</f>
        <v>Tue</v>
      </c>
      <c r="Q238" s="21">
        <f>_xlfn.DAYS(CrowdfundingTable[[#This Row],[date_ended]],CrowdfundingTable[[#This Row],[date_created]])</f>
        <v>7</v>
      </c>
      <c r="R238" s="5" t="b">
        <v>0</v>
      </c>
      <c r="S238" s="5" t="b">
        <v>1</v>
      </c>
      <c r="T238" s="5" t="s">
        <v>23</v>
      </c>
      <c r="U238" s="5" t="s">
        <v>2036</v>
      </c>
      <c r="V238" s="5" t="s">
        <v>2057</v>
      </c>
      <c r="W238" s="5"/>
    </row>
    <row r="239" spans="1:23" ht="34" x14ac:dyDescent="0.2">
      <c r="A239" s="5">
        <v>237</v>
      </c>
      <c r="B239" s="5" t="s">
        <v>526</v>
      </c>
      <c r="C239" s="6" t="s">
        <v>527</v>
      </c>
      <c r="D239" s="94">
        <v>9300</v>
      </c>
      <c r="E239" s="94">
        <v>14822</v>
      </c>
      <c r="F239" s="7">
        <f t="shared" si="15"/>
        <v>1.593763440860215</v>
      </c>
      <c r="G239" s="5" t="s">
        <v>20</v>
      </c>
      <c r="H239" s="5">
        <v>329</v>
      </c>
      <c r="I239" s="96">
        <f t="shared" si="12"/>
        <v>45.051671732522799</v>
      </c>
      <c r="J239" s="5" t="s">
        <v>21</v>
      </c>
      <c r="K239" s="5" t="s">
        <v>22</v>
      </c>
      <c r="L239" s="5">
        <v>1398402000</v>
      </c>
      <c r="M239" s="5">
        <v>1398574800</v>
      </c>
      <c r="N239" s="8">
        <f t="shared" si="13"/>
        <v>41754.208333333336</v>
      </c>
      <c r="O239" s="8">
        <f t="shared" si="14"/>
        <v>41756.208333333336</v>
      </c>
      <c r="P239" s="21" t="str">
        <f>TEXT(CrowdfundingTable[[#This Row],[date_created]],"ddd")</f>
        <v>Fri</v>
      </c>
      <c r="Q239" s="21">
        <f>_xlfn.DAYS(CrowdfundingTable[[#This Row],[date_ended]],CrowdfundingTable[[#This Row],[date_created]])</f>
        <v>2</v>
      </c>
      <c r="R239" s="5" t="b">
        <v>0</v>
      </c>
      <c r="S239" s="5" t="b">
        <v>0</v>
      </c>
      <c r="T239" s="5" t="s">
        <v>71</v>
      </c>
      <c r="U239" s="5" t="s">
        <v>2032</v>
      </c>
      <c r="V239" s="5" t="s">
        <v>2042</v>
      </c>
      <c r="W239" s="5"/>
    </row>
    <row r="240" spans="1:23" ht="17" x14ac:dyDescent="0.2">
      <c r="A240" s="5">
        <v>238</v>
      </c>
      <c r="B240" s="5" t="s">
        <v>528</v>
      </c>
      <c r="C240" s="6" t="s">
        <v>529</v>
      </c>
      <c r="D240" s="94">
        <v>2400</v>
      </c>
      <c r="E240" s="94">
        <v>10138</v>
      </c>
      <c r="F240" s="7">
        <f t="shared" si="15"/>
        <v>4.2241666666666671</v>
      </c>
      <c r="G240" s="5" t="s">
        <v>20</v>
      </c>
      <c r="H240" s="5">
        <v>97</v>
      </c>
      <c r="I240" s="96">
        <f t="shared" si="12"/>
        <v>104.51546391752578</v>
      </c>
      <c r="J240" s="5" t="s">
        <v>36</v>
      </c>
      <c r="K240" s="5" t="s">
        <v>37</v>
      </c>
      <c r="L240" s="5">
        <v>1513231200</v>
      </c>
      <c r="M240" s="5">
        <v>1515391200</v>
      </c>
      <c r="N240" s="8">
        <f t="shared" si="13"/>
        <v>43083.25</v>
      </c>
      <c r="O240" s="8">
        <f t="shared" si="14"/>
        <v>43108.25</v>
      </c>
      <c r="P240" s="21" t="str">
        <f>TEXT(CrowdfundingTable[[#This Row],[date_created]],"ddd")</f>
        <v>Thu</v>
      </c>
      <c r="Q240" s="21">
        <f>_xlfn.DAYS(CrowdfundingTable[[#This Row],[date_ended]],CrowdfundingTable[[#This Row],[date_created]])</f>
        <v>25</v>
      </c>
      <c r="R240" s="5" t="b">
        <v>0</v>
      </c>
      <c r="S240" s="5" t="b">
        <v>1</v>
      </c>
      <c r="T240" s="5" t="s">
        <v>33</v>
      </c>
      <c r="U240" s="5" t="s">
        <v>2040</v>
      </c>
      <c r="V240" s="5" t="s">
        <v>2055</v>
      </c>
      <c r="W240" s="5"/>
    </row>
    <row r="241" spans="1:23" ht="17" x14ac:dyDescent="0.2">
      <c r="A241" s="5">
        <v>239</v>
      </c>
      <c r="B241" s="5" t="s">
        <v>530</v>
      </c>
      <c r="C241" s="6" t="s">
        <v>531</v>
      </c>
      <c r="D241" s="94">
        <v>3200</v>
      </c>
      <c r="E241" s="94">
        <v>3127</v>
      </c>
      <c r="F241" s="7">
        <f t="shared" si="15"/>
        <v>0.97718749999999999</v>
      </c>
      <c r="G241" s="5" t="s">
        <v>14</v>
      </c>
      <c r="H241" s="5">
        <v>41</v>
      </c>
      <c r="I241" s="96">
        <f t="shared" si="12"/>
        <v>76.268292682926827</v>
      </c>
      <c r="J241" s="5" t="s">
        <v>21</v>
      </c>
      <c r="K241" s="5" t="s">
        <v>22</v>
      </c>
      <c r="L241" s="5">
        <v>1440824400</v>
      </c>
      <c r="M241" s="5">
        <v>1441170000</v>
      </c>
      <c r="N241" s="8">
        <f t="shared" si="13"/>
        <v>42245.208333333328</v>
      </c>
      <c r="O241" s="8">
        <f t="shared" si="14"/>
        <v>42249.208333333328</v>
      </c>
      <c r="P241" s="21" t="str">
        <f>TEXT(CrowdfundingTable[[#This Row],[date_created]],"ddd")</f>
        <v>Sat</v>
      </c>
      <c r="Q241" s="21">
        <f>_xlfn.DAYS(CrowdfundingTable[[#This Row],[date_ended]],CrowdfundingTable[[#This Row],[date_created]])</f>
        <v>4</v>
      </c>
      <c r="R241" s="5" t="b">
        <v>0</v>
      </c>
      <c r="S241" s="5" t="b">
        <v>0</v>
      </c>
      <c r="T241" s="5" t="s">
        <v>65</v>
      </c>
      <c r="U241" s="5" t="s">
        <v>2039</v>
      </c>
      <c r="V241" s="5" t="s">
        <v>2063</v>
      </c>
      <c r="W241" s="5"/>
    </row>
    <row r="242" spans="1:23" ht="17" x14ac:dyDescent="0.2">
      <c r="A242" s="5">
        <v>240</v>
      </c>
      <c r="B242" s="5" t="s">
        <v>532</v>
      </c>
      <c r="C242" s="6" t="s">
        <v>533</v>
      </c>
      <c r="D242" s="94">
        <v>29400</v>
      </c>
      <c r="E242" s="94">
        <v>123124</v>
      </c>
      <c r="F242" s="7">
        <f t="shared" si="15"/>
        <v>4.1878911564625847</v>
      </c>
      <c r="G242" s="5" t="s">
        <v>20</v>
      </c>
      <c r="H242" s="5">
        <v>1784</v>
      </c>
      <c r="I242" s="96">
        <f t="shared" si="12"/>
        <v>69.015695067264573</v>
      </c>
      <c r="J242" s="5" t="s">
        <v>21</v>
      </c>
      <c r="K242" s="5" t="s">
        <v>22</v>
      </c>
      <c r="L242" s="5">
        <v>1281070800</v>
      </c>
      <c r="M242" s="5">
        <v>1281157200</v>
      </c>
      <c r="N242" s="8">
        <f t="shared" si="13"/>
        <v>40396.208333333336</v>
      </c>
      <c r="O242" s="8">
        <f t="shared" si="14"/>
        <v>40397.208333333336</v>
      </c>
      <c r="P242" s="21" t="str">
        <f>TEXT(CrowdfundingTable[[#This Row],[date_created]],"ddd")</f>
        <v>Fri</v>
      </c>
      <c r="Q242" s="21">
        <f>_xlfn.DAYS(CrowdfundingTable[[#This Row],[date_ended]],CrowdfundingTable[[#This Row],[date_created]])</f>
        <v>1</v>
      </c>
      <c r="R242" s="5" t="b">
        <v>0</v>
      </c>
      <c r="S242" s="5" t="b">
        <v>0</v>
      </c>
      <c r="T242" s="5" t="s">
        <v>33</v>
      </c>
      <c r="U242" s="5" t="s">
        <v>2040</v>
      </c>
      <c r="V242" s="5" t="s">
        <v>2055</v>
      </c>
      <c r="W242" s="5"/>
    </row>
    <row r="243" spans="1:23" ht="17" x14ac:dyDescent="0.2">
      <c r="A243" s="5">
        <v>241</v>
      </c>
      <c r="B243" s="5" t="s">
        <v>534</v>
      </c>
      <c r="C243" s="6" t="s">
        <v>535</v>
      </c>
      <c r="D243" s="94">
        <v>168500</v>
      </c>
      <c r="E243" s="94">
        <v>171729</v>
      </c>
      <c r="F243" s="7">
        <f t="shared" si="15"/>
        <v>1.0191632047477746</v>
      </c>
      <c r="G243" s="5" t="s">
        <v>20</v>
      </c>
      <c r="H243" s="5">
        <v>1684</v>
      </c>
      <c r="I243" s="96">
        <f t="shared" si="12"/>
        <v>101.97684085510689</v>
      </c>
      <c r="J243" s="5" t="s">
        <v>26</v>
      </c>
      <c r="K243" s="5" t="s">
        <v>27</v>
      </c>
      <c r="L243" s="5">
        <v>1397365200</v>
      </c>
      <c r="M243" s="5">
        <v>1398229200</v>
      </c>
      <c r="N243" s="8">
        <f t="shared" si="13"/>
        <v>41742.208333333336</v>
      </c>
      <c r="O243" s="8">
        <f t="shared" si="14"/>
        <v>41752.208333333336</v>
      </c>
      <c r="P243" s="21" t="str">
        <f>TEXT(CrowdfundingTable[[#This Row],[date_created]],"ddd")</f>
        <v>Sun</v>
      </c>
      <c r="Q243" s="21">
        <f>_xlfn.DAYS(CrowdfundingTable[[#This Row],[date_ended]],CrowdfundingTable[[#This Row],[date_created]])</f>
        <v>10</v>
      </c>
      <c r="R243" s="5" t="b">
        <v>0</v>
      </c>
      <c r="S243" s="5" t="b">
        <v>1</v>
      </c>
      <c r="T243" s="5" t="s">
        <v>68</v>
      </c>
      <c r="U243" s="5" t="s">
        <v>2038</v>
      </c>
      <c r="V243" s="5" t="s">
        <v>2053</v>
      </c>
      <c r="W243" s="5"/>
    </row>
    <row r="244" spans="1:23" ht="17" x14ac:dyDescent="0.2">
      <c r="A244" s="5">
        <v>242</v>
      </c>
      <c r="B244" s="5" t="s">
        <v>536</v>
      </c>
      <c r="C244" s="6" t="s">
        <v>537</v>
      </c>
      <c r="D244" s="94">
        <v>8400</v>
      </c>
      <c r="E244" s="94">
        <v>10729</v>
      </c>
      <c r="F244" s="7">
        <f t="shared" si="15"/>
        <v>1.2772619047619047</v>
      </c>
      <c r="G244" s="5" t="s">
        <v>20</v>
      </c>
      <c r="H244" s="5">
        <v>250</v>
      </c>
      <c r="I244" s="96">
        <f t="shared" si="12"/>
        <v>42.915999999999997</v>
      </c>
      <c r="J244" s="5" t="s">
        <v>21</v>
      </c>
      <c r="K244" s="5" t="s">
        <v>22</v>
      </c>
      <c r="L244" s="5">
        <v>1494392400</v>
      </c>
      <c r="M244" s="5">
        <v>1495256400</v>
      </c>
      <c r="N244" s="8">
        <f t="shared" si="13"/>
        <v>42865.208333333328</v>
      </c>
      <c r="O244" s="8">
        <f t="shared" si="14"/>
        <v>42875.208333333328</v>
      </c>
      <c r="P244" s="21" t="str">
        <f>TEXT(CrowdfundingTable[[#This Row],[date_created]],"ddd")</f>
        <v>Wed</v>
      </c>
      <c r="Q244" s="21">
        <f>_xlfn.DAYS(CrowdfundingTable[[#This Row],[date_ended]],CrowdfundingTable[[#This Row],[date_created]])</f>
        <v>10</v>
      </c>
      <c r="R244" s="5" t="b">
        <v>0</v>
      </c>
      <c r="S244" s="5" t="b">
        <v>1</v>
      </c>
      <c r="T244" s="5" t="s">
        <v>23</v>
      </c>
      <c r="U244" s="5" t="s">
        <v>2036</v>
      </c>
      <c r="V244" s="5" t="s">
        <v>2057</v>
      </c>
      <c r="W244" s="5"/>
    </row>
    <row r="245" spans="1:23" ht="34" x14ac:dyDescent="0.2">
      <c r="A245" s="5">
        <v>243</v>
      </c>
      <c r="B245" s="5" t="s">
        <v>538</v>
      </c>
      <c r="C245" s="6" t="s">
        <v>539</v>
      </c>
      <c r="D245" s="94">
        <v>2300</v>
      </c>
      <c r="E245" s="94">
        <v>10240</v>
      </c>
      <c r="F245" s="7">
        <f t="shared" si="15"/>
        <v>4.4521739130434783</v>
      </c>
      <c r="G245" s="5" t="s">
        <v>20</v>
      </c>
      <c r="H245" s="5">
        <v>238</v>
      </c>
      <c r="I245" s="96">
        <f t="shared" si="12"/>
        <v>43.025210084033617</v>
      </c>
      <c r="J245" s="5" t="s">
        <v>21</v>
      </c>
      <c r="K245" s="5" t="s">
        <v>22</v>
      </c>
      <c r="L245" s="5">
        <v>1520143200</v>
      </c>
      <c r="M245" s="5">
        <v>1520402400</v>
      </c>
      <c r="N245" s="8">
        <f t="shared" si="13"/>
        <v>43163.25</v>
      </c>
      <c r="O245" s="8">
        <f t="shared" si="14"/>
        <v>43166.25</v>
      </c>
      <c r="P245" s="21" t="str">
        <f>TEXT(CrowdfundingTable[[#This Row],[date_created]],"ddd")</f>
        <v>Sun</v>
      </c>
      <c r="Q245" s="21">
        <f>_xlfn.DAYS(CrowdfundingTable[[#This Row],[date_ended]],CrowdfundingTable[[#This Row],[date_created]])</f>
        <v>3</v>
      </c>
      <c r="R245" s="5" t="b">
        <v>0</v>
      </c>
      <c r="S245" s="5" t="b">
        <v>0</v>
      </c>
      <c r="T245" s="5" t="s">
        <v>33</v>
      </c>
      <c r="U245" s="5" t="s">
        <v>2040</v>
      </c>
      <c r="V245" s="5" t="s">
        <v>2055</v>
      </c>
      <c r="W245" s="5"/>
    </row>
    <row r="246" spans="1:23" ht="34" x14ac:dyDescent="0.2">
      <c r="A246" s="5">
        <v>244</v>
      </c>
      <c r="B246" s="5" t="s">
        <v>540</v>
      </c>
      <c r="C246" s="6" t="s">
        <v>541</v>
      </c>
      <c r="D246" s="94">
        <v>700</v>
      </c>
      <c r="E246" s="94">
        <v>3988</v>
      </c>
      <c r="F246" s="7">
        <f t="shared" si="15"/>
        <v>5.6971428571428575</v>
      </c>
      <c r="G246" s="5" t="s">
        <v>20</v>
      </c>
      <c r="H246" s="5">
        <v>53</v>
      </c>
      <c r="I246" s="96">
        <f t="shared" si="12"/>
        <v>75.245283018867923</v>
      </c>
      <c r="J246" s="5" t="s">
        <v>21</v>
      </c>
      <c r="K246" s="5" t="s">
        <v>22</v>
      </c>
      <c r="L246" s="5">
        <v>1405314000</v>
      </c>
      <c r="M246" s="5">
        <v>1409806800</v>
      </c>
      <c r="N246" s="8">
        <f t="shared" si="13"/>
        <v>41834.208333333336</v>
      </c>
      <c r="O246" s="8">
        <f t="shared" si="14"/>
        <v>41886.208333333336</v>
      </c>
      <c r="P246" s="21" t="str">
        <f>TEXT(CrowdfundingTable[[#This Row],[date_created]],"ddd")</f>
        <v>Mon</v>
      </c>
      <c r="Q246" s="21">
        <f>_xlfn.DAYS(CrowdfundingTable[[#This Row],[date_ended]],CrowdfundingTable[[#This Row],[date_created]])</f>
        <v>52</v>
      </c>
      <c r="R246" s="5" t="b">
        <v>0</v>
      </c>
      <c r="S246" s="5" t="b">
        <v>0</v>
      </c>
      <c r="T246" s="5" t="s">
        <v>33</v>
      </c>
      <c r="U246" s="5" t="s">
        <v>2040</v>
      </c>
      <c r="V246" s="5" t="s">
        <v>2055</v>
      </c>
      <c r="W246" s="5"/>
    </row>
    <row r="247" spans="1:23" ht="17" x14ac:dyDescent="0.2">
      <c r="A247" s="5">
        <v>245</v>
      </c>
      <c r="B247" s="5" t="s">
        <v>542</v>
      </c>
      <c r="C247" s="6" t="s">
        <v>543</v>
      </c>
      <c r="D247" s="94">
        <v>2900</v>
      </c>
      <c r="E247" s="94">
        <v>14771</v>
      </c>
      <c r="F247" s="7">
        <f t="shared" si="15"/>
        <v>5.0934482758620687</v>
      </c>
      <c r="G247" s="5" t="s">
        <v>20</v>
      </c>
      <c r="H247" s="5">
        <v>214</v>
      </c>
      <c r="I247" s="96">
        <f t="shared" si="12"/>
        <v>69.023364485981304</v>
      </c>
      <c r="J247" s="5" t="s">
        <v>21</v>
      </c>
      <c r="K247" s="5" t="s">
        <v>22</v>
      </c>
      <c r="L247" s="5">
        <v>1396846800</v>
      </c>
      <c r="M247" s="5">
        <v>1396933200</v>
      </c>
      <c r="N247" s="8">
        <f t="shared" si="13"/>
        <v>41736.208333333336</v>
      </c>
      <c r="O247" s="8">
        <f t="shared" si="14"/>
        <v>41737.208333333336</v>
      </c>
      <c r="P247" s="21" t="str">
        <f>TEXT(CrowdfundingTable[[#This Row],[date_created]],"ddd")</f>
        <v>Mon</v>
      </c>
      <c r="Q247" s="21">
        <f>_xlfn.DAYS(CrowdfundingTable[[#This Row],[date_ended]],CrowdfundingTable[[#This Row],[date_created]])</f>
        <v>1</v>
      </c>
      <c r="R247" s="5" t="b">
        <v>0</v>
      </c>
      <c r="S247" s="5" t="b">
        <v>0</v>
      </c>
      <c r="T247" s="5" t="s">
        <v>33</v>
      </c>
      <c r="U247" s="5" t="s">
        <v>2040</v>
      </c>
      <c r="V247" s="5" t="s">
        <v>2055</v>
      </c>
      <c r="W247" s="5"/>
    </row>
    <row r="248" spans="1:23" ht="17" x14ac:dyDescent="0.2">
      <c r="A248" s="5">
        <v>246</v>
      </c>
      <c r="B248" s="5" t="s">
        <v>544</v>
      </c>
      <c r="C248" s="6" t="s">
        <v>545</v>
      </c>
      <c r="D248" s="94">
        <v>4500</v>
      </c>
      <c r="E248" s="94">
        <v>14649</v>
      </c>
      <c r="F248" s="7">
        <f t="shared" si="15"/>
        <v>3.2553333333333332</v>
      </c>
      <c r="G248" s="5" t="s">
        <v>20</v>
      </c>
      <c r="H248" s="5">
        <v>222</v>
      </c>
      <c r="I248" s="96">
        <f t="shared" si="12"/>
        <v>65.986486486486484</v>
      </c>
      <c r="J248" s="5" t="s">
        <v>21</v>
      </c>
      <c r="K248" s="5" t="s">
        <v>22</v>
      </c>
      <c r="L248" s="5">
        <v>1375678800</v>
      </c>
      <c r="M248" s="5">
        <v>1376024400</v>
      </c>
      <c r="N248" s="8">
        <f t="shared" si="13"/>
        <v>41491.208333333336</v>
      </c>
      <c r="O248" s="8">
        <f t="shared" si="14"/>
        <v>41495.208333333336</v>
      </c>
      <c r="P248" s="21" t="str">
        <f>TEXT(CrowdfundingTable[[#This Row],[date_created]],"ddd")</f>
        <v>Mon</v>
      </c>
      <c r="Q248" s="21">
        <f>_xlfn.DAYS(CrowdfundingTable[[#This Row],[date_ended]],CrowdfundingTable[[#This Row],[date_created]])</f>
        <v>4</v>
      </c>
      <c r="R248" s="5" t="b">
        <v>0</v>
      </c>
      <c r="S248" s="5" t="b">
        <v>0</v>
      </c>
      <c r="T248" s="5" t="s">
        <v>28</v>
      </c>
      <c r="U248" s="5" t="s">
        <v>2039</v>
      </c>
      <c r="V248" s="5" t="s">
        <v>2064</v>
      </c>
      <c r="W248" s="5"/>
    </row>
    <row r="249" spans="1:23" ht="17" x14ac:dyDescent="0.2">
      <c r="A249" s="5">
        <v>247</v>
      </c>
      <c r="B249" s="5" t="s">
        <v>546</v>
      </c>
      <c r="C249" s="6" t="s">
        <v>547</v>
      </c>
      <c r="D249" s="94">
        <v>19800</v>
      </c>
      <c r="E249" s="94">
        <v>184658</v>
      </c>
      <c r="F249" s="7">
        <f t="shared" si="15"/>
        <v>9.3261616161616168</v>
      </c>
      <c r="G249" s="5" t="s">
        <v>20</v>
      </c>
      <c r="H249" s="5">
        <v>1884</v>
      </c>
      <c r="I249" s="96">
        <f t="shared" si="12"/>
        <v>98.013800424628457</v>
      </c>
      <c r="J249" s="5" t="s">
        <v>21</v>
      </c>
      <c r="K249" s="5" t="s">
        <v>22</v>
      </c>
      <c r="L249" s="5">
        <v>1482386400</v>
      </c>
      <c r="M249" s="5">
        <v>1483682400</v>
      </c>
      <c r="N249" s="8">
        <f t="shared" si="13"/>
        <v>42726.25</v>
      </c>
      <c r="O249" s="8">
        <f t="shared" si="14"/>
        <v>42741.25</v>
      </c>
      <c r="P249" s="21" t="str">
        <f>TEXT(CrowdfundingTable[[#This Row],[date_created]],"ddd")</f>
        <v>Thu</v>
      </c>
      <c r="Q249" s="21">
        <f>_xlfn.DAYS(CrowdfundingTable[[#This Row],[date_ended]],CrowdfundingTable[[#This Row],[date_created]])</f>
        <v>15</v>
      </c>
      <c r="R249" s="5" t="b">
        <v>0</v>
      </c>
      <c r="S249" s="5" t="b">
        <v>1</v>
      </c>
      <c r="T249" s="5" t="s">
        <v>119</v>
      </c>
      <c r="U249" s="5" t="s">
        <v>2038</v>
      </c>
      <c r="V249" s="5" t="s">
        <v>2047</v>
      </c>
      <c r="W249" s="5"/>
    </row>
    <row r="250" spans="1:23" ht="17" x14ac:dyDescent="0.2">
      <c r="A250" s="5">
        <v>248</v>
      </c>
      <c r="B250" s="5" t="s">
        <v>548</v>
      </c>
      <c r="C250" s="6" t="s">
        <v>549</v>
      </c>
      <c r="D250" s="94">
        <v>6200</v>
      </c>
      <c r="E250" s="94">
        <v>13103</v>
      </c>
      <c r="F250" s="7">
        <f t="shared" si="15"/>
        <v>2.1133870967741935</v>
      </c>
      <c r="G250" s="5" t="s">
        <v>20</v>
      </c>
      <c r="H250" s="5">
        <v>218</v>
      </c>
      <c r="I250" s="96">
        <f t="shared" si="12"/>
        <v>60.105504587155963</v>
      </c>
      <c r="J250" s="5" t="s">
        <v>26</v>
      </c>
      <c r="K250" s="5" t="s">
        <v>27</v>
      </c>
      <c r="L250" s="5">
        <v>1420005600</v>
      </c>
      <c r="M250" s="5">
        <v>1420437600</v>
      </c>
      <c r="N250" s="8">
        <f t="shared" si="13"/>
        <v>42004.25</v>
      </c>
      <c r="O250" s="8">
        <f t="shared" si="14"/>
        <v>42009.25</v>
      </c>
      <c r="P250" s="21" t="str">
        <f>TEXT(CrowdfundingTable[[#This Row],[date_created]],"ddd")</f>
        <v>Wed</v>
      </c>
      <c r="Q250" s="21">
        <f>_xlfn.DAYS(CrowdfundingTable[[#This Row],[date_ended]],CrowdfundingTable[[#This Row],[date_created]])</f>
        <v>5</v>
      </c>
      <c r="R250" s="5" t="b">
        <v>0</v>
      </c>
      <c r="S250" s="5" t="b">
        <v>0</v>
      </c>
      <c r="T250" s="5" t="s">
        <v>292</v>
      </c>
      <c r="U250" s="5" t="s">
        <v>2034</v>
      </c>
      <c r="V250" s="5" t="s">
        <v>2052</v>
      </c>
      <c r="W250" s="5"/>
    </row>
    <row r="251" spans="1:23" ht="17" x14ac:dyDescent="0.2">
      <c r="A251" s="5">
        <v>249</v>
      </c>
      <c r="B251" s="5" t="s">
        <v>550</v>
      </c>
      <c r="C251" s="6" t="s">
        <v>551</v>
      </c>
      <c r="D251" s="94">
        <v>61500</v>
      </c>
      <c r="E251" s="94">
        <v>168095</v>
      </c>
      <c r="F251" s="7">
        <f t="shared" si="15"/>
        <v>2.7332520325203253</v>
      </c>
      <c r="G251" s="5" t="s">
        <v>20</v>
      </c>
      <c r="H251" s="5">
        <v>6465</v>
      </c>
      <c r="I251" s="96">
        <f t="shared" si="12"/>
        <v>26.000773395204948</v>
      </c>
      <c r="J251" s="5" t="s">
        <v>21</v>
      </c>
      <c r="K251" s="5" t="s">
        <v>22</v>
      </c>
      <c r="L251" s="5">
        <v>1420178400</v>
      </c>
      <c r="M251" s="5">
        <v>1420783200</v>
      </c>
      <c r="N251" s="8">
        <f t="shared" si="13"/>
        <v>42006.25</v>
      </c>
      <c r="O251" s="8">
        <f t="shared" si="14"/>
        <v>42013.25</v>
      </c>
      <c r="P251" s="21" t="str">
        <f>TEXT(CrowdfundingTable[[#This Row],[date_created]],"ddd")</f>
        <v>Fri</v>
      </c>
      <c r="Q251" s="21">
        <f>_xlfn.DAYS(CrowdfundingTable[[#This Row],[date_ended]],CrowdfundingTable[[#This Row],[date_created]])</f>
        <v>7</v>
      </c>
      <c r="R251" s="5" t="b">
        <v>0</v>
      </c>
      <c r="S251" s="5" t="b">
        <v>0</v>
      </c>
      <c r="T251" s="5" t="s">
        <v>206</v>
      </c>
      <c r="U251" s="5" t="s">
        <v>2038</v>
      </c>
      <c r="V251" s="5" t="s">
        <v>2061</v>
      </c>
      <c r="W251" s="5"/>
    </row>
    <row r="252" spans="1:23" ht="17" x14ac:dyDescent="0.2">
      <c r="A252" s="5">
        <v>250</v>
      </c>
      <c r="B252" s="5" t="s">
        <v>552</v>
      </c>
      <c r="C252" s="6" t="s">
        <v>553</v>
      </c>
      <c r="D252" s="94">
        <v>100</v>
      </c>
      <c r="E252" s="94">
        <v>3</v>
      </c>
      <c r="F252" s="7">
        <f t="shared" si="15"/>
        <v>0.03</v>
      </c>
      <c r="G252" s="5" t="s">
        <v>14</v>
      </c>
      <c r="H252" s="5">
        <v>1</v>
      </c>
      <c r="I252" s="96">
        <f t="shared" si="12"/>
        <v>3</v>
      </c>
      <c r="J252" s="5" t="s">
        <v>21</v>
      </c>
      <c r="K252" s="5" t="s">
        <v>22</v>
      </c>
      <c r="L252" s="5">
        <v>1264399200</v>
      </c>
      <c r="M252" s="5">
        <v>1267423200</v>
      </c>
      <c r="N252" s="8">
        <f t="shared" si="13"/>
        <v>40203.25</v>
      </c>
      <c r="O252" s="8">
        <f t="shared" si="14"/>
        <v>40238.25</v>
      </c>
      <c r="P252" s="21" t="str">
        <f>TEXT(CrowdfundingTable[[#This Row],[date_created]],"ddd")</f>
        <v>Mon</v>
      </c>
      <c r="Q252" s="21">
        <f>_xlfn.DAYS(CrowdfundingTable[[#This Row],[date_ended]],CrowdfundingTable[[#This Row],[date_created]])</f>
        <v>35</v>
      </c>
      <c r="R252" s="5" t="b">
        <v>0</v>
      </c>
      <c r="S252" s="5" t="b">
        <v>0</v>
      </c>
      <c r="T252" s="5" t="s">
        <v>23</v>
      </c>
      <c r="U252" s="5" t="s">
        <v>2036</v>
      </c>
      <c r="V252" s="5" t="s">
        <v>2057</v>
      </c>
      <c r="W252" s="5"/>
    </row>
    <row r="253" spans="1:23" ht="17" x14ac:dyDescent="0.2">
      <c r="A253" s="5">
        <v>251</v>
      </c>
      <c r="B253" s="5" t="s">
        <v>554</v>
      </c>
      <c r="C253" s="6" t="s">
        <v>555</v>
      </c>
      <c r="D253" s="94">
        <v>7100</v>
      </c>
      <c r="E253" s="94">
        <v>3840</v>
      </c>
      <c r="F253" s="7">
        <f t="shared" si="15"/>
        <v>0.54084507042253516</v>
      </c>
      <c r="G253" s="5" t="s">
        <v>14</v>
      </c>
      <c r="H253" s="5">
        <v>101</v>
      </c>
      <c r="I253" s="96">
        <f t="shared" si="12"/>
        <v>38.019801980198018</v>
      </c>
      <c r="J253" s="5" t="s">
        <v>21</v>
      </c>
      <c r="K253" s="5" t="s">
        <v>22</v>
      </c>
      <c r="L253" s="5">
        <v>1355032800</v>
      </c>
      <c r="M253" s="5">
        <v>1355205600</v>
      </c>
      <c r="N253" s="8">
        <f t="shared" si="13"/>
        <v>41252.25</v>
      </c>
      <c r="O253" s="8">
        <f t="shared" si="14"/>
        <v>41254.25</v>
      </c>
      <c r="P253" s="21" t="str">
        <f>TEXT(CrowdfundingTable[[#This Row],[date_created]],"ddd")</f>
        <v>Sun</v>
      </c>
      <c r="Q253" s="21">
        <f>_xlfn.DAYS(CrowdfundingTable[[#This Row],[date_ended]],CrowdfundingTable[[#This Row],[date_created]])</f>
        <v>2</v>
      </c>
      <c r="R253" s="5" t="b">
        <v>0</v>
      </c>
      <c r="S253" s="5" t="b">
        <v>0</v>
      </c>
      <c r="T253" s="5" t="s">
        <v>33</v>
      </c>
      <c r="U253" s="5" t="s">
        <v>2040</v>
      </c>
      <c r="V253" s="5" t="s">
        <v>2055</v>
      </c>
      <c r="W253" s="5"/>
    </row>
    <row r="254" spans="1:23" ht="34" x14ac:dyDescent="0.2">
      <c r="A254" s="5">
        <v>252</v>
      </c>
      <c r="B254" s="5" t="s">
        <v>556</v>
      </c>
      <c r="C254" s="6" t="s">
        <v>557</v>
      </c>
      <c r="D254" s="94">
        <v>1000</v>
      </c>
      <c r="E254" s="94">
        <v>6263</v>
      </c>
      <c r="F254" s="7">
        <f t="shared" si="15"/>
        <v>6.2629999999999999</v>
      </c>
      <c r="G254" s="5" t="s">
        <v>20</v>
      </c>
      <c r="H254" s="5">
        <v>59</v>
      </c>
      <c r="I254" s="96">
        <f t="shared" si="12"/>
        <v>106.15254237288136</v>
      </c>
      <c r="J254" s="5" t="s">
        <v>21</v>
      </c>
      <c r="K254" s="5" t="s">
        <v>22</v>
      </c>
      <c r="L254" s="5">
        <v>1382677200</v>
      </c>
      <c r="M254" s="5">
        <v>1383109200</v>
      </c>
      <c r="N254" s="8">
        <f t="shared" si="13"/>
        <v>41572.208333333336</v>
      </c>
      <c r="O254" s="8">
        <f t="shared" si="14"/>
        <v>41577.208333333336</v>
      </c>
      <c r="P254" s="21" t="str">
        <f>TEXT(CrowdfundingTable[[#This Row],[date_created]],"ddd")</f>
        <v>Fri</v>
      </c>
      <c r="Q254" s="21">
        <f>_xlfn.DAYS(CrowdfundingTable[[#This Row],[date_ended]],CrowdfundingTable[[#This Row],[date_created]])</f>
        <v>5</v>
      </c>
      <c r="R254" s="5" t="b">
        <v>0</v>
      </c>
      <c r="S254" s="5" t="b">
        <v>0</v>
      </c>
      <c r="T254" s="5" t="s">
        <v>33</v>
      </c>
      <c r="U254" s="5" t="s">
        <v>2040</v>
      </c>
      <c r="V254" s="5" t="s">
        <v>2055</v>
      </c>
      <c r="W254" s="5"/>
    </row>
    <row r="255" spans="1:23" ht="17" x14ac:dyDescent="0.2">
      <c r="A255" s="5">
        <v>253</v>
      </c>
      <c r="B255" s="5" t="s">
        <v>558</v>
      </c>
      <c r="C255" s="6" t="s">
        <v>559</v>
      </c>
      <c r="D255" s="94">
        <v>121500</v>
      </c>
      <c r="E255" s="94">
        <v>108161</v>
      </c>
      <c r="F255" s="7">
        <f t="shared" si="15"/>
        <v>0.8902139917695473</v>
      </c>
      <c r="G255" s="5" t="s">
        <v>14</v>
      </c>
      <c r="H255" s="5">
        <v>1335</v>
      </c>
      <c r="I255" s="96">
        <f t="shared" si="12"/>
        <v>81.019475655430711</v>
      </c>
      <c r="J255" s="5" t="s">
        <v>15</v>
      </c>
      <c r="K255" s="5" t="s">
        <v>16</v>
      </c>
      <c r="L255" s="5">
        <v>1302238800</v>
      </c>
      <c r="M255" s="5">
        <v>1303275600</v>
      </c>
      <c r="N255" s="8">
        <f t="shared" si="13"/>
        <v>40641.208333333336</v>
      </c>
      <c r="O255" s="8">
        <f t="shared" si="14"/>
        <v>40653.208333333336</v>
      </c>
      <c r="P255" s="21" t="str">
        <f>TEXT(CrowdfundingTable[[#This Row],[date_created]],"ddd")</f>
        <v>Fri</v>
      </c>
      <c r="Q255" s="21">
        <f>_xlfn.DAYS(CrowdfundingTable[[#This Row],[date_ended]],CrowdfundingTable[[#This Row],[date_created]])</f>
        <v>12</v>
      </c>
      <c r="R255" s="5" t="b">
        <v>0</v>
      </c>
      <c r="S255" s="5" t="b">
        <v>0</v>
      </c>
      <c r="T255" s="5" t="s">
        <v>53</v>
      </c>
      <c r="U255" s="5" t="s">
        <v>2032</v>
      </c>
      <c r="V255" s="5" t="s">
        <v>2045</v>
      </c>
      <c r="W255" s="5"/>
    </row>
    <row r="256" spans="1:23" ht="34" x14ac:dyDescent="0.2">
      <c r="A256" s="5">
        <v>254</v>
      </c>
      <c r="B256" s="5" t="s">
        <v>560</v>
      </c>
      <c r="C256" s="6" t="s">
        <v>561</v>
      </c>
      <c r="D256" s="94">
        <v>4600</v>
      </c>
      <c r="E256" s="94">
        <v>8505</v>
      </c>
      <c r="F256" s="7">
        <f t="shared" si="15"/>
        <v>1.8489130434782608</v>
      </c>
      <c r="G256" s="5" t="s">
        <v>20</v>
      </c>
      <c r="H256" s="5">
        <v>88</v>
      </c>
      <c r="I256" s="96">
        <f t="shared" si="12"/>
        <v>96.647727272727266</v>
      </c>
      <c r="J256" s="5" t="s">
        <v>21</v>
      </c>
      <c r="K256" s="5" t="s">
        <v>22</v>
      </c>
      <c r="L256" s="5">
        <v>1487656800</v>
      </c>
      <c r="M256" s="5">
        <v>1487829600</v>
      </c>
      <c r="N256" s="8">
        <f t="shared" si="13"/>
        <v>42787.25</v>
      </c>
      <c r="O256" s="8">
        <f t="shared" si="14"/>
        <v>42789.25</v>
      </c>
      <c r="P256" s="21" t="str">
        <f>TEXT(CrowdfundingTable[[#This Row],[date_created]],"ddd")</f>
        <v>Tue</v>
      </c>
      <c r="Q256" s="21">
        <f>_xlfn.DAYS(CrowdfundingTable[[#This Row],[date_ended]],CrowdfundingTable[[#This Row],[date_created]])</f>
        <v>2</v>
      </c>
      <c r="R256" s="5" t="b">
        <v>0</v>
      </c>
      <c r="S256" s="5" t="b">
        <v>0</v>
      </c>
      <c r="T256" s="5" t="s">
        <v>68</v>
      </c>
      <c r="U256" s="5" t="s">
        <v>2038</v>
      </c>
      <c r="V256" s="5" t="s">
        <v>2053</v>
      </c>
      <c r="W256" s="5"/>
    </row>
    <row r="257" spans="1:23" ht="17" x14ac:dyDescent="0.2">
      <c r="A257" s="5">
        <v>255</v>
      </c>
      <c r="B257" s="5" t="s">
        <v>562</v>
      </c>
      <c r="C257" s="6" t="s">
        <v>563</v>
      </c>
      <c r="D257" s="94">
        <v>80500</v>
      </c>
      <c r="E257" s="94">
        <v>96735</v>
      </c>
      <c r="F257" s="7">
        <f t="shared" si="15"/>
        <v>1.2016770186335404</v>
      </c>
      <c r="G257" s="5" t="s">
        <v>20</v>
      </c>
      <c r="H257" s="5">
        <v>1697</v>
      </c>
      <c r="I257" s="96">
        <f t="shared" si="12"/>
        <v>57.003535651149086</v>
      </c>
      <c r="J257" s="5" t="s">
        <v>21</v>
      </c>
      <c r="K257" s="5" t="s">
        <v>22</v>
      </c>
      <c r="L257" s="5">
        <v>1297836000</v>
      </c>
      <c r="M257" s="5">
        <v>1298268000</v>
      </c>
      <c r="N257" s="8">
        <f t="shared" si="13"/>
        <v>40590.25</v>
      </c>
      <c r="O257" s="8">
        <f t="shared" si="14"/>
        <v>40595.25</v>
      </c>
      <c r="P257" s="21" t="str">
        <f>TEXT(CrowdfundingTable[[#This Row],[date_created]],"ddd")</f>
        <v>Wed</v>
      </c>
      <c r="Q257" s="21">
        <f>_xlfn.DAYS(CrowdfundingTable[[#This Row],[date_ended]],CrowdfundingTable[[#This Row],[date_created]])</f>
        <v>5</v>
      </c>
      <c r="R257" s="5" t="b">
        <v>0</v>
      </c>
      <c r="S257" s="5" t="b">
        <v>1</v>
      </c>
      <c r="T257" s="5" t="s">
        <v>23</v>
      </c>
      <c r="U257" s="5" t="s">
        <v>2036</v>
      </c>
      <c r="V257" s="5" t="s">
        <v>2057</v>
      </c>
      <c r="W257" s="5"/>
    </row>
    <row r="258" spans="1:23" ht="17" x14ac:dyDescent="0.2">
      <c r="A258" s="5">
        <v>256</v>
      </c>
      <c r="B258" s="5" t="s">
        <v>564</v>
      </c>
      <c r="C258" s="6" t="s">
        <v>565</v>
      </c>
      <c r="D258" s="94">
        <v>4100</v>
      </c>
      <c r="E258" s="94">
        <v>959</v>
      </c>
      <c r="F258" s="7">
        <f t="shared" si="15"/>
        <v>0.23390243902439026</v>
      </c>
      <c r="G258" s="5" t="s">
        <v>14</v>
      </c>
      <c r="H258" s="5">
        <v>15</v>
      </c>
      <c r="I258" s="96">
        <f t="shared" ref="I258:I321" si="16">IF(H258&lt;&gt;0,E258/H258,0)</f>
        <v>63.93333333333333</v>
      </c>
      <c r="J258" s="5" t="s">
        <v>40</v>
      </c>
      <c r="K258" s="5" t="s">
        <v>41</v>
      </c>
      <c r="L258" s="5">
        <v>1453615200</v>
      </c>
      <c r="M258" s="5">
        <v>1456812000</v>
      </c>
      <c r="N258" s="8">
        <f t="shared" si="13"/>
        <v>42393.25</v>
      </c>
      <c r="O258" s="8">
        <f t="shared" si="14"/>
        <v>42430.25</v>
      </c>
      <c r="P258" s="21" t="str">
        <f>TEXT(CrowdfundingTable[[#This Row],[date_created]],"ddd")</f>
        <v>Sun</v>
      </c>
      <c r="Q258" s="21">
        <f>_xlfn.DAYS(CrowdfundingTable[[#This Row],[date_ended]],CrowdfundingTable[[#This Row],[date_created]])</f>
        <v>37</v>
      </c>
      <c r="R258" s="5" t="b">
        <v>0</v>
      </c>
      <c r="S258" s="5" t="b">
        <v>0</v>
      </c>
      <c r="T258" s="5" t="s">
        <v>23</v>
      </c>
      <c r="U258" s="5" t="s">
        <v>2036</v>
      </c>
      <c r="V258" s="5" t="s">
        <v>2057</v>
      </c>
      <c r="W258" s="5"/>
    </row>
    <row r="259" spans="1:23" ht="17" x14ac:dyDescent="0.2">
      <c r="A259" s="5">
        <v>257</v>
      </c>
      <c r="B259" s="5" t="s">
        <v>566</v>
      </c>
      <c r="C259" s="6" t="s">
        <v>567</v>
      </c>
      <c r="D259" s="94">
        <v>5700</v>
      </c>
      <c r="E259" s="94">
        <v>8322</v>
      </c>
      <c r="F259" s="7">
        <f t="shared" si="15"/>
        <v>1.46</v>
      </c>
      <c r="G259" s="5" t="s">
        <v>20</v>
      </c>
      <c r="H259" s="5">
        <v>92</v>
      </c>
      <c r="I259" s="96">
        <f t="shared" si="16"/>
        <v>90.456521739130437</v>
      </c>
      <c r="J259" s="5" t="s">
        <v>21</v>
      </c>
      <c r="K259" s="5" t="s">
        <v>22</v>
      </c>
      <c r="L259" s="5">
        <v>1362463200</v>
      </c>
      <c r="M259" s="5">
        <v>1363669200</v>
      </c>
      <c r="N259" s="8">
        <f t="shared" ref="N259:N322" si="17">(((L259/60)/60)/24)+DATE(1970,1,1)</f>
        <v>41338.25</v>
      </c>
      <c r="O259" s="8">
        <f t="shared" ref="O259:O322" si="18">(((M259/60)/60)/24)+DATE(1970,1,1)</f>
        <v>41352.208333333336</v>
      </c>
      <c r="P259" s="21" t="str">
        <f>TEXT(CrowdfundingTable[[#This Row],[date_created]],"ddd")</f>
        <v>Tue</v>
      </c>
      <c r="Q259" s="21">
        <f>_xlfn.DAYS(CrowdfundingTable[[#This Row],[date_ended]],CrowdfundingTable[[#This Row],[date_created]])</f>
        <v>14</v>
      </c>
      <c r="R259" s="5" t="b">
        <v>0</v>
      </c>
      <c r="S259" s="5" t="b">
        <v>0</v>
      </c>
      <c r="T259" s="5" t="s">
        <v>33</v>
      </c>
      <c r="U259" s="5" t="s">
        <v>2040</v>
      </c>
      <c r="V259" s="5" t="s">
        <v>2055</v>
      </c>
      <c r="W259" s="5"/>
    </row>
    <row r="260" spans="1:23" ht="17" x14ac:dyDescent="0.2">
      <c r="A260" s="5">
        <v>258</v>
      </c>
      <c r="B260" s="5" t="s">
        <v>568</v>
      </c>
      <c r="C260" s="6" t="s">
        <v>569</v>
      </c>
      <c r="D260" s="94">
        <v>5000</v>
      </c>
      <c r="E260" s="94">
        <v>13424</v>
      </c>
      <c r="F260" s="7">
        <f t="shared" ref="F260:F323" si="19">E260/D260</f>
        <v>2.6848000000000001</v>
      </c>
      <c r="G260" s="5" t="s">
        <v>20</v>
      </c>
      <c r="H260" s="5">
        <v>186</v>
      </c>
      <c r="I260" s="96">
        <f t="shared" si="16"/>
        <v>72.172043010752688</v>
      </c>
      <c r="J260" s="5" t="s">
        <v>21</v>
      </c>
      <c r="K260" s="5" t="s">
        <v>22</v>
      </c>
      <c r="L260" s="5">
        <v>1481176800</v>
      </c>
      <c r="M260" s="5">
        <v>1482904800</v>
      </c>
      <c r="N260" s="8">
        <f t="shared" si="17"/>
        <v>42712.25</v>
      </c>
      <c r="O260" s="8">
        <f t="shared" si="18"/>
        <v>42732.25</v>
      </c>
      <c r="P260" s="21" t="str">
        <f>TEXT(CrowdfundingTable[[#This Row],[date_created]],"ddd")</f>
        <v>Thu</v>
      </c>
      <c r="Q260" s="21">
        <f>_xlfn.DAYS(CrowdfundingTable[[#This Row],[date_ended]],CrowdfundingTable[[#This Row],[date_created]])</f>
        <v>20</v>
      </c>
      <c r="R260" s="5" t="b">
        <v>0</v>
      </c>
      <c r="S260" s="5" t="b">
        <v>1</v>
      </c>
      <c r="T260" s="5" t="s">
        <v>33</v>
      </c>
      <c r="U260" s="5" t="s">
        <v>2040</v>
      </c>
      <c r="V260" s="5" t="s">
        <v>2055</v>
      </c>
      <c r="W260" s="5"/>
    </row>
    <row r="261" spans="1:23" ht="34" x14ac:dyDescent="0.2">
      <c r="A261" s="5">
        <v>259</v>
      </c>
      <c r="B261" s="5" t="s">
        <v>570</v>
      </c>
      <c r="C261" s="6" t="s">
        <v>571</v>
      </c>
      <c r="D261" s="94">
        <v>1800</v>
      </c>
      <c r="E261" s="94">
        <v>10755</v>
      </c>
      <c r="F261" s="7">
        <f t="shared" si="19"/>
        <v>5.9749999999999996</v>
      </c>
      <c r="G261" s="5" t="s">
        <v>20</v>
      </c>
      <c r="H261" s="5">
        <v>138</v>
      </c>
      <c r="I261" s="96">
        <f t="shared" si="16"/>
        <v>77.934782608695656</v>
      </c>
      <c r="J261" s="5" t="s">
        <v>21</v>
      </c>
      <c r="K261" s="5" t="s">
        <v>22</v>
      </c>
      <c r="L261" s="5">
        <v>1354946400</v>
      </c>
      <c r="M261" s="5">
        <v>1356588000</v>
      </c>
      <c r="N261" s="8">
        <f t="shared" si="17"/>
        <v>41251.25</v>
      </c>
      <c r="O261" s="8">
        <f t="shared" si="18"/>
        <v>41270.25</v>
      </c>
      <c r="P261" s="21" t="str">
        <f>TEXT(CrowdfundingTable[[#This Row],[date_created]],"ddd")</f>
        <v>Sat</v>
      </c>
      <c r="Q261" s="21">
        <f>_xlfn.DAYS(CrowdfundingTable[[#This Row],[date_ended]],CrowdfundingTable[[#This Row],[date_created]])</f>
        <v>19</v>
      </c>
      <c r="R261" s="5" t="b">
        <v>1</v>
      </c>
      <c r="S261" s="5" t="b">
        <v>0</v>
      </c>
      <c r="T261" s="5" t="s">
        <v>122</v>
      </c>
      <c r="U261" s="5" t="s">
        <v>2037</v>
      </c>
      <c r="V261" s="5" t="s">
        <v>2054</v>
      </c>
      <c r="W261" s="5"/>
    </row>
    <row r="262" spans="1:23" ht="17" x14ac:dyDescent="0.2">
      <c r="A262" s="5">
        <v>260</v>
      </c>
      <c r="B262" s="5" t="s">
        <v>572</v>
      </c>
      <c r="C262" s="6" t="s">
        <v>573</v>
      </c>
      <c r="D262" s="94">
        <v>6300</v>
      </c>
      <c r="E262" s="94">
        <v>9935</v>
      </c>
      <c r="F262" s="7">
        <f t="shared" si="19"/>
        <v>1.5769841269841269</v>
      </c>
      <c r="G262" s="5" t="s">
        <v>20</v>
      </c>
      <c r="H262" s="5">
        <v>261</v>
      </c>
      <c r="I262" s="96">
        <f t="shared" si="16"/>
        <v>38.065134099616856</v>
      </c>
      <c r="J262" s="5" t="s">
        <v>21</v>
      </c>
      <c r="K262" s="5" t="s">
        <v>22</v>
      </c>
      <c r="L262" s="5">
        <v>1348808400</v>
      </c>
      <c r="M262" s="5">
        <v>1349845200</v>
      </c>
      <c r="N262" s="8">
        <f t="shared" si="17"/>
        <v>41180.208333333336</v>
      </c>
      <c r="O262" s="8">
        <f t="shared" si="18"/>
        <v>41192.208333333336</v>
      </c>
      <c r="P262" s="21" t="str">
        <f>TEXT(CrowdfundingTable[[#This Row],[date_created]],"ddd")</f>
        <v>Fri</v>
      </c>
      <c r="Q262" s="21">
        <f>_xlfn.DAYS(CrowdfundingTable[[#This Row],[date_ended]],CrowdfundingTable[[#This Row],[date_created]])</f>
        <v>12</v>
      </c>
      <c r="R262" s="5" t="b">
        <v>0</v>
      </c>
      <c r="S262" s="5" t="b">
        <v>0</v>
      </c>
      <c r="T262" s="5" t="s">
        <v>23</v>
      </c>
      <c r="U262" s="5" t="s">
        <v>2036</v>
      </c>
      <c r="V262" s="5" t="s">
        <v>2057</v>
      </c>
      <c r="W262" s="5"/>
    </row>
    <row r="263" spans="1:23" ht="17" x14ac:dyDescent="0.2">
      <c r="A263" s="5">
        <v>261</v>
      </c>
      <c r="B263" s="5" t="s">
        <v>574</v>
      </c>
      <c r="C263" s="6" t="s">
        <v>575</v>
      </c>
      <c r="D263" s="94">
        <v>84300</v>
      </c>
      <c r="E263" s="94">
        <v>26303</v>
      </c>
      <c r="F263" s="7">
        <f t="shared" si="19"/>
        <v>0.31201660735468567</v>
      </c>
      <c r="G263" s="5" t="s">
        <v>14</v>
      </c>
      <c r="H263" s="5">
        <v>454</v>
      </c>
      <c r="I263" s="96">
        <f t="shared" si="16"/>
        <v>57.936123348017624</v>
      </c>
      <c r="J263" s="5" t="s">
        <v>21</v>
      </c>
      <c r="K263" s="5" t="s">
        <v>22</v>
      </c>
      <c r="L263" s="5">
        <v>1282712400</v>
      </c>
      <c r="M263" s="5">
        <v>1283058000</v>
      </c>
      <c r="N263" s="8">
        <f t="shared" si="17"/>
        <v>40415.208333333336</v>
      </c>
      <c r="O263" s="8">
        <f t="shared" si="18"/>
        <v>40419.208333333336</v>
      </c>
      <c r="P263" s="21" t="str">
        <f>TEXT(CrowdfundingTable[[#This Row],[date_created]],"ddd")</f>
        <v>Wed</v>
      </c>
      <c r="Q263" s="21">
        <f>_xlfn.DAYS(CrowdfundingTable[[#This Row],[date_ended]],CrowdfundingTable[[#This Row],[date_created]])</f>
        <v>4</v>
      </c>
      <c r="R263" s="5" t="b">
        <v>0</v>
      </c>
      <c r="S263" s="5" t="b">
        <v>1</v>
      </c>
      <c r="T263" s="5" t="s">
        <v>23</v>
      </c>
      <c r="U263" s="5" t="s">
        <v>2036</v>
      </c>
      <c r="V263" s="5" t="s">
        <v>2057</v>
      </c>
      <c r="W263" s="5"/>
    </row>
    <row r="264" spans="1:23" ht="17" x14ac:dyDescent="0.2">
      <c r="A264" s="5">
        <v>262</v>
      </c>
      <c r="B264" s="5" t="s">
        <v>576</v>
      </c>
      <c r="C264" s="6" t="s">
        <v>577</v>
      </c>
      <c r="D264" s="94">
        <v>1700</v>
      </c>
      <c r="E264" s="94">
        <v>5328</v>
      </c>
      <c r="F264" s="7">
        <f t="shared" si="19"/>
        <v>3.1341176470588237</v>
      </c>
      <c r="G264" s="5" t="s">
        <v>20</v>
      </c>
      <c r="H264" s="5">
        <v>107</v>
      </c>
      <c r="I264" s="96">
        <f t="shared" si="16"/>
        <v>49.794392523364486</v>
      </c>
      <c r="J264" s="5" t="s">
        <v>21</v>
      </c>
      <c r="K264" s="5" t="s">
        <v>22</v>
      </c>
      <c r="L264" s="5">
        <v>1301979600</v>
      </c>
      <c r="M264" s="5">
        <v>1304226000</v>
      </c>
      <c r="N264" s="8">
        <f t="shared" si="17"/>
        <v>40638.208333333336</v>
      </c>
      <c r="O264" s="8">
        <f t="shared" si="18"/>
        <v>40664.208333333336</v>
      </c>
      <c r="P264" s="21" t="str">
        <f>TEXT(CrowdfundingTable[[#This Row],[date_created]],"ddd")</f>
        <v>Tue</v>
      </c>
      <c r="Q264" s="21">
        <f>_xlfn.DAYS(CrowdfundingTable[[#This Row],[date_ended]],CrowdfundingTable[[#This Row],[date_created]])</f>
        <v>26</v>
      </c>
      <c r="R264" s="5" t="b">
        <v>0</v>
      </c>
      <c r="S264" s="5" t="b">
        <v>1</v>
      </c>
      <c r="T264" s="5" t="s">
        <v>60</v>
      </c>
      <c r="U264" s="5" t="s">
        <v>2036</v>
      </c>
      <c r="V264" s="5" t="s">
        <v>2049</v>
      </c>
      <c r="W264" s="5"/>
    </row>
    <row r="265" spans="1:23" ht="17" x14ac:dyDescent="0.2">
      <c r="A265" s="5">
        <v>263</v>
      </c>
      <c r="B265" s="5" t="s">
        <v>578</v>
      </c>
      <c r="C265" s="6" t="s">
        <v>579</v>
      </c>
      <c r="D265" s="94">
        <v>2900</v>
      </c>
      <c r="E265" s="94">
        <v>10756</v>
      </c>
      <c r="F265" s="7">
        <f t="shared" si="19"/>
        <v>3.7089655172413791</v>
      </c>
      <c r="G265" s="5" t="s">
        <v>20</v>
      </c>
      <c r="H265" s="5">
        <v>199</v>
      </c>
      <c r="I265" s="96">
        <f t="shared" si="16"/>
        <v>54.050251256281406</v>
      </c>
      <c r="J265" s="5" t="s">
        <v>21</v>
      </c>
      <c r="K265" s="5" t="s">
        <v>22</v>
      </c>
      <c r="L265" s="5">
        <v>1263016800</v>
      </c>
      <c r="M265" s="5">
        <v>1263016800</v>
      </c>
      <c r="N265" s="8">
        <f t="shared" si="17"/>
        <v>40187.25</v>
      </c>
      <c r="O265" s="8">
        <f t="shared" si="18"/>
        <v>40187.25</v>
      </c>
      <c r="P265" s="21" t="str">
        <f>TEXT(CrowdfundingTable[[#This Row],[date_created]],"ddd")</f>
        <v>Sat</v>
      </c>
      <c r="Q265" s="21">
        <f>_xlfn.DAYS(CrowdfundingTable[[#This Row],[date_ended]],CrowdfundingTable[[#This Row],[date_created]])</f>
        <v>0</v>
      </c>
      <c r="R265" s="5" t="b">
        <v>0</v>
      </c>
      <c r="S265" s="5" t="b">
        <v>0</v>
      </c>
      <c r="T265" s="5" t="s">
        <v>122</v>
      </c>
      <c r="U265" s="5" t="s">
        <v>2037</v>
      </c>
      <c r="V265" s="5" t="s">
        <v>2054</v>
      </c>
      <c r="W265" s="5"/>
    </row>
    <row r="266" spans="1:23" ht="17" x14ac:dyDescent="0.2">
      <c r="A266" s="5">
        <v>264</v>
      </c>
      <c r="B266" s="5" t="s">
        <v>580</v>
      </c>
      <c r="C266" s="6" t="s">
        <v>581</v>
      </c>
      <c r="D266" s="94">
        <v>45600</v>
      </c>
      <c r="E266" s="94">
        <v>165375</v>
      </c>
      <c r="F266" s="7">
        <f t="shared" si="19"/>
        <v>3.6266447368421053</v>
      </c>
      <c r="G266" s="5" t="s">
        <v>20</v>
      </c>
      <c r="H266" s="5">
        <v>5512</v>
      </c>
      <c r="I266" s="96">
        <f t="shared" si="16"/>
        <v>30.002721335268504</v>
      </c>
      <c r="J266" s="5" t="s">
        <v>21</v>
      </c>
      <c r="K266" s="5" t="s">
        <v>22</v>
      </c>
      <c r="L266" s="5">
        <v>1360648800</v>
      </c>
      <c r="M266" s="5">
        <v>1362031200</v>
      </c>
      <c r="N266" s="8">
        <f t="shared" si="17"/>
        <v>41317.25</v>
      </c>
      <c r="O266" s="8">
        <f t="shared" si="18"/>
        <v>41333.25</v>
      </c>
      <c r="P266" s="21" t="str">
        <f>TEXT(CrowdfundingTable[[#This Row],[date_created]],"ddd")</f>
        <v>Tue</v>
      </c>
      <c r="Q266" s="21">
        <f>_xlfn.DAYS(CrowdfundingTable[[#This Row],[date_ended]],CrowdfundingTable[[#This Row],[date_created]])</f>
        <v>16</v>
      </c>
      <c r="R266" s="5" t="b">
        <v>0</v>
      </c>
      <c r="S266" s="5" t="b">
        <v>0</v>
      </c>
      <c r="T266" s="5" t="s">
        <v>33</v>
      </c>
      <c r="U266" s="5" t="s">
        <v>2040</v>
      </c>
      <c r="V266" s="5" t="s">
        <v>2055</v>
      </c>
      <c r="W266" s="5"/>
    </row>
    <row r="267" spans="1:23" ht="17" x14ac:dyDescent="0.2">
      <c r="A267" s="5">
        <v>265</v>
      </c>
      <c r="B267" s="5" t="s">
        <v>582</v>
      </c>
      <c r="C267" s="6" t="s">
        <v>583</v>
      </c>
      <c r="D267" s="94">
        <v>4900</v>
      </c>
      <c r="E267" s="94">
        <v>6031</v>
      </c>
      <c r="F267" s="7">
        <f t="shared" si="19"/>
        <v>1.2308163265306122</v>
      </c>
      <c r="G267" s="5" t="s">
        <v>20</v>
      </c>
      <c r="H267" s="5">
        <v>86</v>
      </c>
      <c r="I267" s="96">
        <f t="shared" si="16"/>
        <v>70.127906976744185</v>
      </c>
      <c r="J267" s="5" t="s">
        <v>21</v>
      </c>
      <c r="K267" s="5" t="s">
        <v>22</v>
      </c>
      <c r="L267" s="5">
        <v>1451800800</v>
      </c>
      <c r="M267" s="5">
        <v>1455602400</v>
      </c>
      <c r="N267" s="8">
        <f t="shared" si="17"/>
        <v>42372.25</v>
      </c>
      <c r="O267" s="8">
        <f t="shared" si="18"/>
        <v>42416.25</v>
      </c>
      <c r="P267" s="21" t="str">
        <f>TEXT(CrowdfundingTable[[#This Row],[date_created]],"ddd")</f>
        <v>Sun</v>
      </c>
      <c r="Q267" s="21">
        <f>_xlfn.DAYS(CrowdfundingTable[[#This Row],[date_ended]],CrowdfundingTable[[#This Row],[date_created]])</f>
        <v>44</v>
      </c>
      <c r="R267" s="5" t="b">
        <v>0</v>
      </c>
      <c r="S267" s="5" t="b">
        <v>0</v>
      </c>
      <c r="T267" s="5" t="s">
        <v>33</v>
      </c>
      <c r="U267" s="5" t="s">
        <v>2040</v>
      </c>
      <c r="V267" s="5" t="s">
        <v>2055</v>
      </c>
      <c r="W267" s="5"/>
    </row>
    <row r="268" spans="1:23" ht="17" x14ac:dyDescent="0.2">
      <c r="A268" s="5">
        <v>266</v>
      </c>
      <c r="B268" s="5" t="s">
        <v>584</v>
      </c>
      <c r="C268" s="6" t="s">
        <v>585</v>
      </c>
      <c r="D268" s="94">
        <v>111900</v>
      </c>
      <c r="E268" s="94">
        <v>85902</v>
      </c>
      <c r="F268" s="7">
        <f t="shared" si="19"/>
        <v>0.76766756032171579</v>
      </c>
      <c r="G268" s="5" t="s">
        <v>14</v>
      </c>
      <c r="H268" s="5">
        <v>3182</v>
      </c>
      <c r="I268" s="96">
        <f t="shared" si="16"/>
        <v>26.996228786926462</v>
      </c>
      <c r="J268" s="5" t="s">
        <v>107</v>
      </c>
      <c r="K268" s="5" t="s">
        <v>108</v>
      </c>
      <c r="L268" s="5">
        <v>1415340000</v>
      </c>
      <c r="M268" s="5">
        <v>1418191200</v>
      </c>
      <c r="N268" s="8">
        <f t="shared" si="17"/>
        <v>41950.25</v>
      </c>
      <c r="O268" s="8">
        <f t="shared" si="18"/>
        <v>41983.25</v>
      </c>
      <c r="P268" s="21" t="str">
        <f>TEXT(CrowdfundingTable[[#This Row],[date_created]],"ddd")</f>
        <v>Fri</v>
      </c>
      <c r="Q268" s="21">
        <f>_xlfn.DAYS(CrowdfundingTable[[#This Row],[date_ended]],CrowdfundingTable[[#This Row],[date_created]])</f>
        <v>33</v>
      </c>
      <c r="R268" s="5" t="b">
        <v>0</v>
      </c>
      <c r="S268" s="5" t="b">
        <v>1</v>
      </c>
      <c r="T268" s="5" t="s">
        <v>159</v>
      </c>
      <c r="U268" s="5" t="s">
        <v>2036</v>
      </c>
      <c r="V268" s="5" t="s">
        <v>2050</v>
      </c>
      <c r="W268" s="5"/>
    </row>
    <row r="269" spans="1:23" ht="17" x14ac:dyDescent="0.2">
      <c r="A269" s="5">
        <v>267</v>
      </c>
      <c r="B269" s="5" t="s">
        <v>586</v>
      </c>
      <c r="C269" s="6" t="s">
        <v>587</v>
      </c>
      <c r="D269" s="94">
        <v>61600</v>
      </c>
      <c r="E269" s="94">
        <v>143910</v>
      </c>
      <c r="F269" s="7">
        <f t="shared" si="19"/>
        <v>2.3362012987012988</v>
      </c>
      <c r="G269" s="5" t="s">
        <v>20</v>
      </c>
      <c r="H269" s="5">
        <v>2768</v>
      </c>
      <c r="I269" s="96">
        <f t="shared" si="16"/>
        <v>51.990606936416185</v>
      </c>
      <c r="J269" s="5" t="s">
        <v>26</v>
      </c>
      <c r="K269" s="5" t="s">
        <v>27</v>
      </c>
      <c r="L269" s="5">
        <v>1351054800</v>
      </c>
      <c r="M269" s="5">
        <v>1352440800</v>
      </c>
      <c r="N269" s="8">
        <f t="shared" si="17"/>
        <v>41206.208333333336</v>
      </c>
      <c r="O269" s="8">
        <f t="shared" si="18"/>
        <v>41222.25</v>
      </c>
      <c r="P269" s="21" t="str">
        <f>TEXT(CrowdfundingTable[[#This Row],[date_created]],"ddd")</f>
        <v>Wed</v>
      </c>
      <c r="Q269" s="21">
        <f>_xlfn.DAYS(CrowdfundingTable[[#This Row],[date_ended]],CrowdfundingTable[[#This Row],[date_created]])</f>
        <v>16</v>
      </c>
      <c r="R269" s="5" t="b">
        <v>0</v>
      </c>
      <c r="S269" s="5" t="b">
        <v>0</v>
      </c>
      <c r="T269" s="5" t="s">
        <v>33</v>
      </c>
      <c r="U269" s="5" t="s">
        <v>2040</v>
      </c>
      <c r="V269" s="5" t="s">
        <v>2055</v>
      </c>
      <c r="W269" s="5"/>
    </row>
    <row r="270" spans="1:23" ht="17" x14ac:dyDescent="0.2">
      <c r="A270" s="5">
        <v>268</v>
      </c>
      <c r="B270" s="5" t="s">
        <v>588</v>
      </c>
      <c r="C270" s="6" t="s">
        <v>589</v>
      </c>
      <c r="D270" s="94">
        <v>1500</v>
      </c>
      <c r="E270" s="94">
        <v>2708</v>
      </c>
      <c r="F270" s="7">
        <f t="shared" si="19"/>
        <v>1.8053333333333332</v>
      </c>
      <c r="G270" s="5" t="s">
        <v>20</v>
      </c>
      <c r="H270" s="5">
        <v>48</v>
      </c>
      <c r="I270" s="96">
        <f t="shared" si="16"/>
        <v>56.416666666666664</v>
      </c>
      <c r="J270" s="5" t="s">
        <v>21</v>
      </c>
      <c r="K270" s="5" t="s">
        <v>22</v>
      </c>
      <c r="L270" s="5">
        <v>1349326800</v>
      </c>
      <c r="M270" s="5">
        <v>1353304800</v>
      </c>
      <c r="N270" s="8">
        <f t="shared" si="17"/>
        <v>41186.208333333336</v>
      </c>
      <c r="O270" s="8">
        <f t="shared" si="18"/>
        <v>41232.25</v>
      </c>
      <c r="P270" s="21" t="str">
        <f>TEXT(CrowdfundingTable[[#This Row],[date_created]],"ddd")</f>
        <v>Thu</v>
      </c>
      <c r="Q270" s="21">
        <f>_xlfn.DAYS(CrowdfundingTable[[#This Row],[date_ended]],CrowdfundingTable[[#This Row],[date_created]])</f>
        <v>46</v>
      </c>
      <c r="R270" s="5" t="b">
        <v>0</v>
      </c>
      <c r="S270" s="5" t="b">
        <v>0</v>
      </c>
      <c r="T270" s="5" t="s">
        <v>42</v>
      </c>
      <c r="U270" s="5" t="s">
        <v>2032</v>
      </c>
      <c r="V270" s="5" t="s">
        <v>2044</v>
      </c>
      <c r="W270" s="5"/>
    </row>
    <row r="271" spans="1:23" ht="17" x14ac:dyDescent="0.2">
      <c r="A271" s="5">
        <v>269</v>
      </c>
      <c r="B271" s="5" t="s">
        <v>590</v>
      </c>
      <c r="C271" s="6" t="s">
        <v>591</v>
      </c>
      <c r="D271" s="94">
        <v>3500</v>
      </c>
      <c r="E271" s="94">
        <v>8842</v>
      </c>
      <c r="F271" s="7">
        <f t="shared" si="19"/>
        <v>2.5262857142857142</v>
      </c>
      <c r="G271" s="5" t="s">
        <v>20</v>
      </c>
      <c r="H271" s="5">
        <v>87</v>
      </c>
      <c r="I271" s="96">
        <f t="shared" si="16"/>
        <v>101.63218390804597</v>
      </c>
      <c r="J271" s="5" t="s">
        <v>21</v>
      </c>
      <c r="K271" s="5" t="s">
        <v>22</v>
      </c>
      <c r="L271" s="5">
        <v>1548914400</v>
      </c>
      <c r="M271" s="5">
        <v>1550728800</v>
      </c>
      <c r="N271" s="8">
        <f t="shared" si="17"/>
        <v>43496.25</v>
      </c>
      <c r="O271" s="8">
        <f t="shared" si="18"/>
        <v>43517.25</v>
      </c>
      <c r="P271" s="21" t="str">
        <f>TEXT(CrowdfundingTable[[#This Row],[date_created]],"ddd")</f>
        <v>Thu</v>
      </c>
      <c r="Q271" s="21">
        <f>_xlfn.DAYS(CrowdfundingTable[[#This Row],[date_ended]],CrowdfundingTable[[#This Row],[date_created]])</f>
        <v>21</v>
      </c>
      <c r="R271" s="5" t="b">
        <v>0</v>
      </c>
      <c r="S271" s="5" t="b">
        <v>0</v>
      </c>
      <c r="T271" s="5" t="s">
        <v>269</v>
      </c>
      <c r="U271" s="5" t="s">
        <v>2032</v>
      </c>
      <c r="V271" s="5" t="s">
        <v>2060</v>
      </c>
      <c r="W271" s="5"/>
    </row>
    <row r="272" spans="1:23" ht="17" x14ac:dyDescent="0.2">
      <c r="A272" s="5">
        <v>270</v>
      </c>
      <c r="B272" s="5" t="s">
        <v>592</v>
      </c>
      <c r="C272" s="6" t="s">
        <v>593</v>
      </c>
      <c r="D272" s="94">
        <v>173900</v>
      </c>
      <c r="E272" s="94">
        <v>47260</v>
      </c>
      <c r="F272" s="7">
        <f t="shared" si="19"/>
        <v>0.27176538240368026</v>
      </c>
      <c r="G272" s="5" t="s">
        <v>74</v>
      </c>
      <c r="H272" s="5">
        <v>1890</v>
      </c>
      <c r="I272" s="96">
        <f t="shared" si="16"/>
        <v>25.005291005291006</v>
      </c>
      <c r="J272" s="5" t="s">
        <v>21</v>
      </c>
      <c r="K272" s="5" t="s">
        <v>22</v>
      </c>
      <c r="L272" s="5">
        <v>1291269600</v>
      </c>
      <c r="M272" s="5">
        <v>1291442400</v>
      </c>
      <c r="N272" s="8">
        <f t="shared" si="17"/>
        <v>40514.25</v>
      </c>
      <c r="O272" s="8">
        <f t="shared" si="18"/>
        <v>40516.25</v>
      </c>
      <c r="P272" s="21" t="str">
        <f>TEXT(CrowdfundingTable[[#This Row],[date_created]],"ddd")</f>
        <v>Thu</v>
      </c>
      <c r="Q272" s="21">
        <f>_xlfn.DAYS(CrowdfundingTable[[#This Row],[date_ended]],CrowdfundingTable[[#This Row],[date_created]])</f>
        <v>2</v>
      </c>
      <c r="R272" s="5" t="b">
        <v>0</v>
      </c>
      <c r="S272" s="5" t="b">
        <v>0</v>
      </c>
      <c r="T272" s="5" t="s">
        <v>89</v>
      </c>
      <c r="U272" s="5" t="s">
        <v>2034</v>
      </c>
      <c r="V272" s="5" t="s">
        <v>2062</v>
      </c>
      <c r="W272" s="5"/>
    </row>
    <row r="273" spans="1:23" ht="17" x14ac:dyDescent="0.2">
      <c r="A273" s="5">
        <v>271</v>
      </c>
      <c r="B273" s="5" t="s">
        <v>594</v>
      </c>
      <c r="C273" s="6" t="s">
        <v>595</v>
      </c>
      <c r="D273" s="94">
        <v>153700</v>
      </c>
      <c r="E273" s="94">
        <v>1953</v>
      </c>
      <c r="F273" s="7">
        <f t="shared" si="19"/>
        <v>1.2706571242680547E-2</v>
      </c>
      <c r="G273" s="5" t="s">
        <v>47</v>
      </c>
      <c r="H273" s="5">
        <v>61</v>
      </c>
      <c r="I273" s="96">
        <f t="shared" si="16"/>
        <v>32.016393442622949</v>
      </c>
      <c r="J273" s="5" t="s">
        <v>21</v>
      </c>
      <c r="K273" s="5" t="s">
        <v>22</v>
      </c>
      <c r="L273" s="5">
        <v>1449468000</v>
      </c>
      <c r="M273" s="5">
        <v>1452146400</v>
      </c>
      <c r="N273" s="8">
        <f t="shared" si="17"/>
        <v>42345.25</v>
      </c>
      <c r="O273" s="8">
        <f t="shared" si="18"/>
        <v>42376.25</v>
      </c>
      <c r="P273" s="21" t="str">
        <f>TEXT(CrowdfundingTable[[#This Row],[date_created]],"ddd")</f>
        <v>Mon</v>
      </c>
      <c r="Q273" s="21">
        <f>_xlfn.DAYS(CrowdfundingTable[[#This Row],[date_ended]],CrowdfundingTable[[#This Row],[date_created]])</f>
        <v>31</v>
      </c>
      <c r="R273" s="5" t="b">
        <v>0</v>
      </c>
      <c r="S273" s="5" t="b">
        <v>0</v>
      </c>
      <c r="T273" s="5" t="s">
        <v>122</v>
      </c>
      <c r="U273" s="5" t="s">
        <v>2037</v>
      </c>
      <c r="V273" s="5" t="s">
        <v>2054</v>
      </c>
      <c r="W273" s="5"/>
    </row>
    <row r="274" spans="1:23" ht="17" x14ac:dyDescent="0.2">
      <c r="A274" s="5">
        <v>272</v>
      </c>
      <c r="B274" s="5" t="s">
        <v>596</v>
      </c>
      <c r="C274" s="6" t="s">
        <v>597</v>
      </c>
      <c r="D274" s="94">
        <v>51100</v>
      </c>
      <c r="E274" s="94">
        <v>155349</v>
      </c>
      <c r="F274" s="7">
        <f t="shared" si="19"/>
        <v>3.0400978473581213</v>
      </c>
      <c r="G274" s="5" t="s">
        <v>20</v>
      </c>
      <c r="H274" s="5">
        <v>1894</v>
      </c>
      <c r="I274" s="96">
        <f t="shared" si="16"/>
        <v>82.021647307286173</v>
      </c>
      <c r="J274" s="5" t="s">
        <v>21</v>
      </c>
      <c r="K274" s="5" t="s">
        <v>22</v>
      </c>
      <c r="L274" s="5">
        <v>1562734800</v>
      </c>
      <c r="M274" s="5">
        <v>1564894800</v>
      </c>
      <c r="N274" s="8">
        <f t="shared" si="17"/>
        <v>43656.208333333328</v>
      </c>
      <c r="O274" s="8">
        <f t="shared" si="18"/>
        <v>43681.208333333328</v>
      </c>
      <c r="P274" s="21" t="str">
        <f>TEXT(CrowdfundingTable[[#This Row],[date_created]],"ddd")</f>
        <v>Wed</v>
      </c>
      <c r="Q274" s="21">
        <f>_xlfn.DAYS(CrowdfundingTable[[#This Row],[date_ended]],CrowdfundingTable[[#This Row],[date_created]])</f>
        <v>25</v>
      </c>
      <c r="R274" s="5" t="b">
        <v>0</v>
      </c>
      <c r="S274" s="5" t="b">
        <v>1</v>
      </c>
      <c r="T274" s="5" t="s">
        <v>33</v>
      </c>
      <c r="U274" s="5" t="s">
        <v>2040</v>
      </c>
      <c r="V274" s="5" t="s">
        <v>2055</v>
      </c>
      <c r="W274" s="5"/>
    </row>
    <row r="275" spans="1:23" ht="17" x14ac:dyDescent="0.2">
      <c r="A275" s="5">
        <v>273</v>
      </c>
      <c r="B275" s="5" t="s">
        <v>598</v>
      </c>
      <c r="C275" s="6" t="s">
        <v>599</v>
      </c>
      <c r="D275" s="94">
        <v>7800</v>
      </c>
      <c r="E275" s="94">
        <v>10704</v>
      </c>
      <c r="F275" s="7">
        <f t="shared" si="19"/>
        <v>1.3723076923076922</v>
      </c>
      <c r="G275" s="5" t="s">
        <v>20</v>
      </c>
      <c r="H275" s="5">
        <v>282</v>
      </c>
      <c r="I275" s="96">
        <f t="shared" si="16"/>
        <v>37.957446808510639</v>
      </c>
      <c r="J275" s="5" t="s">
        <v>15</v>
      </c>
      <c r="K275" s="5" t="s">
        <v>16</v>
      </c>
      <c r="L275" s="5">
        <v>1505624400</v>
      </c>
      <c r="M275" s="5">
        <v>1505883600</v>
      </c>
      <c r="N275" s="8">
        <f t="shared" si="17"/>
        <v>42995.208333333328</v>
      </c>
      <c r="O275" s="8">
        <f t="shared" si="18"/>
        <v>42998.208333333328</v>
      </c>
      <c r="P275" s="21" t="str">
        <f>TEXT(CrowdfundingTable[[#This Row],[date_created]],"ddd")</f>
        <v>Sun</v>
      </c>
      <c r="Q275" s="21">
        <f>_xlfn.DAYS(CrowdfundingTable[[#This Row],[date_ended]],CrowdfundingTable[[#This Row],[date_created]])</f>
        <v>3</v>
      </c>
      <c r="R275" s="5" t="b">
        <v>0</v>
      </c>
      <c r="S275" s="5" t="b">
        <v>0</v>
      </c>
      <c r="T275" s="5" t="s">
        <v>33</v>
      </c>
      <c r="U275" s="5" t="s">
        <v>2040</v>
      </c>
      <c r="V275" s="5" t="s">
        <v>2055</v>
      </c>
      <c r="W275" s="5"/>
    </row>
    <row r="276" spans="1:23" ht="34" x14ac:dyDescent="0.2">
      <c r="A276" s="5">
        <v>274</v>
      </c>
      <c r="B276" s="5" t="s">
        <v>600</v>
      </c>
      <c r="C276" s="6" t="s">
        <v>601</v>
      </c>
      <c r="D276" s="94">
        <v>2400</v>
      </c>
      <c r="E276" s="94">
        <v>773</v>
      </c>
      <c r="F276" s="7">
        <f t="shared" si="19"/>
        <v>0.32208333333333333</v>
      </c>
      <c r="G276" s="5" t="s">
        <v>14</v>
      </c>
      <c r="H276" s="5">
        <v>15</v>
      </c>
      <c r="I276" s="96">
        <f t="shared" si="16"/>
        <v>51.533333333333331</v>
      </c>
      <c r="J276" s="5" t="s">
        <v>21</v>
      </c>
      <c r="K276" s="5" t="s">
        <v>22</v>
      </c>
      <c r="L276" s="5">
        <v>1509948000</v>
      </c>
      <c r="M276" s="5">
        <v>1510380000</v>
      </c>
      <c r="N276" s="8">
        <f t="shared" si="17"/>
        <v>43045.25</v>
      </c>
      <c r="O276" s="8">
        <f t="shared" si="18"/>
        <v>43050.25</v>
      </c>
      <c r="P276" s="21" t="str">
        <f>TEXT(CrowdfundingTable[[#This Row],[date_created]],"ddd")</f>
        <v>Mon</v>
      </c>
      <c r="Q276" s="21">
        <f>_xlfn.DAYS(CrowdfundingTable[[#This Row],[date_ended]],CrowdfundingTable[[#This Row],[date_created]])</f>
        <v>5</v>
      </c>
      <c r="R276" s="5" t="b">
        <v>0</v>
      </c>
      <c r="S276" s="5" t="b">
        <v>0</v>
      </c>
      <c r="T276" s="5" t="s">
        <v>33</v>
      </c>
      <c r="U276" s="5" t="s">
        <v>2040</v>
      </c>
      <c r="V276" s="5" t="s">
        <v>2055</v>
      </c>
      <c r="W276" s="5"/>
    </row>
    <row r="277" spans="1:23" ht="34" x14ac:dyDescent="0.2">
      <c r="A277" s="5">
        <v>275</v>
      </c>
      <c r="B277" s="5" t="s">
        <v>602</v>
      </c>
      <c r="C277" s="6" t="s">
        <v>603</v>
      </c>
      <c r="D277" s="94">
        <v>3900</v>
      </c>
      <c r="E277" s="94">
        <v>9419</v>
      </c>
      <c r="F277" s="7">
        <f t="shared" si="19"/>
        <v>2.4151282051282053</v>
      </c>
      <c r="G277" s="5" t="s">
        <v>20</v>
      </c>
      <c r="H277" s="5">
        <v>116</v>
      </c>
      <c r="I277" s="96">
        <f t="shared" si="16"/>
        <v>81.198275862068968</v>
      </c>
      <c r="J277" s="5" t="s">
        <v>21</v>
      </c>
      <c r="K277" s="5" t="s">
        <v>22</v>
      </c>
      <c r="L277" s="5">
        <v>1554526800</v>
      </c>
      <c r="M277" s="5">
        <v>1555218000</v>
      </c>
      <c r="N277" s="8">
        <f t="shared" si="17"/>
        <v>43561.208333333328</v>
      </c>
      <c r="O277" s="8">
        <f t="shared" si="18"/>
        <v>43569.208333333328</v>
      </c>
      <c r="P277" s="21" t="str">
        <f>TEXT(CrowdfundingTable[[#This Row],[date_created]],"ddd")</f>
        <v>Sat</v>
      </c>
      <c r="Q277" s="21">
        <f>_xlfn.DAYS(CrowdfundingTable[[#This Row],[date_ended]],CrowdfundingTable[[#This Row],[date_created]])</f>
        <v>8</v>
      </c>
      <c r="R277" s="5" t="b">
        <v>0</v>
      </c>
      <c r="S277" s="5" t="b">
        <v>0</v>
      </c>
      <c r="T277" s="5" t="s">
        <v>206</v>
      </c>
      <c r="U277" s="5" t="s">
        <v>2038</v>
      </c>
      <c r="V277" s="5" t="s">
        <v>2061</v>
      </c>
      <c r="W277" s="5"/>
    </row>
    <row r="278" spans="1:23" ht="17" x14ac:dyDescent="0.2">
      <c r="A278" s="5">
        <v>276</v>
      </c>
      <c r="B278" s="5" t="s">
        <v>604</v>
      </c>
      <c r="C278" s="6" t="s">
        <v>605</v>
      </c>
      <c r="D278" s="94">
        <v>5500</v>
      </c>
      <c r="E278" s="94">
        <v>5324</v>
      </c>
      <c r="F278" s="7">
        <f t="shared" si="19"/>
        <v>0.96799999999999997</v>
      </c>
      <c r="G278" s="5" t="s">
        <v>14</v>
      </c>
      <c r="H278" s="5">
        <v>133</v>
      </c>
      <c r="I278" s="96">
        <f t="shared" si="16"/>
        <v>40.030075187969928</v>
      </c>
      <c r="J278" s="5" t="s">
        <v>21</v>
      </c>
      <c r="K278" s="5" t="s">
        <v>22</v>
      </c>
      <c r="L278" s="5">
        <v>1334811600</v>
      </c>
      <c r="M278" s="5">
        <v>1335243600</v>
      </c>
      <c r="N278" s="8">
        <f t="shared" si="17"/>
        <v>41018.208333333336</v>
      </c>
      <c r="O278" s="8">
        <f t="shared" si="18"/>
        <v>41023.208333333336</v>
      </c>
      <c r="P278" s="21" t="str">
        <f>TEXT(CrowdfundingTable[[#This Row],[date_created]],"ddd")</f>
        <v>Thu</v>
      </c>
      <c r="Q278" s="21">
        <f>_xlfn.DAYS(CrowdfundingTable[[#This Row],[date_ended]],CrowdfundingTable[[#This Row],[date_created]])</f>
        <v>5</v>
      </c>
      <c r="R278" s="5" t="b">
        <v>0</v>
      </c>
      <c r="S278" s="5" t="b">
        <v>1</v>
      </c>
      <c r="T278" s="5" t="s">
        <v>89</v>
      </c>
      <c r="U278" s="5" t="s">
        <v>2034</v>
      </c>
      <c r="V278" s="5" t="s">
        <v>2062</v>
      </c>
      <c r="W278" s="5"/>
    </row>
    <row r="279" spans="1:23" ht="34" x14ac:dyDescent="0.2">
      <c r="A279" s="5">
        <v>277</v>
      </c>
      <c r="B279" s="5" t="s">
        <v>606</v>
      </c>
      <c r="C279" s="6" t="s">
        <v>607</v>
      </c>
      <c r="D279" s="94">
        <v>700</v>
      </c>
      <c r="E279" s="94">
        <v>7465</v>
      </c>
      <c r="F279" s="7">
        <f t="shared" si="19"/>
        <v>10.664285714285715</v>
      </c>
      <c r="G279" s="5" t="s">
        <v>20</v>
      </c>
      <c r="H279" s="5">
        <v>83</v>
      </c>
      <c r="I279" s="96">
        <f t="shared" si="16"/>
        <v>89.939759036144579</v>
      </c>
      <c r="J279" s="5" t="s">
        <v>21</v>
      </c>
      <c r="K279" s="5" t="s">
        <v>22</v>
      </c>
      <c r="L279" s="5">
        <v>1279515600</v>
      </c>
      <c r="M279" s="5">
        <v>1279688400</v>
      </c>
      <c r="N279" s="8">
        <f t="shared" si="17"/>
        <v>40378.208333333336</v>
      </c>
      <c r="O279" s="8">
        <f t="shared" si="18"/>
        <v>40380.208333333336</v>
      </c>
      <c r="P279" s="21" t="str">
        <f>TEXT(CrowdfundingTable[[#This Row],[date_created]],"ddd")</f>
        <v>Mon</v>
      </c>
      <c r="Q279" s="21">
        <f>_xlfn.DAYS(CrowdfundingTable[[#This Row],[date_ended]],CrowdfundingTable[[#This Row],[date_created]])</f>
        <v>2</v>
      </c>
      <c r="R279" s="5" t="b">
        <v>0</v>
      </c>
      <c r="S279" s="5" t="b">
        <v>0</v>
      </c>
      <c r="T279" s="5" t="s">
        <v>33</v>
      </c>
      <c r="U279" s="5" t="s">
        <v>2040</v>
      </c>
      <c r="V279" s="5" t="s">
        <v>2055</v>
      </c>
      <c r="W279" s="5"/>
    </row>
    <row r="280" spans="1:23" ht="17" x14ac:dyDescent="0.2">
      <c r="A280" s="5">
        <v>278</v>
      </c>
      <c r="B280" s="5" t="s">
        <v>608</v>
      </c>
      <c r="C280" s="6" t="s">
        <v>609</v>
      </c>
      <c r="D280" s="94">
        <v>2700</v>
      </c>
      <c r="E280" s="94">
        <v>8799</v>
      </c>
      <c r="F280" s="7">
        <f t="shared" si="19"/>
        <v>3.2588888888888889</v>
      </c>
      <c r="G280" s="5" t="s">
        <v>20</v>
      </c>
      <c r="H280" s="5">
        <v>91</v>
      </c>
      <c r="I280" s="96">
        <f t="shared" si="16"/>
        <v>96.692307692307693</v>
      </c>
      <c r="J280" s="5" t="s">
        <v>21</v>
      </c>
      <c r="K280" s="5" t="s">
        <v>22</v>
      </c>
      <c r="L280" s="5">
        <v>1353909600</v>
      </c>
      <c r="M280" s="5">
        <v>1356069600</v>
      </c>
      <c r="N280" s="8">
        <f t="shared" si="17"/>
        <v>41239.25</v>
      </c>
      <c r="O280" s="8">
        <f t="shared" si="18"/>
        <v>41264.25</v>
      </c>
      <c r="P280" s="21" t="str">
        <f>TEXT(CrowdfundingTable[[#This Row],[date_created]],"ddd")</f>
        <v>Mon</v>
      </c>
      <c r="Q280" s="21">
        <f>_xlfn.DAYS(CrowdfundingTable[[#This Row],[date_ended]],CrowdfundingTable[[#This Row],[date_created]])</f>
        <v>25</v>
      </c>
      <c r="R280" s="5" t="b">
        <v>0</v>
      </c>
      <c r="S280" s="5" t="b">
        <v>0</v>
      </c>
      <c r="T280" s="5" t="s">
        <v>28</v>
      </c>
      <c r="U280" s="5" t="s">
        <v>2039</v>
      </c>
      <c r="V280" s="5" t="s">
        <v>2064</v>
      </c>
      <c r="W280" s="5"/>
    </row>
    <row r="281" spans="1:23" ht="17" x14ac:dyDescent="0.2">
      <c r="A281" s="5">
        <v>279</v>
      </c>
      <c r="B281" s="5" t="s">
        <v>610</v>
      </c>
      <c r="C281" s="6" t="s">
        <v>611</v>
      </c>
      <c r="D281" s="94">
        <v>8000</v>
      </c>
      <c r="E281" s="94">
        <v>13656</v>
      </c>
      <c r="F281" s="7">
        <f t="shared" si="19"/>
        <v>1.7070000000000001</v>
      </c>
      <c r="G281" s="5" t="s">
        <v>20</v>
      </c>
      <c r="H281" s="5">
        <v>546</v>
      </c>
      <c r="I281" s="96">
        <f t="shared" si="16"/>
        <v>25.010989010989011</v>
      </c>
      <c r="J281" s="5" t="s">
        <v>21</v>
      </c>
      <c r="K281" s="5" t="s">
        <v>22</v>
      </c>
      <c r="L281" s="5">
        <v>1535950800</v>
      </c>
      <c r="M281" s="5">
        <v>1536210000</v>
      </c>
      <c r="N281" s="8">
        <f t="shared" si="17"/>
        <v>43346.208333333328</v>
      </c>
      <c r="O281" s="8">
        <f t="shared" si="18"/>
        <v>43349.208333333328</v>
      </c>
      <c r="P281" s="21" t="str">
        <f>TEXT(CrowdfundingTable[[#This Row],[date_created]],"ddd")</f>
        <v>Mon</v>
      </c>
      <c r="Q281" s="21">
        <f>_xlfn.DAYS(CrowdfundingTable[[#This Row],[date_ended]],CrowdfundingTable[[#This Row],[date_created]])</f>
        <v>3</v>
      </c>
      <c r="R281" s="5" t="b">
        <v>0</v>
      </c>
      <c r="S281" s="5" t="b">
        <v>0</v>
      </c>
      <c r="T281" s="5" t="s">
        <v>33</v>
      </c>
      <c r="U281" s="5" t="s">
        <v>2040</v>
      </c>
      <c r="V281" s="5" t="s">
        <v>2055</v>
      </c>
      <c r="W281" s="5"/>
    </row>
    <row r="282" spans="1:23" ht="17" x14ac:dyDescent="0.2">
      <c r="A282" s="5">
        <v>280</v>
      </c>
      <c r="B282" s="5" t="s">
        <v>612</v>
      </c>
      <c r="C282" s="6" t="s">
        <v>613</v>
      </c>
      <c r="D282" s="94">
        <v>2500</v>
      </c>
      <c r="E282" s="94">
        <v>14536</v>
      </c>
      <c r="F282" s="7">
        <f t="shared" si="19"/>
        <v>5.8144</v>
      </c>
      <c r="G282" s="5" t="s">
        <v>20</v>
      </c>
      <c r="H282" s="5">
        <v>393</v>
      </c>
      <c r="I282" s="96">
        <f t="shared" si="16"/>
        <v>36.987277353689571</v>
      </c>
      <c r="J282" s="5" t="s">
        <v>21</v>
      </c>
      <c r="K282" s="5" t="s">
        <v>22</v>
      </c>
      <c r="L282" s="5">
        <v>1511244000</v>
      </c>
      <c r="M282" s="5">
        <v>1511762400</v>
      </c>
      <c r="N282" s="8">
        <f t="shared" si="17"/>
        <v>43060.25</v>
      </c>
      <c r="O282" s="8">
        <f t="shared" si="18"/>
        <v>43066.25</v>
      </c>
      <c r="P282" s="21" t="str">
        <f>TEXT(CrowdfundingTable[[#This Row],[date_created]],"ddd")</f>
        <v>Tue</v>
      </c>
      <c r="Q282" s="21">
        <f>_xlfn.DAYS(CrowdfundingTable[[#This Row],[date_ended]],CrowdfundingTable[[#This Row],[date_created]])</f>
        <v>6</v>
      </c>
      <c r="R282" s="5" t="b">
        <v>0</v>
      </c>
      <c r="S282" s="5" t="b">
        <v>0</v>
      </c>
      <c r="T282" s="5" t="s">
        <v>71</v>
      </c>
      <c r="U282" s="5" t="s">
        <v>2032</v>
      </c>
      <c r="V282" s="5" t="s">
        <v>2042</v>
      </c>
      <c r="W282" s="5"/>
    </row>
    <row r="283" spans="1:23" ht="17" x14ac:dyDescent="0.2">
      <c r="A283" s="5">
        <v>281</v>
      </c>
      <c r="B283" s="5" t="s">
        <v>614</v>
      </c>
      <c r="C283" s="6" t="s">
        <v>615</v>
      </c>
      <c r="D283" s="94">
        <v>164500</v>
      </c>
      <c r="E283" s="94">
        <v>150552</v>
      </c>
      <c r="F283" s="7">
        <f t="shared" si="19"/>
        <v>0.91520972644376897</v>
      </c>
      <c r="G283" s="5" t="s">
        <v>14</v>
      </c>
      <c r="H283" s="5">
        <v>2062</v>
      </c>
      <c r="I283" s="96">
        <f t="shared" si="16"/>
        <v>73.012609117361791</v>
      </c>
      <c r="J283" s="5" t="s">
        <v>21</v>
      </c>
      <c r="K283" s="5" t="s">
        <v>22</v>
      </c>
      <c r="L283" s="5">
        <v>1331445600</v>
      </c>
      <c r="M283" s="5">
        <v>1333256400</v>
      </c>
      <c r="N283" s="8">
        <f t="shared" si="17"/>
        <v>40979.25</v>
      </c>
      <c r="O283" s="8">
        <f t="shared" si="18"/>
        <v>41000.208333333336</v>
      </c>
      <c r="P283" s="21" t="str">
        <f>TEXT(CrowdfundingTable[[#This Row],[date_created]],"ddd")</f>
        <v>Sun</v>
      </c>
      <c r="Q283" s="21">
        <f>_xlfn.DAYS(CrowdfundingTable[[#This Row],[date_ended]],CrowdfundingTable[[#This Row],[date_created]])</f>
        <v>21</v>
      </c>
      <c r="R283" s="5" t="b">
        <v>0</v>
      </c>
      <c r="S283" s="5" t="b">
        <v>1</v>
      </c>
      <c r="T283" s="5" t="s">
        <v>33</v>
      </c>
      <c r="U283" s="5" t="s">
        <v>2040</v>
      </c>
      <c r="V283" s="5" t="s">
        <v>2055</v>
      </c>
      <c r="W283" s="5"/>
    </row>
    <row r="284" spans="1:23" ht="17" x14ac:dyDescent="0.2">
      <c r="A284" s="5">
        <v>282</v>
      </c>
      <c r="B284" s="5" t="s">
        <v>616</v>
      </c>
      <c r="C284" s="6" t="s">
        <v>617</v>
      </c>
      <c r="D284" s="94">
        <v>8400</v>
      </c>
      <c r="E284" s="94">
        <v>9076</v>
      </c>
      <c r="F284" s="7">
        <f t="shared" si="19"/>
        <v>1.0804761904761904</v>
      </c>
      <c r="G284" s="5" t="s">
        <v>20</v>
      </c>
      <c r="H284" s="5">
        <v>133</v>
      </c>
      <c r="I284" s="96">
        <f t="shared" si="16"/>
        <v>68.240601503759393</v>
      </c>
      <c r="J284" s="5" t="s">
        <v>21</v>
      </c>
      <c r="K284" s="5" t="s">
        <v>22</v>
      </c>
      <c r="L284" s="5">
        <v>1480226400</v>
      </c>
      <c r="M284" s="5">
        <v>1480744800</v>
      </c>
      <c r="N284" s="8">
        <f t="shared" si="17"/>
        <v>42701.25</v>
      </c>
      <c r="O284" s="8">
        <f t="shared" si="18"/>
        <v>42707.25</v>
      </c>
      <c r="P284" s="21" t="str">
        <f>TEXT(CrowdfundingTable[[#This Row],[date_created]],"ddd")</f>
        <v>Sun</v>
      </c>
      <c r="Q284" s="21">
        <f>_xlfn.DAYS(CrowdfundingTable[[#This Row],[date_ended]],CrowdfundingTable[[#This Row],[date_created]])</f>
        <v>6</v>
      </c>
      <c r="R284" s="5" t="b">
        <v>0</v>
      </c>
      <c r="S284" s="5" t="b">
        <v>1</v>
      </c>
      <c r="T284" s="5" t="s">
        <v>269</v>
      </c>
      <c r="U284" s="5" t="s">
        <v>2032</v>
      </c>
      <c r="V284" s="5" t="s">
        <v>2060</v>
      </c>
      <c r="W284" s="5"/>
    </row>
    <row r="285" spans="1:23" ht="17" x14ac:dyDescent="0.2">
      <c r="A285" s="5">
        <v>283</v>
      </c>
      <c r="B285" s="5" t="s">
        <v>618</v>
      </c>
      <c r="C285" s="6" t="s">
        <v>619</v>
      </c>
      <c r="D285" s="94">
        <v>8100</v>
      </c>
      <c r="E285" s="94">
        <v>1517</v>
      </c>
      <c r="F285" s="7">
        <f t="shared" si="19"/>
        <v>0.18728395061728395</v>
      </c>
      <c r="G285" s="5" t="s">
        <v>14</v>
      </c>
      <c r="H285" s="5">
        <v>29</v>
      </c>
      <c r="I285" s="96">
        <f t="shared" si="16"/>
        <v>52.310344827586206</v>
      </c>
      <c r="J285" s="5" t="s">
        <v>36</v>
      </c>
      <c r="K285" s="5" t="s">
        <v>37</v>
      </c>
      <c r="L285" s="5">
        <v>1464584400</v>
      </c>
      <c r="M285" s="5">
        <v>1465016400</v>
      </c>
      <c r="N285" s="8">
        <f t="shared" si="17"/>
        <v>42520.208333333328</v>
      </c>
      <c r="O285" s="8">
        <f t="shared" si="18"/>
        <v>42525.208333333328</v>
      </c>
      <c r="P285" s="21" t="str">
        <f>TEXT(CrowdfundingTable[[#This Row],[date_created]],"ddd")</f>
        <v>Mon</v>
      </c>
      <c r="Q285" s="21">
        <f>_xlfn.DAYS(CrowdfundingTable[[#This Row],[date_ended]],CrowdfundingTable[[#This Row],[date_created]])</f>
        <v>5</v>
      </c>
      <c r="R285" s="5" t="b">
        <v>0</v>
      </c>
      <c r="S285" s="5" t="b">
        <v>0</v>
      </c>
      <c r="T285" s="5" t="s">
        <v>23</v>
      </c>
      <c r="U285" s="5" t="s">
        <v>2036</v>
      </c>
      <c r="V285" s="5" t="s">
        <v>2057</v>
      </c>
      <c r="W285" s="5"/>
    </row>
    <row r="286" spans="1:23" ht="17" x14ac:dyDescent="0.2">
      <c r="A286" s="5">
        <v>284</v>
      </c>
      <c r="B286" s="5" t="s">
        <v>620</v>
      </c>
      <c r="C286" s="6" t="s">
        <v>621</v>
      </c>
      <c r="D286" s="94">
        <v>9800</v>
      </c>
      <c r="E286" s="94">
        <v>8153</v>
      </c>
      <c r="F286" s="7">
        <f t="shared" si="19"/>
        <v>0.83193877551020412</v>
      </c>
      <c r="G286" s="5" t="s">
        <v>14</v>
      </c>
      <c r="H286" s="5">
        <v>132</v>
      </c>
      <c r="I286" s="96">
        <f t="shared" si="16"/>
        <v>61.765151515151516</v>
      </c>
      <c r="J286" s="5" t="s">
        <v>21</v>
      </c>
      <c r="K286" s="5" t="s">
        <v>22</v>
      </c>
      <c r="L286" s="5">
        <v>1335848400</v>
      </c>
      <c r="M286" s="5">
        <v>1336280400</v>
      </c>
      <c r="N286" s="8">
        <f t="shared" si="17"/>
        <v>41030.208333333336</v>
      </c>
      <c r="O286" s="8">
        <f t="shared" si="18"/>
        <v>41035.208333333336</v>
      </c>
      <c r="P286" s="21" t="str">
        <f>TEXT(CrowdfundingTable[[#This Row],[date_created]],"ddd")</f>
        <v>Tue</v>
      </c>
      <c r="Q286" s="21">
        <f>_xlfn.DAYS(CrowdfundingTable[[#This Row],[date_ended]],CrowdfundingTable[[#This Row],[date_created]])</f>
        <v>5</v>
      </c>
      <c r="R286" s="5" t="b">
        <v>0</v>
      </c>
      <c r="S286" s="5" t="b">
        <v>0</v>
      </c>
      <c r="T286" s="5" t="s">
        <v>28</v>
      </c>
      <c r="U286" s="5" t="s">
        <v>2039</v>
      </c>
      <c r="V286" s="5" t="s">
        <v>2064</v>
      </c>
      <c r="W286" s="5"/>
    </row>
    <row r="287" spans="1:23" ht="17" x14ac:dyDescent="0.2">
      <c r="A287" s="5">
        <v>285</v>
      </c>
      <c r="B287" s="5" t="s">
        <v>622</v>
      </c>
      <c r="C287" s="6" t="s">
        <v>623</v>
      </c>
      <c r="D287" s="94">
        <v>900</v>
      </c>
      <c r="E287" s="94">
        <v>6357</v>
      </c>
      <c r="F287" s="7">
        <f t="shared" si="19"/>
        <v>7.0633333333333335</v>
      </c>
      <c r="G287" s="5" t="s">
        <v>20</v>
      </c>
      <c r="H287" s="5">
        <v>254</v>
      </c>
      <c r="I287" s="96">
        <f t="shared" si="16"/>
        <v>25.027559055118111</v>
      </c>
      <c r="J287" s="5" t="s">
        <v>21</v>
      </c>
      <c r="K287" s="5" t="s">
        <v>22</v>
      </c>
      <c r="L287" s="5">
        <v>1473483600</v>
      </c>
      <c r="M287" s="5">
        <v>1476766800</v>
      </c>
      <c r="N287" s="8">
        <f t="shared" si="17"/>
        <v>42623.208333333328</v>
      </c>
      <c r="O287" s="8">
        <f t="shared" si="18"/>
        <v>42661.208333333328</v>
      </c>
      <c r="P287" s="21" t="str">
        <f>TEXT(CrowdfundingTable[[#This Row],[date_created]],"ddd")</f>
        <v>Sat</v>
      </c>
      <c r="Q287" s="21">
        <f>_xlfn.DAYS(CrowdfundingTable[[#This Row],[date_ended]],CrowdfundingTable[[#This Row],[date_created]])</f>
        <v>38</v>
      </c>
      <c r="R287" s="5" t="b">
        <v>0</v>
      </c>
      <c r="S287" s="5" t="b">
        <v>0</v>
      </c>
      <c r="T287" s="5" t="s">
        <v>33</v>
      </c>
      <c r="U287" s="5" t="s">
        <v>2040</v>
      </c>
      <c r="V287" s="5" t="s">
        <v>2055</v>
      </c>
      <c r="W287" s="5"/>
    </row>
    <row r="288" spans="1:23" ht="17" x14ac:dyDescent="0.2">
      <c r="A288" s="5">
        <v>286</v>
      </c>
      <c r="B288" s="5" t="s">
        <v>624</v>
      </c>
      <c r="C288" s="6" t="s">
        <v>625</v>
      </c>
      <c r="D288" s="94">
        <v>112100</v>
      </c>
      <c r="E288" s="94">
        <v>19557</v>
      </c>
      <c r="F288" s="7">
        <f t="shared" si="19"/>
        <v>0.17446030330062445</v>
      </c>
      <c r="G288" s="5" t="s">
        <v>74</v>
      </c>
      <c r="H288" s="5">
        <v>184</v>
      </c>
      <c r="I288" s="96">
        <f t="shared" si="16"/>
        <v>106.28804347826087</v>
      </c>
      <c r="J288" s="5" t="s">
        <v>21</v>
      </c>
      <c r="K288" s="5" t="s">
        <v>22</v>
      </c>
      <c r="L288" s="5">
        <v>1479880800</v>
      </c>
      <c r="M288" s="5">
        <v>1480485600</v>
      </c>
      <c r="N288" s="8">
        <f t="shared" si="17"/>
        <v>42697.25</v>
      </c>
      <c r="O288" s="8">
        <f t="shared" si="18"/>
        <v>42704.25</v>
      </c>
      <c r="P288" s="21" t="str">
        <f>TEXT(CrowdfundingTable[[#This Row],[date_created]],"ddd")</f>
        <v>Wed</v>
      </c>
      <c r="Q288" s="21">
        <f>_xlfn.DAYS(CrowdfundingTable[[#This Row],[date_ended]],CrowdfundingTable[[#This Row],[date_created]])</f>
        <v>7</v>
      </c>
      <c r="R288" s="5" t="b">
        <v>0</v>
      </c>
      <c r="S288" s="5" t="b">
        <v>0</v>
      </c>
      <c r="T288" s="5" t="s">
        <v>33</v>
      </c>
      <c r="U288" s="5" t="s">
        <v>2040</v>
      </c>
      <c r="V288" s="5" t="s">
        <v>2055</v>
      </c>
      <c r="W288" s="5"/>
    </row>
    <row r="289" spans="1:23" ht="17" x14ac:dyDescent="0.2">
      <c r="A289" s="5">
        <v>287</v>
      </c>
      <c r="B289" s="5" t="s">
        <v>626</v>
      </c>
      <c r="C289" s="6" t="s">
        <v>627</v>
      </c>
      <c r="D289" s="94">
        <v>6300</v>
      </c>
      <c r="E289" s="94">
        <v>13213</v>
      </c>
      <c r="F289" s="7">
        <f t="shared" si="19"/>
        <v>2.0973015873015872</v>
      </c>
      <c r="G289" s="5" t="s">
        <v>20</v>
      </c>
      <c r="H289" s="5">
        <v>176</v>
      </c>
      <c r="I289" s="96">
        <f t="shared" si="16"/>
        <v>75.07386363636364</v>
      </c>
      <c r="J289" s="5" t="s">
        <v>21</v>
      </c>
      <c r="K289" s="5" t="s">
        <v>22</v>
      </c>
      <c r="L289" s="5">
        <v>1430197200</v>
      </c>
      <c r="M289" s="5">
        <v>1430197200</v>
      </c>
      <c r="N289" s="8">
        <f t="shared" si="17"/>
        <v>42122.208333333328</v>
      </c>
      <c r="O289" s="8">
        <f t="shared" si="18"/>
        <v>42122.208333333328</v>
      </c>
      <c r="P289" s="21" t="str">
        <f>TEXT(CrowdfundingTable[[#This Row],[date_created]],"ddd")</f>
        <v>Tue</v>
      </c>
      <c r="Q289" s="21">
        <f>_xlfn.DAYS(CrowdfundingTable[[#This Row],[date_ended]],CrowdfundingTable[[#This Row],[date_created]])</f>
        <v>0</v>
      </c>
      <c r="R289" s="5" t="b">
        <v>0</v>
      </c>
      <c r="S289" s="5" t="b">
        <v>0</v>
      </c>
      <c r="T289" s="5" t="s">
        <v>50</v>
      </c>
      <c r="U289" s="5" t="s">
        <v>2036</v>
      </c>
      <c r="V289" s="5" t="s">
        <v>2046</v>
      </c>
      <c r="W289" s="5"/>
    </row>
    <row r="290" spans="1:23" ht="17" x14ac:dyDescent="0.2">
      <c r="A290" s="5">
        <v>288</v>
      </c>
      <c r="B290" s="5" t="s">
        <v>628</v>
      </c>
      <c r="C290" s="6" t="s">
        <v>629</v>
      </c>
      <c r="D290" s="94">
        <v>5600</v>
      </c>
      <c r="E290" s="94">
        <v>5476</v>
      </c>
      <c r="F290" s="7">
        <f t="shared" si="19"/>
        <v>0.97785714285714287</v>
      </c>
      <c r="G290" s="5" t="s">
        <v>14</v>
      </c>
      <c r="H290" s="5">
        <v>137</v>
      </c>
      <c r="I290" s="96">
        <f t="shared" si="16"/>
        <v>39.970802919708028</v>
      </c>
      <c r="J290" s="5" t="s">
        <v>36</v>
      </c>
      <c r="K290" s="5" t="s">
        <v>37</v>
      </c>
      <c r="L290" s="5">
        <v>1331701200</v>
      </c>
      <c r="M290" s="5">
        <v>1331787600</v>
      </c>
      <c r="N290" s="8">
        <f t="shared" si="17"/>
        <v>40982.208333333336</v>
      </c>
      <c r="O290" s="8">
        <f t="shared" si="18"/>
        <v>40983.208333333336</v>
      </c>
      <c r="P290" s="21" t="str">
        <f>TEXT(CrowdfundingTable[[#This Row],[date_created]],"ddd")</f>
        <v>Wed</v>
      </c>
      <c r="Q290" s="21">
        <f>_xlfn.DAYS(CrowdfundingTable[[#This Row],[date_ended]],CrowdfundingTable[[#This Row],[date_created]])</f>
        <v>1</v>
      </c>
      <c r="R290" s="5" t="b">
        <v>0</v>
      </c>
      <c r="S290" s="5" t="b">
        <v>1</v>
      </c>
      <c r="T290" s="5" t="s">
        <v>148</v>
      </c>
      <c r="U290" s="5" t="s">
        <v>2036</v>
      </c>
      <c r="V290" s="5" t="s">
        <v>2051</v>
      </c>
      <c r="W290" s="5"/>
    </row>
    <row r="291" spans="1:23" ht="17" x14ac:dyDescent="0.2">
      <c r="A291" s="5">
        <v>289</v>
      </c>
      <c r="B291" s="5" t="s">
        <v>630</v>
      </c>
      <c r="C291" s="6" t="s">
        <v>631</v>
      </c>
      <c r="D291" s="94">
        <v>800</v>
      </c>
      <c r="E291" s="94">
        <v>13474</v>
      </c>
      <c r="F291" s="7">
        <f t="shared" si="19"/>
        <v>16.842500000000001</v>
      </c>
      <c r="G291" s="5" t="s">
        <v>20</v>
      </c>
      <c r="H291" s="5">
        <v>337</v>
      </c>
      <c r="I291" s="96">
        <f t="shared" si="16"/>
        <v>39.982195845697326</v>
      </c>
      <c r="J291" s="5" t="s">
        <v>15</v>
      </c>
      <c r="K291" s="5" t="s">
        <v>16</v>
      </c>
      <c r="L291" s="5">
        <v>1438578000</v>
      </c>
      <c r="M291" s="5">
        <v>1438837200</v>
      </c>
      <c r="N291" s="8">
        <f t="shared" si="17"/>
        <v>42219.208333333328</v>
      </c>
      <c r="O291" s="8">
        <f t="shared" si="18"/>
        <v>42222.208333333328</v>
      </c>
      <c r="P291" s="21" t="str">
        <f>TEXT(CrowdfundingTable[[#This Row],[date_created]],"ddd")</f>
        <v>Mon</v>
      </c>
      <c r="Q291" s="21">
        <f>_xlfn.DAYS(CrowdfundingTable[[#This Row],[date_ended]],CrowdfundingTable[[#This Row],[date_created]])</f>
        <v>3</v>
      </c>
      <c r="R291" s="5" t="b">
        <v>0</v>
      </c>
      <c r="S291" s="5" t="b">
        <v>0</v>
      </c>
      <c r="T291" s="5" t="s">
        <v>33</v>
      </c>
      <c r="U291" s="5" t="s">
        <v>2040</v>
      </c>
      <c r="V291" s="5" t="s">
        <v>2055</v>
      </c>
      <c r="W291" s="5"/>
    </row>
    <row r="292" spans="1:23" ht="17" x14ac:dyDescent="0.2">
      <c r="A292" s="5">
        <v>290</v>
      </c>
      <c r="B292" s="5" t="s">
        <v>632</v>
      </c>
      <c r="C292" s="6" t="s">
        <v>633</v>
      </c>
      <c r="D292" s="94">
        <v>168600</v>
      </c>
      <c r="E292" s="94">
        <v>91722</v>
      </c>
      <c r="F292" s="7">
        <f t="shared" si="19"/>
        <v>0.54402135231316728</v>
      </c>
      <c r="G292" s="5" t="s">
        <v>14</v>
      </c>
      <c r="H292" s="5">
        <v>908</v>
      </c>
      <c r="I292" s="96">
        <f t="shared" si="16"/>
        <v>101.01541850220265</v>
      </c>
      <c r="J292" s="5" t="s">
        <v>21</v>
      </c>
      <c r="K292" s="5" t="s">
        <v>22</v>
      </c>
      <c r="L292" s="5">
        <v>1368162000</v>
      </c>
      <c r="M292" s="5">
        <v>1370926800</v>
      </c>
      <c r="N292" s="8">
        <f t="shared" si="17"/>
        <v>41404.208333333336</v>
      </c>
      <c r="O292" s="8">
        <f t="shared" si="18"/>
        <v>41436.208333333336</v>
      </c>
      <c r="P292" s="21" t="str">
        <f>TEXT(CrowdfundingTable[[#This Row],[date_created]],"ddd")</f>
        <v>Fri</v>
      </c>
      <c r="Q292" s="21">
        <f>_xlfn.DAYS(CrowdfundingTable[[#This Row],[date_ended]],CrowdfundingTable[[#This Row],[date_created]])</f>
        <v>32</v>
      </c>
      <c r="R292" s="5" t="b">
        <v>0</v>
      </c>
      <c r="S292" s="5" t="b">
        <v>1</v>
      </c>
      <c r="T292" s="5" t="s">
        <v>42</v>
      </c>
      <c r="U292" s="5" t="s">
        <v>2032</v>
      </c>
      <c r="V292" s="5" t="s">
        <v>2044</v>
      </c>
      <c r="W292" s="5"/>
    </row>
    <row r="293" spans="1:23" ht="17" x14ac:dyDescent="0.2">
      <c r="A293" s="5">
        <v>291</v>
      </c>
      <c r="B293" s="5" t="s">
        <v>634</v>
      </c>
      <c r="C293" s="6" t="s">
        <v>635</v>
      </c>
      <c r="D293" s="94">
        <v>1800</v>
      </c>
      <c r="E293" s="94">
        <v>8219</v>
      </c>
      <c r="F293" s="7">
        <f t="shared" si="19"/>
        <v>4.5661111111111108</v>
      </c>
      <c r="G293" s="5" t="s">
        <v>20</v>
      </c>
      <c r="H293" s="5">
        <v>107</v>
      </c>
      <c r="I293" s="96">
        <f t="shared" si="16"/>
        <v>76.813084112149539</v>
      </c>
      <c r="J293" s="5" t="s">
        <v>21</v>
      </c>
      <c r="K293" s="5" t="s">
        <v>22</v>
      </c>
      <c r="L293" s="5">
        <v>1318654800</v>
      </c>
      <c r="M293" s="5">
        <v>1319000400</v>
      </c>
      <c r="N293" s="8">
        <f t="shared" si="17"/>
        <v>40831.208333333336</v>
      </c>
      <c r="O293" s="8">
        <f t="shared" si="18"/>
        <v>40835.208333333336</v>
      </c>
      <c r="P293" s="21" t="str">
        <f>TEXT(CrowdfundingTable[[#This Row],[date_created]],"ddd")</f>
        <v>Sat</v>
      </c>
      <c r="Q293" s="21">
        <f>_xlfn.DAYS(CrowdfundingTable[[#This Row],[date_ended]],CrowdfundingTable[[#This Row],[date_created]])</f>
        <v>4</v>
      </c>
      <c r="R293" s="5" t="b">
        <v>1</v>
      </c>
      <c r="S293" s="5" t="b">
        <v>0</v>
      </c>
      <c r="T293" s="5" t="s">
        <v>28</v>
      </c>
      <c r="U293" s="5" t="s">
        <v>2039</v>
      </c>
      <c r="V293" s="5" t="s">
        <v>2064</v>
      </c>
      <c r="W293" s="5"/>
    </row>
    <row r="294" spans="1:23" ht="17" x14ac:dyDescent="0.2">
      <c r="A294" s="5">
        <v>292</v>
      </c>
      <c r="B294" s="5" t="s">
        <v>636</v>
      </c>
      <c r="C294" s="6" t="s">
        <v>637</v>
      </c>
      <c r="D294" s="94">
        <v>7300</v>
      </c>
      <c r="E294" s="94">
        <v>717</v>
      </c>
      <c r="F294" s="7">
        <f t="shared" si="19"/>
        <v>9.8219178082191785E-2</v>
      </c>
      <c r="G294" s="5" t="s">
        <v>14</v>
      </c>
      <c r="H294" s="5">
        <v>10</v>
      </c>
      <c r="I294" s="96">
        <f t="shared" si="16"/>
        <v>71.7</v>
      </c>
      <c r="J294" s="5" t="s">
        <v>21</v>
      </c>
      <c r="K294" s="5" t="s">
        <v>22</v>
      </c>
      <c r="L294" s="5">
        <v>1331874000</v>
      </c>
      <c r="M294" s="5">
        <v>1333429200</v>
      </c>
      <c r="N294" s="8">
        <f t="shared" si="17"/>
        <v>40984.208333333336</v>
      </c>
      <c r="O294" s="8">
        <f t="shared" si="18"/>
        <v>41002.208333333336</v>
      </c>
      <c r="P294" s="21" t="str">
        <f>TEXT(CrowdfundingTable[[#This Row],[date_created]],"ddd")</f>
        <v>Fri</v>
      </c>
      <c r="Q294" s="21">
        <f>_xlfn.DAYS(CrowdfundingTable[[#This Row],[date_ended]],CrowdfundingTable[[#This Row],[date_created]])</f>
        <v>18</v>
      </c>
      <c r="R294" s="5" t="b">
        <v>0</v>
      </c>
      <c r="S294" s="5" t="b">
        <v>0</v>
      </c>
      <c r="T294" s="5" t="s">
        <v>17</v>
      </c>
      <c r="U294" s="5" t="s">
        <v>2033</v>
      </c>
      <c r="V294" s="5" t="s">
        <v>2048</v>
      </c>
      <c r="W294" s="5"/>
    </row>
    <row r="295" spans="1:23" ht="17" x14ac:dyDescent="0.2">
      <c r="A295" s="5">
        <v>293</v>
      </c>
      <c r="B295" s="5" t="s">
        <v>638</v>
      </c>
      <c r="C295" s="6" t="s">
        <v>639</v>
      </c>
      <c r="D295" s="94">
        <v>6500</v>
      </c>
      <c r="E295" s="94">
        <v>1065</v>
      </c>
      <c r="F295" s="7">
        <f t="shared" si="19"/>
        <v>0.16384615384615384</v>
      </c>
      <c r="G295" s="5" t="s">
        <v>74</v>
      </c>
      <c r="H295" s="5">
        <v>32</v>
      </c>
      <c r="I295" s="96">
        <f t="shared" si="16"/>
        <v>33.28125</v>
      </c>
      <c r="J295" s="5" t="s">
        <v>107</v>
      </c>
      <c r="K295" s="5" t="s">
        <v>108</v>
      </c>
      <c r="L295" s="5">
        <v>1286254800</v>
      </c>
      <c r="M295" s="5">
        <v>1287032400</v>
      </c>
      <c r="N295" s="8">
        <f t="shared" si="17"/>
        <v>40456.208333333336</v>
      </c>
      <c r="O295" s="8">
        <f t="shared" si="18"/>
        <v>40465.208333333336</v>
      </c>
      <c r="P295" s="21" t="str">
        <f>TEXT(CrowdfundingTable[[#This Row],[date_created]],"ddd")</f>
        <v>Tue</v>
      </c>
      <c r="Q295" s="21">
        <f>_xlfn.DAYS(CrowdfundingTable[[#This Row],[date_ended]],CrowdfundingTable[[#This Row],[date_created]])</f>
        <v>9</v>
      </c>
      <c r="R295" s="5" t="b">
        <v>0</v>
      </c>
      <c r="S295" s="5" t="b">
        <v>0</v>
      </c>
      <c r="T295" s="5" t="s">
        <v>33</v>
      </c>
      <c r="U295" s="5" t="s">
        <v>2040</v>
      </c>
      <c r="V295" s="5" t="s">
        <v>2055</v>
      </c>
      <c r="W295" s="5"/>
    </row>
    <row r="296" spans="1:23" ht="17" x14ac:dyDescent="0.2">
      <c r="A296" s="5">
        <v>294</v>
      </c>
      <c r="B296" s="5" t="s">
        <v>640</v>
      </c>
      <c r="C296" s="6" t="s">
        <v>641</v>
      </c>
      <c r="D296" s="94">
        <v>600</v>
      </c>
      <c r="E296" s="94">
        <v>8038</v>
      </c>
      <c r="F296" s="7">
        <f t="shared" si="19"/>
        <v>13.396666666666667</v>
      </c>
      <c r="G296" s="5" t="s">
        <v>20</v>
      </c>
      <c r="H296" s="5">
        <v>183</v>
      </c>
      <c r="I296" s="96">
        <f t="shared" si="16"/>
        <v>43.923497267759565</v>
      </c>
      <c r="J296" s="5" t="s">
        <v>21</v>
      </c>
      <c r="K296" s="5" t="s">
        <v>22</v>
      </c>
      <c r="L296" s="5">
        <v>1540530000</v>
      </c>
      <c r="M296" s="5">
        <v>1541570400</v>
      </c>
      <c r="N296" s="8">
        <f t="shared" si="17"/>
        <v>43399.208333333328</v>
      </c>
      <c r="O296" s="8">
        <f t="shared" si="18"/>
        <v>43411.25</v>
      </c>
      <c r="P296" s="21" t="str">
        <f>TEXT(CrowdfundingTable[[#This Row],[date_created]],"ddd")</f>
        <v>Fri</v>
      </c>
      <c r="Q296" s="21">
        <f>_xlfn.DAYS(CrowdfundingTable[[#This Row],[date_ended]],CrowdfundingTable[[#This Row],[date_created]])</f>
        <v>12</v>
      </c>
      <c r="R296" s="5" t="b">
        <v>0</v>
      </c>
      <c r="S296" s="5" t="b">
        <v>0</v>
      </c>
      <c r="T296" s="5" t="s">
        <v>33</v>
      </c>
      <c r="U296" s="5" t="s">
        <v>2040</v>
      </c>
      <c r="V296" s="5" t="s">
        <v>2055</v>
      </c>
      <c r="W296" s="5"/>
    </row>
    <row r="297" spans="1:23" ht="34" x14ac:dyDescent="0.2">
      <c r="A297" s="5">
        <v>295</v>
      </c>
      <c r="B297" s="5" t="s">
        <v>642</v>
      </c>
      <c r="C297" s="6" t="s">
        <v>643</v>
      </c>
      <c r="D297" s="94">
        <v>192900</v>
      </c>
      <c r="E297" s="94">
        <v>68769</v>
      </c>
      <c r="F297" s="7">
        <f t="shared" si="19"/>
        <v>0.35650077760497667</v>
      </c>
      <c r="G297" s="5" t="s">
        <v>14</v>
      </c>
      <c r="H297" s="5">
        <v>1910</v>
      </c>
      <c r="I297" s="96">
        <f t="shared" si="16"/>
        <v>36.004712041884815</v>
      </c>
      <c r="J297" s="5" t="s">
        <v>98</v>
      </c>
      <c r="K297" s="5" t="s">
        <v>99</v>
      </c>
      <c r="L297" s="5">
        <v>1381813200</v>
      </c>
      <c r="M297" s="5">
        <v>1383976800</v>
      </c>
      <c r="N297" s="8">
        <f t="shared" si="17"/>
        <v>41562.208333333336</v>
      </c>
      <c r="O297" s="8">
        <f t="shared" si="18"/>
        <v>41587.25</v>
      </c>
      <c r="P297" s="21" t="str">
        <f>TEXT(CrowdfundingTable[[#This Row],[date_created]],"ddd")</f>
        <v>Tue</v>
      </c>
      <c r="Q297" s="21">
        <f>_xlfn.DAYS(CrowdfundingTable[[#This Row],[date_ended]],CrowdfundingTable[[#This Row],[date_created]])</f>
        <v>25</v>
      </c>
      <c r="R297" s="5" t="b">
        <v>0</v>
      </c>
      <c r="S297" s="5" t="b">
        <v>0</v>
      </c>
      <c r="T297" s="5" t="s">
        <v>33</v>
      </c>
      <c r="U297" s="5" t="s">
        <v>2040</v>
      </c>
      <c r="V297" s="5" t="s">
        <v>2055</v>
      </c>
      <c r="W297" s="5"/>
    </row>
    <row r="298" spans="1:23" ht="34" x14ac:dyDescent="0.2">
      <c r="A298" s="5">
        <v>296</v>
      </c>
      <c r="B298" s="5" t="s">
        <v>644</v>
      </c>
      <c r="C298" s="6" t="s">
        <v>645</v>
      </c>
      <c r="D298" s="94">
        <v>6100</v>
      </c>
      <c r="E298" s="94">
        <v>3352</v>
      </c>
      <c r="F298" s="7">
        <f t="shared" si="19"/>
        <v>0.54950819672131146</v>
      </c>
      <c r="G298" s="5" t="s">
        <v>14</v>
      </c>
      <c r="H298" s="5">
        <v>38</v>
      </c>
      <c r="I298" s="96">
        <f t="shared" si="16"/>
        <v>88.21052631578948</v>
      </c>
      <c r="J298" s="5" t="s">
        <v>26</v>
      </c>
      <c r="K298" s="5" t="s">
        <v>27</v>
      </c>
      <c r="L298" s="5">
        <v>1548655200</v>
      </c>
      <c r="M298" s="5">
        <v>1550556000</v>
      </c>
      <c r="N298" s="8">
        <f t="shared" si="17"/>
        <v>43493.25</v>
      </c>
      <c r="O298" s="8">
        <f t="shared" si="18"/>
        <v>43515.25</v>
      </c>
      <c r="P298" s="21" t="str">
        <f>TEXT(CrowdfundingTable[[#This Row],[date_created]],"ddd")</f>
        <v>Mon</v>
      </c>
      <c r="Q298" s="21">
        <f>_xlfn.DAYS(CrowdfundingTable[[#This Row],[date_ended]],CrowdfundingTable[[#This Row],[date_created]])</f>
        <v>22</v>
      </c>
      <c r="R298" s="5" t="b">
        <v>0</v>
      </c>
      <c r="S298" s="5" t="b">
        <v>0</v>
      </c>
      <c r="T298" s="5" t="s">
        <v>33</v>
      </c>
      <c r="U298" s="5" t="s">
        <v>2040</v>
      </c>
      <c r="V298" s="5" t="s">
        <v>2055</v>
      </c>
      <c r="W298" s="5"/>
    </row>
    <row r="299" spans="1:23" ht="17" x14ac:dyDescent="0.2">
      <c r="A299" s="5">
        <v>297</v>
      </c>
      <c r="B299" s="5" t="s">
        <v>646</v>
      </c>
      <c r="C299" s="6" t="s">
        <v>647</v>
      </c>
      <c r="D299" s="94">
        <v>7200</v>
      </c>
      <c r="E299" s="94">
        <v>6785</v>
      </c>
      <c r="F299" s="7">
        <f t="shared" si="19"/>
        <v>0.94236111111111109</v>
      </c>
      <c r="G299" s="5" t="s">
        <v>14</v>
      </c>
      <c r="H299" s="5">
        <v>104</v>
      </c>
      <c r="I299" s="96">
        <f t="shared" si="16"/>
        <v>65.240384615384613</v>
      </c>
      <c r="J299" s="5" t="s">
        <v>26</v>
      </c>
      <c r="K299" s="5" t="s">
        <v>27</v>
      </c>
      <c r="L299" s="5">
        <v>1389679200</v>
      </c>
      <c r="M299" s="5">
        <v>1390456800</v>
      </c>
      <c r="N299" s="8">
        <f t="shared" si="17"/>
        <v>41653.25</v>
      </c>
      <c r="O299" s="8">
        <f t="shared" si="18"/>
        <v>41662.25</v>
      </c>
      <c r="P299" s="21" t="str">
        <f>TEXT(CrowdfundingTable[[#This Row],[date_created]],"ddd")</f>
        <v>Tue</v>
      </c>
      <c r="Q299" s="21">
        <f>_xlfn.DAYS(CrowdfundingTable[[#This Row],[date_ended]],CrowdfundingTable[[#This Row],[date_created]])</f>
        <v>9</v>
      </c>
      <c r="R299" s="5" t="b">
        <v>0</v>
      </c>
      <c r="S299" s="5" t="b">
        <v>1</v>
      </c>
      <c r="T299" s="5" t="s">
        <v>33</v>
      </c>
      <c r="U299" s="5" t="s">
        <v>2040</v>
      </c>
      <c r="V299" s="5" t="s">
        <v>2055</v>
      </c>
      <c r="W299" s="5"/>
    </row>
    <row r="300" spans="1:23" ht="17" x14ac:dyDescent="0.2">
      <c r="A300" s="5">
        <v>298</v>
      </c>
      <c r="B300" s="5" t="s">
        <v>648</v>
      </c>
      <c r="C300" s="6" t="s">
        <v>649</v>
      </c>
      <c r="D300" s="94">
        <v>3500</v>
      </c>
      <c r="E300" s="94">
        <v>5037</v>
      </c>
      <c r="F300" s="7">
        <f t="shared" si="19"/>
        <v>1.4391428571428571</v>
      </c>
      <c r="G300" s="5" t="s">
        <v>20</v>
      </c>
      <c r="H300" s="5">
        <v>72</v>
      </c>
      <c r="I300" s="96">
        <f t="shared" si="16"/>
        <v>69.958333333333329</v>
      </c>
      <c r="J300" s="5" t="s">
        <v>21</v>
      </c>
      <c r="K300" s="5" t="s">
        <v>22</v>
      </c>
      <c r="L300" s="5">
        <v>1456466400</v>
      </c>
      <c r="M300" s="5">
        <v>1458018000</v>
      </c>
      <c r="N300" s="8">
        <f t="shared" si="17"/>
        <v>42426.25</v>
      </c>
      <c r="O300" s="8">
        <f t="shared" si="18"/>
        <v>42444.208333333328</v>
      </c>
      <c r="P300" s="21" t="str">
        <f>TEXT(CrowdfundingTable[[#This Row],[date_created]],"ddd")</f>
        <v>Fri</v>
      </c>
      <c r="Q300" s="21">
        <f>_xlfn.DAYS(CrowdfundingTable[[#This Row],[date_ended]],CrowdfundingTable[[#This Row],[date_created]])</f>
        <v>18</v>
      </c>
      <c r="R300" s="5" t="b">
        <v>0</v>
      </c>
      <c r="S300" s="5" t="b">
        <v>1</v>
      </c>
      <c r="T300" s="5" t="s">
        <v>23</v>
      </c>
      <c r="U300" s="5" t="s">
        <v>2036</v>
      </c>
      <c r="V300" s="5" t="s">
        <v>2057</v>
      </c>
      <c r="W300" s="5"/>
    </row>
    <row r="301" spans="1:23" ht="17" x14ac:dyDescent="0.2">
      <c r="A301" s="5">
        <v>299</v>
      </c>
      <c r="B301" s="5" t="s">
        <v>650</v>
      </c>
      <c r="C301" s="6" t="s">
        <v>651</v>
      </c>
      <c r="D301" s="94">
        <v>3800</v>
      </c>
      <c r="E301" s="94">
        <v>1954</v>
      </c>
      <c r="F301" s="7">
        <f t="shared" si="19"/>
        <v>0.51421052631578945</v>
      </c>
      <c r="G301" s="5" t="s">
        <v>14</v>
      </c>
      <c r="H301" s="5">
        <v>49</v>
      </c>
      <c r="I301" s="96">
        <f t="shared" si="16"/>
        <v>39.877551020408163</v>
      </c>
      <c r="J301" s="5" t="s">
        <v>21</v>
      </c>
      <c r="K301" s="5" t="s">
        <v>22</v>
      </c>
      <c r="L301" s="5">
        <v>1456984800</v>
      </c>
      <c r="M301" s="5">
        <v>1461819600</v>
      </c>
      <c r="N301" s="8">
        <f t="shared" si="17"/>
        <v>42432.25</v>
      </c>
      <c r="O301" s="8">
        <f t="shared" si="18"/>
        <v>42488.208333333328</v>
      </c>
      <c r="P301" s="21" t="str">
        <f>TEXT(CrowdfundingTable[[#This Row],[date_created]],"ddd")</f>
        <v>Thu</v>
      </c>
      <c r="Q301" s="21">
        <f>_xlfn.DAYS(CrowdfundingTable[[#This Row],[date_ended]],CrowdfundingTable[[#This Row],[date_created]])</f>
        <v>56</v>
      </c>
      <c r="R301" s="5" t="b">
        <v>0</v>
      </c>
      <c r="S301" s="5" t="b">
        <v>0</v>
      </c>
      <c r="T301" s="5" t="s">
        <v>17</v>
      </c>
      <c r="U301" s="5" t="s">
        <v>2033</v>
      </c>
      <c r="V301" s="5" t="s">
        <v>2048</v>
      </c>
      <c r="W301" s="5"/>
    </row>
    <row r="302" spans="1:23" ht="17" x14ac:dyDescent="0.2">
      <c r="A302" s="5">
        <v>300</v>
      </c>
      <c r="B302" s="5" t="s">
        <v>652</v>
      </c>
      <c r="C302" s="6" t="s">
        <v>653</v>
      </c>
      <c r="D302" s="94">
        <v>100</v>
      </c>
      <c r="E302" s="94">
        <v>5</v>
      </c>
      <c r="F302" s="7">
        <f t="shared" si="19"/>
        <v>0.05</v>
      </c>
      <c r="G302" s="5" t="s">
        <v>14</v>
      </c>
      <c r="H302" s="5">
        <v>1</v>
      </c>
      <c r="I302" s="96">
        <f t="shared" si="16"/>
        <v>5</v>
      </c>
      <c r="J302" s="5" t="s">
        <v>36</v>
      </c>
      <c r="K302" s="5" t="s">
        <v>37</v>
      </c>
      <c r="L302" s="5">
        <v>1504069200</v>
      </c>
      <c r="M302" s="5">
        <v>1504155600</v>
      </c>
      <c r="N302" s="8">
        <f t="shared" si="17"/>
        <v>42977.208333333328</v>
      </c>
      <c r="O302" s="8">
        <f t="shared" si="18"/>
        <v>42978.208333333328</v>
      </c>
      <c r="P302" s="21" t="str">
        <f>TEXT(CrowdfundingTable[[#This Row],[date_created]],"ddd")</f>
        <v>Wed</v>
      </c>
      <c r="Q302" s="21">
        <f>_xlfn.DAYS(CrowdfundingTable[[#This Row],[date_ended]],CrowdfundingTable[[#This Row],[date_created]])</f>
        <v>1</v>
      </c>
      <c r="R302" s="5" t="b">
        <v>0</v>
      </c>
      <c r="S302" s="5" t="b">
        <v>1</v>
      </c>
      <c r="T302" s="5" t="s">
        <v>68</v>
      </c>
      <c r="U302" s="5" t="s">
        <v>2038</v>
      </c>
      <c r="V302" s="5" t="s">
        <v>2053</v>
      </c>
      <c r="W302" s="5"/>
    </row>
    <row r="303" spans="1:23" ht="17" x14ac:dyDescent="0.2">
      <c r="A303" s="5">
        <v>301</v>
      </c>
      <c r="B303" s="5" t="s">
        <v>654</v>
      </c>
      <c r="C303" s="6" t="s">
        <v>655</v>
      </c>
      <c r="D303" s="94">
        <v>900</v>
      </c>
      <c r="E303" s="94">
        <v>12102</v>
      </c>
      <c r="F303" s="7">
        <f t="shared" si="19"/>
        <v>13.446666666666667</v>
      </c>
      <c r="G303" s="5" t="s">
        <v>20</v>
      </c>
      <c r="H303" s="5">
        <v>295</v>
      </c>
      <c r="I303" s="96">
        <f t="shared" si="16"/>
        <v>41.023728813559323</v>
      </c>
      <c r="J303" s="5" t="s">
        <v>21</v>
      </c>
      <c r="K303" s="5" t="s">
        <v>22</v>
      </c>
      <c r="L303" s="5">
        <v>1424930400</v>
      </c>
      <c r="M303" s="5">
        <v>1426395600</v>
      </c>
      <c r="N303" s="8">
        <f t="shared" si="17"/>
        <v>42061.25</v>
      </c>
      <c r="O303" s="8">
        <f t="shared" si="18"/>
        <v>42078.208333333328</v>
      </c>
      <c r="P303" s="21" t="str">
        <f>TEXT(CrowdfundingTable[[#This Row],[date_created]],"ddd")</f>
        <v>Thu</v>
      </c>
      <c r="Q303" s="21">
        <f>_xlfn.DAYS(CrowdfundingTable[[#This Row],[date_ended]],CrowdfundingTable[[#This Row],[date_created]])</f>
        <v>17</v>
      </c>
      <c r="R303" s="5" t="b">
        <v>0</v>
      </c>
      <c r="S303" s="5" t="b">
        <v>0</v>
      </c>
      <c r="T303" s="5" t="s">
        <v>42</v>
      </c>
      <c r="U303" s="5" t="s">
        <v>2032</v>
      </c>
      <c r="V303" s="5" t="s">
        <v>2044</v>
      </c>
      <c r="W303" s="5"/>
    </row>
    <row r="304" spans="1:23" ht="17" x14ac:dyDescent="0.2">
      <c r="A304" s="5">
        <v>302</v>
      </c>
      <c r="B304" s="5" t="s">
        <v>656</v>
      </c>
      <c r="C304" s="6" t="s">
        <v>657</v>
      </c>
      <c r="D304" s="94">
        <v>76100</v>
      </c>
      <c r="E304" s="94">
        <v>24234</v>
      </c>
      <c r="F304" s="7">
        <f t="shared" si="19"/>
        <v>0.31844940867279897</v>
      </c>
      <c r="G304" s="5" t="s">
        <v>14</v>
      </c>
      <c r="H304" s="5">
        <v>245</v>
      </c>
      <c r="I304" s="96">
        <f t="shared" si="16"/>
        <v>98.914285714285711</v>
      </c>
      <c r="J304" s="5" t="s">
        <v>21</v>
      </c>
      <c r="K304" s="5" t="s">
        <v>22</v>
      </c>
      <c r="L304" s="5">
        <v>1535864400</v>
      </c>
      <c r="M304" s="5">
        <v>1537074000</v>
      </c>
      <c r="N304" s="8">
        <f t="shared" si="17"/>
        <v>43345.208333333328</v>
      </c>
      <c r="O304" s="8">
        <f t="shared" si="18"/>
        <v>43359.208333333328</v>
      </c>
      <c r="P304" s="21" t="str">
        <f>TEXT(CrowdfundingTable[[#This Row],[date_created]],"ddd")</f>
        <v>Sun</v>
      </c>
      <c r="Q304" s="21">
        <f>_xlfn.DAYS(CrowdfundingTable[[#This Row],[date_ended]],CrowdfundingTable[[#This Row],[date_created]])</f>
        <v>14</v>
      </c>
      <c r="R304" s="5" t="b">
        <v>0</v>
      </c>
      <c r="S304" s="5" t="b">
        <v>0</v>
      </c>
      <c r="T304" s="5" t="s">
        <v>33</v>
      </c>
      <c r="U304" s="5" t="s">
        <v>2040</v>
      </c>
      <c r="V304" s="5" t="s">
        <v>2055</v>
      </c>
      <c r="W304" s="5"/>
    </row>
    <row r="305" spans="1:23" ht="17" x14ac:dyDescent="0.2">
      <c r="A305" s="5">
        <v>303</v>
      </c>
      <c r="B305" s="5" t="s">
        <v>658</v>
      </c>
      <c r="C305" s="6" t="s">
        <v>659</v>
      </c>
      <c r="D305" s="94">
        <v>3400</v>
      </c>
      <c r="E305" s="94">
        <v>2809</v>
      </c>
      <c r="F305" s="7">
        <f t="shared" si="19"/>
        <v>0.82617647058823529</v>
      </c>
      <c r="G305" s="5" t="s">
        <v>14</v>
      </c>
      <c r="H305" s="5">
        <v>32</v>
      </c>
      <c r="I305" s="96">
        <f t="shared" si="16"/>
        <v>87.78125</v>
      </c>
      <c r="J305" s="5" t="s">
        <v>21</v>
      </c>
      <c r="K305" s="5" t="s">
        <v>22</v>
      </c>
      <c r="L305" s="5">
        <v>1452146400</v>
      </c>
      <c r="M305" s="5">
        <v>1452578400</v>
      </c>
      <c r="N305" s="8">
        <f t="shared" si="17"/>
        <v>42376.25</v>
      </c>
      <c r="O305" s="8">
        <f t="shared" si="18"/>
        <v>42381.25</v>
      </c>
      <c r="P305" s="21" t="str">
        <f>TEXT(CrowdfundingTable[[#This Row],[date_created]],"ddd")</f>
        <v>Thu</v>
      </c>
      <c r="Q305" s="21">
        <f>_xlfn.DAYS(CrowdfundingTable[[#This Row],[date_ended]],CrowdfundingTable[[#This Row],[date_created]])</f>
        <v>5</v>
      </c>
      <c r="R305" s="5" t="b">
        <v>0</v>
      </c>
      <c r="S305" s="5" t="b">
        <v>0</v>
      </c>
      <c r="T305" s="5" t="s">
        <v>60</v>
      </c>
      <c r="U305" s="5" t="s">
        <v>2036</v>
      </c>
      <c r="V305" s="5" t="s">
        <v>2049</v>
      </c>
      <c r="W305" s="5"/>
    </row>
    <row r="306" spans="1:23" ht="17" x14ac:dyDescent="0.2">
      <c r="A306" s="5">
        <v>304</v>
      </c>
      <c r="B306" s="5" t="s">
        <v>660</v>
      </c>
      <c r="C306" s="6" t="s">
        <v>661</v>
      </c>
      <c r="D306" s="94">
        <v>2100</v>
      </c>
      <c r="E306" s="94">
        <v>11469</v>
      </c>
      <c r="F306" s="7">
        <f t="shared" si="19"/>
        <v>5.4614285714285717</v>
      </c>
      <c r="G306" s="5" t="s">
        <v>20</v>
      </c>
      <c r="H306" s="5">
        <v>142</v>
      </c>
      <c r="I306" s="96">
        <f t="shared" si="16"/>
        <v>80.767605633802816</v>
      </c>
      <c r="J306" s="5" t="s">
        <v>21</v>
      </c>
      <c r="K306" s="5" t="s">
        <v>22</v>
      </c>
      <c r="L306" s="5">
        <v>1470546000</v>
      </c>
      <c r="M306" s="5">
        <v>1474088400</v>
      </c>
      <c r="N306" s="8">
        <f t="shared" si="17"/>
        <v>42589.208333333328</v>
      </c>
      <c r="O306" s="8">
        <f t="shared" si="18"/>
        <v>42630.208333333328</v>
      </c>
      <c r="P306" s="21" t="str">
        <f>TEXT(CrowdfundingTable[[#This Row],[date_created]],"ddd")</f>
        <v>Sun</v>
      </c>
      <c r="Q306" s="21">
        <f>_xlfn.DAYS(CrowdfundingTable[[#This Row],[date_ended]],CrowdfundingTable[[#This Row],[date_created]])</f>
        <v>41</v>
      </c>
      <c r="R306" s="5" t="b">
        <v>0</v>
      </c>
      <c r="S306" s="5" t="b">
        <v>0</v>
      </c>
      <c r="T306" s="5" t="s">
        <v>42</v>
      </c>
      <c r="U306" s="5" t="s">
        <v>2032</v>
      </c>
      <c r="V306" s="5" t="s">
        <v>2044</v>
      </c>
      <c r="W306" s="5"/>
    </row>
    <row r="307" spans="1:23" ht="17" x14ac:dyDescent="0.2">
      <c r="A307" s="5">
        <v>305</v>
      </c>
      <c r="B307" s="5" t="s">
        <v>662</v>
      </c>
      <c r="C307" s="6" t="s">
        <v>663</v>
      </c>
      <c r="D307" s="94">
        <v>2800</v>
      </c>
      <c r="E307" s="94">
        <v>8014</v>
      </c>
      <c r="F307" s="7">
        <f t="shared" si="19"/>
        <v>2.8621428571428571</v>
      </c>
      <c r="G307" s="5" t="s">
        <v>20</v>
      </c>
      <c r="H307" s="5">
        <v>85</v>
      </c>
      <c r="I307" s="96">
        <f t="shared" si="16"/>
        <v>94.28235294117647</v>
      </c>
      <c r="J307" s="5" t="s">
        <v>21</v>
      </c>
      <c r="K307" s="5" t="s">
        <v>22</v>
      </c>
      <c r="L307" s="5">
        <v>1458363600</v>
      </c>
      <c r="M307" s="5">
        <v>1461906000</v>
      </c>
      <c r="N307" s="8">
        <f t="shared" si="17"/>
        <v>42448.208333333328</v>
      </c>
      <c r="O307" s="8">
        <f t="shared" si="18"/>
        <v>42489.208333333328</v>
      </c>
      <c r="P307" s="21" t="str">
        <f>TEXT(CrowdfundingTable[[#This Row],[date_created]],"ddd")</f>
        <v>Sat</v>
      </c>
      <c r="Q307" s="21">
        <f>_xlfn.DAYS(CrowdfundingTable[[#This Row],[date_ended]],CrowdfundingTable[[#This Row],[date_created]])</f>
        <v>41</v>
      </c>
      <c r="R307" s="5" t="b">
        <v>0</v>
      </c>
      <c r="S307" s="5" t="b">
        <v>0</v>
      </c>
      <c r="T307" s="5" t="s">
        <v>33</v>
      </c>
      <c r="U307" s="5" t="s">
        <v>2040</v>
      </c>
      <c r="V307" s="5" t="s">
        <v>2055</v>
      </c>
      <c r="W307" s="5"/>
    </row>
    <row r="308" spans="1:23" ht="34" x14ac:dyDescent="0.2">
      <c r="A308" s="5">
        <v>306</v>
      </c>
      <c r="B308" s="5" t="s">
        <v>664</v>
      </c>
      <c r="C308" s="6" t="s">
        <v>665</v>
      </c>
      <c r="D308" s="94">
        <v>6500</v>
      </c>
      <c r="E308" s="94">
        <v>514</v>
      </c>
      <c r="F308" s="7">
        <f t="shared" si="19"/>
        <v>7.9076923076923072E-2</v>
      </c>
      <c r="G308" s="5" t="s">
        <v>14</v>
      </c>
      <c r="H308" s="5">
        <v>7</v>
      </c>
      <c r="I308" s="96">
        <f t="shared" si="16"/>
        <v>73.428571428571431</v>
      </c>
      <c r="J308" s="5" t="s">
        <v>21</v>
      </c>
      <c r="K308" s="5" t="s">
        <v>22</v>
      </c>
      <c r="L308" s="5">
        <v>1500008400</v>
      </c>
      <c r="M308" s="5">
        <v>1500267600</v>
      </c>
      <c r="N308" s="8">
        <f t="shared" si="17"/>
        <v>42930.208333333328</v>
      </c>
      <c r="O308" s="8">
        <f t="shared" si="18"/>
        <v>42933.208333333328</v>
      </c>
      <c r="P308" s="21" t="str">
        <f>TEXT(CrowdfundingTable[[#This Row],[date_created]],"ddd")</f>
        <v>Fri</v>
      </c>
      <c r="Q308" s="21">
        <f>_xlfn.DAYS(CrowdfundingTable[[#This Row],[date_ended]],CrowdfundingTable[[#This Row],[date_created]])</f>
        <v>3</v>
      </c>
      <c r="R308" s="5" t="b">
        <v>0</v>
      </c>
      <c r="S308" s="5" t="b">
        <v>1</v>
      </c>
      <c r="T308" s="5" t="s">
        <v>33</v>
      </c>
      <c r="U308" s="5" t="s">
        <v>2040</v>
      </c>
      <c r="V308" s="5" t="s">
        <v>2055</v>
      </c>
      <c r="W308" s="5"/>
    </row>
    <row r="309" spans="1:23" ht="17" x14ac:dyDescent="0.2">
      <c r="A309" s="5">
        <v>307</v>
      </c>
      <c r="B309" s="5" t="s">
        <v>666</v>
      </c>
      <c r="C309" s="6" t="s">
        <v>667</v>
      </c>
      <c r="D309" s="94">
        <v>32900</v>
      </c>
      <c r="E309" s="94">
        <v>43473</v>
      </c>
      <c r="F309" s="7">
        <f t="shared" si="19"/>
        <v>1.3213677811550153</v>
      </c>
      <c r="G309" s="5" t="s">
        <v>20</v>
      </c>
      <c r="H309" s="5">
        <v>659</v>
      </c>
      <c r="I309" s="96">
        <f t="shared" si="16"/>
        <v>65.968133535660087</v>
      </c>
      <c r="J309" s="5" t="s">
        <v>36</v>
      </c>
      <c r="K309" s="5" t="s">
        <v>37</v>
      </c>
      <c r="L309" s="5">
        <v>1338958800</v>
      </c>
      <c r="M309" s="5">
        <v>1340686800</v>
      </c>
      <c r="N309" s="8">
        <f t="shared" si="17"/>
        <v>41066.208333333336</v>
      </c>
      <c r="O309" s="8">
        <f t="shared" si="18"/>
        <v>41086.208333333336</v>
      </c>
      <c r="P309" s="21" t="str">
        <f>TEXT(CrowdfundingTable[[#This Row],[date_created]],"ddd")</f>
        <v>Wed</v>
      </c>
      <c r="Q309" s="21">
        <f>_xlfn.DAYS(CrowdfundingTable[[#This Row],[date_ended]],CrowdfundingTable[[#This Row],[date_created]])</f>
        <v>20</v>
      </c>
      <c r="R309" s="5" t="b">
        <v>0</v>
      </c>
      <c r="S309" s="5" t="b">
        <v>1</v>
      </c>
      <c r="T309" s="5" t="s">
        <v>119</v>
      </c>
      <c r="U309" s="5" t="s">
        <v>2038</v>
      </c>
      <c r="V309" s="5" t="s">
        <v>2047</v>
      </c>
      <c r="W309" s="5"/>
    </row>
    <row r="310" spans="1:23" ht="17" x14ac:dyDescent="0.2">
      <c r="A310" s="5">
        <v>308</v>
      </c>
      <c r="B310" s="5" t="s">
        <v>668</v>
      </c>
      <c r="C310" s="6" t="s">
        <v>669</v>
      </c>
      <c r="D310" s="94">
        <v>118200</v>
      </c>
      <c r="E310" s="94">
        <v>87560</v>
      </c>
      <c r="F310" s="7">
        <f t="shared" si="19"/>
        <v>0.74077834179357027</v>
      </c>
      <c r="G310" s="5" t="s">
        <v>14</v>
      </c>
      <c r="H310" s="5">
        <v>803</v>
      </c>
      <c r="I310" s="96">
        <f t="shared" si="16"/>
        <v>109.04109589041096</v>
      </c>
      <c r="J310" s="5" t="s">
        <v>21</v>
      </c>
      <c r="K310" s="5" t="s">
        <v>22</v>
      </c>
      <c r="L310" s="5">
        <v>1303102800</v>
      </c>
      <c r="M310" s="5">
        <v>1303189200</v>
      </c>
      <c r="N310" s="8">
        <f t="shared" si="17"/>
        <v>40651.208333333336</v>
      </c>
      <c r="O310" s="8">
        <f t="shared" si="18"/>
        <v>40652.208333333336</v>
      </c>
      <c r="P310" s="21" t="str">
        <f>TEXT(CrowdfundingTable[[#This Row],[date_created]],"ddd")</f>
        <v>Mon</v>
      </c>
      <c r="Q310" s="21">
        <f>_xlfn.DAYS(CrowdfundingTable[[#This Row],[date_ended]],CrowdfundingTable[[#This Row],[date_created]])</f>
        <v>1</v>
      </c>
      <c r="R310" s="5" t="b">
        <v>0</v>
      </c>
      <c r="S310" s="5" t="b">
        <v>0</v>
      </c>
      <c r="T310" s="5" t="s">
        <v>33</v>
      </c>
      <c r="U310" s="5" t="s">
        <v>2040</v>
      </c>
      <c r="V310" s="5" t="s">
        <v>2055</v>
      </c>
      <c r="W310" s="5"/>
    </row>
    <row r="311" spans="1:23" ht="17" x14ac:dyDescent="0.2">
      <c r="A311" s="5">
        <v>309</v>
      </c>
      <c r="B311" s="5" t="s">
        <v>670</v>
      </c>
      <c r="C311" s="6" t="s">
        <v>671</v>
      </c>
      <c r="D311" s="94">
        <v>4100</v>
      </c>
      <c r="E311" s="94">
        <v>3087</v>
      </c>
      <c r="F311" s="7">
        <f t="shared" si="19"/>
        <v>0.75292682926829269</v>
      </c>
      <c r="G311" s="5" t="s">
        <v>74</v>
      </c>
      <c r="H311" s="5">
        <v>75</v>
      </c>
      <c r="I311" s="96">
        <f t="shared" si="16"/>
        <v>41.16</v>
      </c>
      <c r="J311" s="5" t="s">
        <v>21</v>
      </c>
      <c r="K311" s="5" t="s">
        <v>22</v>
      </c>
      <c r="L311" s="5">
        <v>1316581200</v>
      </c>
      <c r="M311" s="5">
        <v>1318309200</v>
      </c>
      <c r="N311" s="8">
        <f t="shared" si="17"/>
        <v>40807.208333333336</v>
      </c>
      <c r="O311" s="8">
        <f t="shared" si="18"/>
        <v>40827.208333333336</v>
      </c>
      <c r="P311" s="21" t="str">
        <f>TEXT(CrowdfundingTable[[#This Row],[date_created]],"ddd")</f>
        <v>Wed</v>
      </c>
      <c r="Q311" s="21">
        <f>_xlfn.DAYS(CrowdfundingTable[[#This Row],[date_ended]],CrowdfundingTable[[#This Row],[date_created]])</f>
        <v>20</v>
      </c>
      <c r="R311" s="5" t="b">
        <v>0</v>
      </c>
      <c r="S311" s="5" t="b">
        <v>1</v>
      </c>
      <c r="T311" s="5" t="s">
        <v>60</v>
      </c>
      <c r="U311" s="5" t="s">
        <v>2036</v>
      </c>
      <c r="V311" s="5" t="s">
        <v>2049</v>
      </c>
      <c r="W311" s="5"/>
    </row>
    <row r="312" spans="1:23" ht="17" x14ac:dyDescent="0.2">
      <c r="A312" s="5">
        <v>310</v>
      </c>
      <c r="B312" s="5" t="s">
        <v>672</v>
      </c>
      <c r="C312" s="6" t="s">
        <v>673</v>
      </c>
      <c r="D312" s="94">
        <v>7800</v>
      </c>
      <c r="E312" s="94">
        <v>1586</v>
      </c>
      <c r="F312" s="7">
        <f t="shared" si="19"/>
        <v>0.20333333333333334</v>
      </c>
      <c r="G312" s="5" t="s">
        <v>14</v>
      </c>
      <c r="H312" s="5">
        <v>16</v>
      </c>
      <c r="I312" s="96">
        <f t="shared" si="16"/>
        <v>99.125</v>
      </c>
      <c r="J312" s="5" t="s">
        <v>21</v>
      </c>
      <c r="K312" s="5" t="s">
        <v>22</v>
      </c>
      <c r="L312" s="5">
        <v>1270789200</v>
      </c>
      <c r="M312" s="5">
        <v>1272171600</v>
      </c>
      <c r="N312" s="8">
        <f t="shared" si="17"/>
        <v>40277.208333333336</v>
      </c>
      <c r="O312" s="8">
        <f t="shared" si="18"/>
        <v>40293.208333333336</v>
      </c>
      <c r="P312" s="21" t="str">
        <f>TEXT(CrowdfundingTable[[#This Row],[date_created]],"ddd")</f>
        <v>Fri</v>
      </c>
      <c r="Q312" s="21">
        <f>_xlfn.DAYS(CrowdfundingTable[[#This Row],[date_ended]],CrowdfundingTable[[#This Row],[date_created]])</f>
        <v>16</v>
      </c>
      <c r="R312" s="5" t="b">
        <v>0</v>
      </c>
      <c r="S312" s="5" t="b">
        <v>0</v>
      </c>
      <c r="T312" s="5" t="s">
        <v>89</v>
      </c>
      <c r="U312" s="5" t="s">
        <v>2034</v>
      </c>
      <c r="V312" s="5" t="s">
        <v>2062</v>
      </c>
      <c r="W312" s="5"/>
    </row>
    <row r="313" spans="1:23" ht="17" x14ac:dyDescent="0.2">
      <c r="A313" s="5">
        <v>311</v>
      </c>
      <c r="B313" s="5" t="s">
        <v>674</v>
      </c>
      <c r="C313" s="6" t="s">
        <v>675</v>
      </c>
      <c r="D313" s="94">
        <v>6300</v>
      </c>
      <c r="E313" s="94">
        <v>12812</v>
      </c>
      <c r="F313" s="7">
        <f t="shared" si="19"/>
        <v>2.0336507936507937</v>
      </c>
      <c r="G313" s="5" t="s">
        <v>20</v>
      </c>
      <c r="H313" s="5">
        <v>121</v>
      </c>
      <c r="I313" s="96">
        <f t="shared" si="16"/>
        <v>105.88429752066116</v>
      </c>
      <c r="J313" s="5" t="s">
        <v>21</v>
      </c>
      <c r="K313" s="5" t="s">
        <v>22</v>
      </c>
      <c r="L313" s="5">
        <v>1297836000</v>
      </c>
      <c r="M313" s="5">
        <v>1298872800</v>
      </c>
      <c r="N313" s="8">
        <f t="shared" si="17"/>
        <v>40590.25</v>
      </c>
      <c r="O313" s="8">
        <f t="shared" si="18"/>
        <v>40602.25</v>
      </c>
      <c r="P313" s="21" t="str">
        <f>TEXT(CrowdfundingTable[[#This Row],[date_created]],"ddd")</f>
        <v>Wed</v>
      </c>
      <c r="Q313" s="21">
        <f>_xlfn.DAYS(CrowdfundingTable[[#This Row],[date_ended]],CrowdfundingTable[[#This Row],[date_created]])</f>
        <v>12</v>
      </c>
      <c r="R313" s="5" t="b">
        <v>0</v>
      </c>
      <c r="S313" s="5" t="b">
        <v>0</v>
      </c>
      <c r="T313" s="5" t="s">
        <v>33</v>
      </c>
      <c r="U313" s="5" t="s">
        <v>2040</v>
      </c>
      <c r="V313" s="5" t="s">
        <v>2055</v>
      </c>
      <c r="W313" s="5"/>
    </row>
    <row r="314" spans="1:23" ht="17" x14ac:dyDescent="0.2">
      <c r="A314" s="5">
        <v>312</v>
      </c>
      <c r="B314" s="5" t="s">
        <v>676</v>
      </c>
      <c r="C314" s="6" t="s">
        <v>677</v>
      </c>
      <c r="D314" s="94">
        <v>59100</v>
      </c>
      <c r="E314" s="94">
        <v>183345</v>
      </c>
      <c r="F314" s="7">
        <f t="shared" si="19"/>
        <v>3.1022842639593908</v>
      </c>
      <c r="G314" s="5" t="s">
        <v>20</v>
      </c>
      <c r="H314" s="5">
        <v>3742</v>
      </c>
      <c r="I314" s="96">
        <f t="shared" si="16"/>
        <v>48.996525921966864</v>
      </c>
      <c r="J314" s="5" t="s">
        <v>21</v>
      </c>
      <c r="K314" s="5" t="s">
        <v>22</v>
      </c>
      <c r="L314" s="5">
        <v>1382677200</v>
      </c>
      <c r="M314" s="5">
        <v>1383282000</v>
      </c>
      <c r="N314" s="8">
        <f t="shared" si="17"/>
        <v>41572.208333333336</v>
      </c>
      <c r="O314" s="8">
        <f t="shared" si="18"/>
        <v>41579.208333333336</v>
      </c>
      <c r="P314" s="21" t="str">
        <f>TEXT(CrowdfundingTable[[#This Row],[date_created]],"ddd")</f>
        <v>Fri</v>
      </c>
      <c r="Q314" s="21">
        <f>_xlfn.DAYS(CrowdfundingTable[[#This Row],[date_ended]],CrowdfundingTable[[#This Row],[date_created]])</f>
        <v>7</v>
      </c>
      <c r="R314" s="5" t="b">
        <v>0</v>
      </c>
      <c r="S314" s="5" t="b">
        <v>0</v>
      </c>
      <c r="T314" s="5" t="s">
        <v>33</v>
      </c>
      <c r="U314" s="5" t="s">
        <v>2040</v>
      </c>
      <c r="V314" s="5" t="s">
        <v>2055</v>
      </c>
      <c r="W314" s="5"/>
    </row>
    <row r="315" spans="1:23" ht="17" x14ac:dyDescent="0.2">
      <c r="A315" s="5">
        <v>313</v>
      </c>
      <c r="B315" s="5" t="s">
        <v>678</v>
      </c>
      <c r="C315" s="6" t="s">
        <v>679</v>
      </c>
      <c r="D315" s="94">
        <v>2200</v>
      </c>
      <c r="E315" s="94">
        <v>8697</v>
      </c>
      <c r="F315" s="7">
        <f t="shared" si="19"/>
        <v>3.9531818181818181</v>
      </c>
      <c r="G315" s="5" t="s">
        <v>20</v>
      </c>
      <c r="H315" s="5">
        <v>223</v>
      </c>
      <c r="I315" s="96">
        <f t="shared" si="16"/>
        <v>39</v>
      </c>
      <c r="J315" s="5" t="s">
        <v>21</v>
      </c>
      <c r="K315" s="5" t="s">
        <v>22</v>
      </c>
      <c r="L315" s="5">
        <v>1330322400</v>
      </c>
      <c r="M315" s="5">
        <v>1330495200</v>
      </c>
      <c r="N315" s="8">
        <f t="shared" si="17"/>
        <v>40966.25</v>
      </c>
      <c r="O315" s="8">
        <f t="shared" si="18"/>
        <v>40968.25</v>
      </c>
      <c r="P315" s="21" t="str">
        <f>TEXT(CrowdfundingTable[[#This Row],[date_created]],"ddd")</f>
        <v>Mon</v>
      </c>
      <c r="Q315" s="21">
        <f>_xlfn.DAYS(CrowdfundingTable[[#This Row],[date_ended]],CrowdfundingTable[[#This Row],[date_created]])</f>
        <v>2</v>
      </c>
      <c r="R315" s="5" t="b">
        <v>0</v>
      </c>
      <c r="S315" s="5" t="b">
        <v>0</v>
      </c>
      <c r="T315" s="5" t="s">
        <v>23</v>
      </c>
      <c r="U315" s="5" t="s">
        <v>2036</v>
      </c>
      <c r="V315" s="5" t="s">
        <v>2057</v>
      </c>
      <c r="W315" s="5"/>
    </row>
    <row r="316" spans="1:23" ht="17" x14ac:dyDescent="0.2">
      <c r="A316" s="5">
        <v>314</v>
      </c>
      <c r="B316" s="5" t="s">
        <v>680</v>
      </c>
      <c r="C316" s="6" t="s">
        <v>681</v>
      </c>
      <c r="D316" s="94">
        <v>1400</v>
      </c>
      <c r="E316" s="94">
        <v>4126</v>
      </c>
      <c r="F316" s="7">
        <f t="shared" si="19"/>
        <v>2.9471428571428571</v>
      </c>
      <c r="G316" s="5" t="s">
        <v>20</v>
      </c>
      <c r="H316" s="5">
        <v>133</v>
      </c>
      <c r="I316" s="96">
        <f t="shared" si="16"/>
        <v>31.022556390977442</v>
      </c>
      <c r="J316" s="5" t="s">
        <v>21</v>
      </c>
      <c r="K316" s="5" t="s">
        <v>22</v>
      </c>
      <c r="L316" s="5">
        <v>1552366800</v>
      </c>
      <c r="M316" s="5">
        <v>1552798800</v>
      </c>
      <c r="N316" s="8">
        <f t="shared" si="17"/>
        <v>43536.208333333328</v>
      </c>
      <c r="O316" s="8">
        <f t="shared" si="18"/>
        <v>43541.208333333328</v>
      </c>
      <c r="P316" s="21" t="str">
        <f>TEXT(CrowdfundingTable[[#This Row],[date_created]],"ddd")</f>
        <v>Tue</v>
      </c>
      <c r="Q316" s="21">
        <f>_xlfn.DAYS(CrowdfundingTable[[#This Row],[date_ended]],CrowdfundingTable[[#This Row],[date_created]])</f>
        <v>5</v>
      </c>
      <c r="R316" s="5" t="b">
        <v>0</v>
      </c>
      <c r="S316" s="5" t="b">
        <v>1</v>
      </c>
      <c r="T316" s="5" t="s">
        <v>42</v>
      </c>
      <c r="U316" s="5" t="s">
        <v>2032</v>
      </c>
      <c r="V316" s="5" t="s">
        <v>2044</v>
      </c>
      <c r="W316" s="5"/>
    </row>
    <row r="317" spans="1:23" ht="17" x14ac:dyDescent="0.2">
      <c r="A317" s="5">
        <v>315</v>
      </c>
      <c r="B317" s="5" t="s">
        <v>682</v>
      </c>
      <c r="C317" s="6" t="s">
        <v>683</v>
      </c>
      <c r="D317" s="94">
        <v>9500</v>
      </c>
      <c r="E317" s="94">
        <v>3220</v>
      </c>
      <c r="F317" s="7">
        <f t="shared" si="19"/>
        <v>0.33894736842105261</v>
      </c>
      <c r="G317" s="5" t="s">
        <v>14</v>
      </c>
      <c r="H317" s="5">
        <v>31</v>
      </c>
      <c r="I317" s="96">
        <f t="shared" si="16"/>
        <v>103.87096774193549</v>
      </c>
      <c r="J317" s="5" t="s">
        <v>21</v>
      </c>
      <c r="K317" s="5" t="s">
        <v>22</v>
      </c>
      <c r="L317" s="5">
        <v>1400907600</v>
      </c>
      <c r="M317" s="5">
        <v>1403413200</v>
      </c>
      <c r="N317" s="8">
        <f t="shared" si="17"/>
        <v>41783.208333333336</v>
      </c>
      <c r="O317" s="8">
        <f t="shared" si="18"/>
        <v>41812.208333333336</v>
      </c>
      <c r="P317" s="21" t="str">
        <f>TEXT(CrowdfundingTable[[#This Row],[date_created]],"ddd")</f>
        <v>Sat</v>
      </c>
      <c r="Q317" s="21">
        <f>_xlfn.DAYS(CrowdfundingTable[[#This Row],[date_ended]],CrowdfundingTable[[#This Row],[date_created]])</f>
        <v>29</v>
      </c>
      <c r="R317" s="5" t="b">
        <v>0</v>
      </c>
      <c r="S317" s="5" t="b">
        <v>0</v>
      </c>
      <c r="T317" s="5" t="s">
        <v>33</v>
      </c>
      <c r="U317" s="5" t="s">
        <v>2040</v>
      </c>
      <c r="V317" s="5" t="s">
        <v>2055</v>
      </c>
      <c r="W317" s="5"/>
    </row>
    <row r="318" spans="1:23" ht="17" x14ac:dyDescent="0.2">
      <c r="A318" s="5">
        <v>316</v>
      </c>
      <c r="B318" s="5" t="s">
        <v>684</v>
      </c>
      <c r="C318" s="6" t="s">
        <v>685</v>
      </c>
      <c r="D318" s="94">
        <v>9600</v>
      </c>
      <c r="E318" s="94">
        <v>6401</v>
      </c>
      <c r="F318" s="7">
        <f t="shared" si="19"/>
        <v>0.66677083333333331</v>
      </c>
      <c r="G318" s="5" t="s">
        <v>14</v>
      </c>
      <c r="H318" s="5">
        <v>108</v>
      </c>
      <c r="I318" s="96">
        <f t="shared" si="16"/>
        <v>59.268518518518519</v>
      </c>
      <c r="J318" s="5" t="s">
        <v>107</v>
      </c>
      <c r="K318" s="5" t="s">
        <v>108</v>
      </c>
      <c r="L318" s="5">
        <v>1574143200</v>
      </c>
      <c r="M318" s="5">
        <v>1574229600</v>
      </c>
      <c r="N318" s="8">
        <f t="shared" si="17"/>
        <v>43788.25</v>
      </c>
      <c r="O318" s="8">
        <f t="shared" si="18"/>
        <v>43789.25</v>
      </c>
      <c r="P318" s="21" t="str">
        <f>TEXT(CrowdfundingTable[[#This Row],[date_created]],"ddd")</f>
        <v>Tue</v>
      </c>
      <c r="Q318" s="21">
        <f>_xlfn.DAYS(CrowdfundingTable[[#This Row],[date_ended]],CrowdfundingTable[[#This Row],[date_created]])</f>
        <v>1</v>
      </c>
      <c r="R318" s="5" t="b">
        <v>0</v>
      </c>
      <c r="S318" s="5" t="b">
        <v>1</v>
      </c>
      <c r="T318" s="5" t="s">
        <v>17</v>
      </c>
      <c r="U318" s="5" t="s">
        <v>2033</v>
      </c>
      <c r="V318" s="5" t="s">
        <v>2048</v>
      </c>
      <c r="W318" s="5"/>
    </row>
    <row r="319" spans="1:23" ht="17" x14ac:dyDescent="0.2">
      <c r="A319" s="5">
        <v>317</v>
      </c>
      <c r="B319" s="5" t="s">
        <v>686</v>
      </c>
      <c r="C319" s="6" t="s">
        <v>687</v>
      </c>
      <c r="D319" s="94">
        <v>6600</v>
      </c>
      <c r="E319" s="94">
        <v>1269</v>
      </c>
      <c r="F319" s="7">
        <f t="shared" si="19"/>
        <v>0.19227272727272726</v>
      </c>
      <c r="G319" s="5" t="s">
        <v>14</v>
      </c>
      <c r="H319" s="5">
        <v>30</v>
      </c>
      <c r="I319" s="96">
        <f t="shared" si="16"/>
        <v>42.3</v>
      </c>
      <c r="J319" s="5" t="s">
        <v>21</v>
      </c>
      <c r="K319" s="5" t="s">
        <v>22</v>
      </c>
      <c r="L319" s="5">
        <v>1494738000</v>
      </c>
      <c r="M319" s="5">
        <v>1495861200</v>
      </c>
      <c r="N319" s="8">
        <f t="shared" si="17"/>
        <v>42869.208333333328</v>
      </c>
      <c r="O319" s="8">
        <f t="shared" si="18"/>
        <v>42882.208333333328</v>
      </c>
      <c r="P319" s="21" t="str">
        <f>TEXT(CrowdfundingTable[[#This Row],[date_created]],"ddd")</f>
        <v>Sun</v>
      </c>
      <c r="Q319" s="21">
        <f>_xlfn.DAYS(CrowdfundingTable[[#This Row],[date_ended]],CrowdfundingTable[[#This Row],[date_created]])</f>
        <v>13</v>
      </c>
      <c r="R319" s="5" t="b">
        <v>0</v>
      </c>
      <c r="S319" s="5" t="b">
        <v>0</v>
      </c>
      <c r="T319" s="5" t="s">
        <v>33</v>
      </c>
      <c r="U319" s="5" t="s">
        <v>2040</v>
      </c>
      <c r="V319" s="5" t="s">
        <v>2055</v>
      </c>
      <c r="W319" s="5"/>
    </row>
    <row r="320" spans="1:23" ht="34" x14ac:dyDescent="0.2">
      <c r="A320" s="5">
        <v>318</v>
      </c>
      <c r="B320" s="5" t="s">
        <v>688</v>
      </c>
      <c r="C320" s="6" t="s">
        <v>689</v>
      </c>
      <c r="D320" s="94">
        <v>5700</v>
      </c>
      <c r="E320" s="94">
        <v>903</v>
      </c>
      <c r="F320" s="7">
        <f t="shared" si="19"/>
        <v>0.15842105263157893</v>
      </c>
      <c r="G320" s="5" t="s">
        <v>14</v>
      </c>
      <c r="H320" s="5">
        <v>17</v>
      </c>
      <c r="I320" s="96">
        <f t="shared" si="16"/>
        <v>53.117647058823529</v>
      </c>
      <c r="J320" s="5" t="s">
        <v>21</v>
      </c>
      <c r="K320" s="5" t="s">
        <v>22</v>
      </c>
      <c r="L320" s="5">
        <v>1392357600</v>
      </c>
      <c r="M320" s="5">
        <v>1392530400</v>
      </c>
      <c r="N320" s="8">
        <f t="shared" si="17"/>
        <v>41684.25</v>
      </c>
      <c r="O320" s="8">
        <f t="shared" si="18"/>
        <v>41686.25</v>
      </c>
      <c r="P320" s="21" t="str">
        <f>TEXT(CrowdfundingTable[[#This Row],[date_created]],"ddd")</f>
        <v>Fri</v>
      </c>
      <c r="Q320" s="21">
        <f>_xlfn.DAYS(CrowdfundingTable[[#This Row],[date_ended]],CrowdfundingTable[[#This Row],[date_created]])</f>
        <v>2</v>
      </c>
      <c r="R320" s="5" t="b">
        <v>0</v>
      </c>
      <c r="S320" s="5" t="b">
        <v>0</v>
      </c>
      <c r="T320" s="5" t="s">
        <v>23</v>
      </c>
      <c r="U320" s="5" t="s">
        <v>2036</v>
      </c>
      <c r="V320" s="5" t="s">
        <v>2057</v>
      </c>
      <c r="W320" s="5"/>
    </row>
    <row r="321" spans="1:23" ht="17" x14ac:dyDescent="0.2">
      <c r="A321" s="5">
        <v>319</v>
      </c>
      <c r="B321" s="5" t="s">
        <v>690</v>
      </c>
      <c r="C321" s="6" t="s">
        <v>691</v>
      </c>
      <c r="D321" s="94">
        <v>8400</v>
      </c>
      <c r="E321" s="94">
        <v>3251</v>
      </c>
      <c r="F321" s="7">
        <f t="shared" si="19"/>
        <v>0.38702380952380955</v>
      </c>
      <c r="G321" s="5" t="s">
        <v>74</v>
      </c>
      <c r="H321" s="5">
        <v>64</v>
      </c>
      <c r="I321" s="96">
        <f t="shared" si="16"/>
        <v>50.796875</v>
      </c>
      <c r="J321" s="5" t="s">
        <v>21</v>
      </c>
      <c r="K321" s="5" t="s">
        <v>22</v>
      </c>
      <c r="L321" s="5">
        <v>1281589200</v>
      </c>
      <c r="M321" s="5">
        <v>1283662800</v>
      </c>
      <c r="N321" s="8">
        <f t="shared" si="17"/>
        <v>40402.208333333336</v>
      </c>
      <c r="O321" s="8">
        <f t="shared" si="18"/>
        <v>40426.208333333336</v>
      </c>
      <c r="P321" s="21" t="str">
        <f>TEXT(CrowdfundingTable[[#This Row],[date_created]],"ddd")</f>
        <v>Thu</v>
      </c>
      <c r="Q321" s="21">
        <f>_xlfn.DAYS(CrowdfundingTable[[#This Row],[date_ended]],CrowdfundingTable[[#This Row],[date_created]])</f>
        <v>24</v>
      </c>
      <c r="R321" s="5" t="b">
        <v>0</v>
      </c>
      <c r="S321" s="5" t="b">
        <v>0</v>
      </c>
      <c r="T321" s="5" t="s">
        <v>28</v>
      </c>
      <c r="U321" s="5" t="s">
        <v>2039</v>
      </c>
      <c r="V321" s="5" t="s">
        <v>2064</v>
      </c>
      <c r="W321" s="5"/>
    </row>
    <row r="322" spans="1:23" ht="17" x14ac:dyDescent="0.2">
      <c r="A322" s="5">
        <v>320</v>
      </c>
      <c r="B322" s="5" t="s">
        <v>692</v>
      </c>
      <c r="C322" s="6" t="s">
        <v>693</v>
      </c>
      <c r="D322" s="94">
        <v>84400</v>
      </c>
      <c r="E322" s="94">
        <v>8092</v>
      </c>
      <c r="F322" s="7">
        <f t="shared" si="19"/>
        <v>9.5876777251184833E-2</v>
      </c>
      <c r="G322" s="5" t="s">
        <v>14</v>
      </c>
      <c r="H322" s="5">
        <v>80</v>
      </c>
      <c r="I322" s="96">
        <f t="shared" ref="I322:I385" si="20">IF(H322&lt;&gt;0,E322/H322,0)</f>
        <v>101.15</v>
      </c>
      <c r="J322" s="5" t="s">
        <v>21</v>
      </c>
      <c r="K322" s="5" t="s">
        <v>22</v>
      </c>
      <c r="L322" s="5">
        <v>1305003600</v>
      </c>
      <c r="M322" s="5">
        <v>1305781200</v>
      </c>
      <c r="N322" s="8">
        <f t="shared" si="17"/>
        <v>40673.208333333336</v>
      </c>
      <c r="O322" s="8">
        <f t="shared" si="18"/>
        <v>40682.208333333336</v>
      </c>
      <c r="P322" s="21" t="str">
        <f>TEXT(CrowdfundingTable[[#This Row],[date_created]],"ddd")</f>
        <v>Tue</v>
      </c>
      <c r="Q322" s="21">
        <f>_xlfn.DAYS(CrowdfundingTable[[#This Row],[date_ended]],CrowdfundingTable[[#This Row],[date_created]])</f>
        <v>9</v>
      </c>
      <c r="R322" s="5" t="b">
        <v>0</v>
      </c>
      <c r="S322" s="5" t="b">
        <v>0</v>
      </c>
      <c r="T322" s="5" t="s">
        <v>119</v>
      </c>
      <c r="U322" s="5" t="s">
        <v>2038</v>
      </c>
      <c r="V322" s="5" t="s">
        <v>2047</v>
      </c>
      <c r="W322" s="5"/>
    </row>
    <row r="323" spans="1:23" ht="34" x14ac:dyDescent="0.2">
      <c r="A323" s="5">
        <v>321</v>
      </c>
      <c r="B323" s="5" t="s">
        <v>694</v>
      </c>
      <c r="C323" s="6" t="s">
        <v>695</v>
      </c>
      <c r="D323" s="94">
        <v>170400</v>
      </c>
      <c r="E323" s="94">
        <v>160422</v>
      </c>
      <c r="F323" s="7">
        <f t="shared" si="19"/>
        <v>0.94144366197183094</v>
      </c>
      <c r="G323" s="5" t="s">
        <v>14</v>
      </c>
      <c r="H323" s="5">
        <v>2468</v>
      </c>
      <c r="I323" s="96">
        <f t="shared" si="20"/>
        <v>65.000810372771468</v>
      </c>
      <c r="J323" s="5" t="s">
        <v>21</v>
      </c>
      <c r="K323" s="5" t="s">
        <v>22</v>
      </c>
      <c r="L323" s="5">
        <v>1301634000</v>
      </c>
      <c r="M323" s="5">
        <v>1302325200</v>
      </c>
      <c r="N323" s="8">
        <f t="shared" ref="N323:N386" si="21">(((L323/60)/60)/24)+DATE(1970,1,1)</f>
        <v>40634.208333333336</v>
      </c>
      <c r="O323" s="8">
        <f t="shared" ref="O323:O386" si="22">(((M323/60)/60)/24)+DATE(1970,1,1)</f>
        <v>40642.208333333336</v>
      </c>
      <c r="P323" s="21" t="str">
        <f>TEXT(CrowdfundingTable[[#This Row],[date_created]],"ddd")</f>
        <v>Fri</v>
      </c>
      <c r="Q323" s="21">
        <f>_xlfn.DAYS(CrowdfundingTable[[#This Row],[date_ended]],CrowdfundingTable[[#This Row],[date_created]])</f>
        <v>8</v>
      </c>
      <c r="R323" s="5" t="b">
        <v>0</v>
      </c>
      <c r="S323" s="5" t="b">
        <v>0</v>
      </c>
      <c r="T323" s="5" t="s">
        <v>100</v>
      </c>
      <c r="U323" s="5" t="s">
        <v>2032</v>
      </c>
      <c r="V323" s="5" t="s">
        <v>2059</v>
      </c>
      <c r="W323" s="5"/>
    </row>
    <row r="324" spans="1:23" ht="34" x14ac:dyDescent="0.2">
      <c r="A324" s="5">
        <v>322</v>
      </c>
      <c r="B324" s="5" t="s">
        <v>696</v>
      </c>
      <c r="C324" s="6" t="s">
        <v>697</v>
      </c>
      <c r="D324" s="94">
        <v>117900</v>
      </c>
      <c r="E324" s="94">
        <v>196377</v>
      </c>
      <c r="F324" s="7">
        <f t="shared" ref="F324:F387" si="23">E324/D324</f>
        <v>1.6656234096692113</v>
      </c>
      <c r="G324" s="5" t="s">
        <v>20</v>
      </c>
      <c r="H324" s="5">
        <v>5168</v>
      </c>
      <c r="I324" s="96">
        <f t="shared" si="20"/>
        <v>37.998645510835914</v>
      </c>
      <c r="J324" s="5" t="s">
        <v>21</v>
      </c>
      <c r="K324" s="5" t="s">
        <v>22</v>
      </c>
      <c r="L324" s="5">
        <v>1290664800</v>
      </c>
      <c r="M324" s="5">
        <v>1291788000</v>
      </c>
      <c r="N324" s="8">
        <f t="shared" si="21"/>
        <v>40507.25</v>
      </c>
      <c r="O324" s="8">
        <f t="shared" si="22"/>
        <v>40520.25</v>
      </c>
      <c r="P324" s="21" t="str">
        <f>TEXT(CrowdfundingTable[[#This Row],[date_created]],"ddd")</f>
        <v>Thu</v>
      </c>
      <c r="Q324" s="21">
        <f>_xlfn.DAYS(CrowdfundingTable[[#This Row],[date_ended]],CrowdfundingTable[[#This Row],[date_created]])</f>
        <v>13</v>
      </c>
      <c r="R324" s="5" t="b">
        <v>0</v>
      </c>
      <c r="S324" s="5" t="b">
        <v>0</v>
      </c>
      <c r="T324" s="5" t="s">
        <v>33</v>
      </c>
      <c r="U324" s="5" t="s">
        <v>2040</v>
      </c>
      <c r="V324" s="5" t="s">
        <v>2055</v>
      </c>
      <c r="W324" s="5"/>
    </row>
    <row r="325" spans="1:23" ht="17" x14ac:dyDescent="0.2">
      <c r="A325" s="5">
        <v>323</v>
      </c>
      <c r="B325" s="5" t="s">
        <v>698</v>
      </c>
      <c r="C325" s="6" t="s">
        <v>699</v>
      </c>
      <c r="D325" s="94">
        <v>8900</v>
      </c>
      <c r="E325" s="94">
        <v>2148</v>
      </c>
      <c r="F325" s="7">
        <f t="shared" si="23"/>
        <v>0.24134831460674158</v>
      </c>
      <c r="G325" s="5" t="s">
        <v>14</v>
      </c>
      <c r="H325" s="5">
        <v>26</v>
      </c>
      <c r="I325" s="96">
        <f t="shared" si="20"/>
        <v>82.615384615384613</v>
      </c>
      <c r="J325" s="5" t="s">
        <v>40</v>
      </c>
      <c r="K325" s="5" t="s">
        <v>41</v>
      </c>
      <c r="L325" s="5">
        <v>1395896400</v>
      </c>
      <c r="M325" s="5">
        <v>1396069200</v>
      </c>
      <c r="N325" s="8">
        <f t="shared" si="21"/>
        <v>41725.208333333336</v>
      </c>
      <c r="O325" s="8">
        <f t="shared" si="22"/>
        <v>41727.208333333336</v>
      </c>
      <c r="P325" s="21" t="str">
        <f>TEXT(CrowdfundingTable[[#This Row],[date_created]],"ddd")</f>
        <v>Thu</v>
      </c>
      <c r="Q325" s="21">
        <f>_xlfn.DAYS(CrowdfundingTable[[#This Row],[date_ended]],CrowdfundingTable[[#This Row],[date_created]])</f>
        <v>2</v>
      </c>
      <c r="R325" s="5" t="b">
        <v>0</v>
      </c>
      <c r="S325" s="5" t="b">
        <v>0</v>
      </c>
      <c r="T325" s="5" t="s">
        <v>42</v>
      </c>
      <c r="U325" s="5" t="s">
        <v>2032</v>
      </c>
      <c r="V325" s="5" t="s">
        <v>2044</v>
      </c>
      <c r="W325" s="5"/>
    </row>
    <row r="326" spans="1:23" ht="17" x14ac:dyDescent="0.2">
      <c r="A326" s="5">
        <v>324</v>
      </c>
      <c r="B326" s="5" t="s">
        <v>700</v>
      </c>
      <c r="C326" s="6" t="s">
        <v>701</v>
      </c>
      <c r="D326" s="94">
        <v>7100</v>
      </c>
      <c r="E326" s="94">
        <v>11648</v>
      </c>
      <c r="F326" s="7">
        <f t="shared" si="23"/>
        <v>1.6405633802816901</v>
      </c>
      <c r="G326" s="5" t="s">
        <v>20</v>
      </c>
      <c r="H326" s="5">
        <v>307</v>
      </c>
      <c r="I326" s="96">
        <f t="shared" si="20"/>
        <v>37.941368078175898</v>
      </c>
      <c r="J326" s="5" t="s">
        <v>21</v>
      </c>
      <c r="K326" s="5" t="s">
        <v>22</v>
      </c>
      <c r="L326" s="5">
        <v>1434862800</v>
      </c>
      <c r="M326" s="5">
        <v>1435899600</v>
      </c>
      <c r="N326" s="8">
        <f t="shared" si="21"/>
        <v>42176.208333333328</v>
      </c>
      <c r="O326" s="8">
        <f t="shared" si="22"/>
        <v>42188.208333333328</v>
      </c>
      <c r="P326" s="21" t="str">
        <f>TEXT(CrowdfundingTable[[#This Row],[date_created]],"ddd")</f>
        <v>Sun</v>
      </c>
      <c r="Q326" s="21">
        <f>_xlfn.DAYS(CrowdfundingTable[[#This Row],[date_ended]],CrowdfundingTable[[#This Row],[date_created]])</f>
        <v>12</v>
      </c>
      <c r="R326" s="5" t="b">
        <v>0</v>
      </c>
      <c r="S326" s="5" t="b">
        <v>1</v>
      </c>
      <c r="T326" s="5" t="s">
        <v>33</v>
      </c>
      <c r="U326" s="5" t="s">
        <v>2040</v>
      </c>
      <c r="V326" s="5" t="s">
        <v>2055</v>
      </c>
      <c r="W326" s="5"/>
    </row>
    <row r="327" spans="1:23" ht="17" x14ac:dyDescent="0.2">
      <c r="A327" s="5">
        <v>325</v>
      </c>
      <c r="B327" s="5" t="s">
        <v>702</v>
      </c>
      <c r="C327" s="6" t="s">
        <v>703</v>
      </c>
      <c r="D327" s="94">
        <v>6500</v>
      </c>
      <c r="E327" s="94">
        <v>5897</v>
      </c>
      <c r="F327" s="7">
        <f t="shared" si="23"/>
        <v>0.90723076923076929</v>
      </c>
      <c r="G327" s="5" t="s">
        <v>14</v>
      </c>
      <c r="H327" s="5">
        <v>73</v>
      </c>
      <c r="I327" s="96">
        <f t="shared" si="20"/>
        <v>80.780821917808225</v>
      </c>
      <c r="J327" s="5" t="s">
        <v>21</v>
      </c>
      <c r="K327" s="5" t="s">
        <v>22</v>
      </c>
      <c r="L327" s="5">
        <v>1529125200</v>
      </c>
      <c r="M327" s="5">
        <v>1531112400</v>
      </c>
      <c r="N327" s="8">
        <f t="shared" si="21"/>
        <v>43267.208333333328</v>
      </c>
      <c r="O327" s="8">
        <f t="shared" si="22"/>
        <v>43290.208333333328</v>
      </c>
      <c r="P327" s="21" t="str">
        <f>TEXT(CrowdfundingTable[[#This Row],[date_created]],"ddd")</f>
        <v>Sat</v>
      </c>
      <c r="Q327" s="21">
        <f>_xlfn.DAYS(CrowdfundingTable[[#This Row],[date_ended]],CrowdfundingTable[[#This Row],[date_created]])</f>
        <v>23</v>
      </c>
      <c r="R327" s="5" t="b">
        <v>0</v>
      </c>
      <c r="S327" s="5" t="b">
        <v>1</v>
      </c>
      <c r="T327" s="5" t="s">
        <v>33</v>
      </c>
      <c r="U327" s="5" t="s">
        <v>2040</v>
      </c>
      <c r="V327" s="5" t="s">
        <v>2055</v>
      </c>
      <c r="W327" s="5"/>
    </row>
    <row r="328" spans="1:23" ht="34" x14ac:dyDescent="0.2">
      <c r="A328" s="5">
        <v>326</v>
      </c>
      <c r="B328" s="5" t="s">
        <v>704</v>
      </c>
      <c r="C328" s="6" t="s">
        <v>705</v>
      </c>
      <c r="D328" s="94">
        <v>7200</v>
      </c>
      <c r="E328" s="94">
        <v>3326</v>
      </c>
      <c r="F328" s="7">
        <f t="shared" si="23"/>
        <v>0.46194444444444444</v>
      </c>
      <c r="G328" s="5" t="s">
        <v>14</v>
      </c>
      <c r="H328" s="5">
        <v>128</v>
      </c>
      <c r="I328" s="96">
        <f t="shared" si="20"/>
        <v>25.984375</v>
      </c>
      <c r="J328" s="5" t="s">
        <v>21</v>
      </c>
      <c r="K328" s="5" t="s">
        <v>22</v>
      </c>
      <c r="L328" s="5">
        <v>1451109600</v>
      </c>
      <c r="M328" s="5">
        <v>1451628000</v>
      </c>
      <c r="N328" s="8">
        <f t="shared" si="21"/>
        <v>42364.25</v>
      </c>
      <c r="O328" s="8">
        <f t="shared" si="22"/>
        <v>42370.25</v>
      </c>
      <c r="P328" s="21" t="str">
        <f>TEXT(CrowdfundingTable[[#This Row],[date_created]],"ddd")</f>
        <v>Sat</v>
      </c>
      <c r="Q328" s="21">
        <f>_xlfn.DAYS(CrowdfundingTable[[#This Row],[date_ended]],CrowdfundingTable[[#This Row],[date_created]])</f>
        <v>6</v>
      </c>
      <c r="R328" s="5" t="b">
        <v>0</v>
      </c>
      <c r="S328" s="5" t="b">
        <v>0</v>
      </c>
      <c r="T328" s="5" t="s">
        <v>71</v>
      </c>
      <c r="U328" s="5" t="s">
        <v>2032</v>
      </c>
      <c r="V328" s="5" t="s">
        <v>2042</v>
      </c>
      <c r="W328" s="5"/>
    </row>
    <row r="329" spans="1:23" ht="17" x14ac:dyDescent="0.2">
      <c r="A329" s="5">
        <v>327</v>
      </c>
      <c r="B329" s="5" t="s">
        <v>706</v>
      </c>
      <c r="C329" s="6" t="s">
        <v>707</v>
      </c>
      <c r="D329" s="94">
        <v>2600</v>
      </c>
      <c r="E329" s="94">
        <v>1002</v>
      </c>
      <c r="F329" s="7">
        <f t="shared" si="23"/>
        <v>0.38538461538461538</v>
      </c>
      <c r="G329" s="5" t="s">
        <v>14</v>
      </c>
      <c r="H329" s="5">
        <v>33</v>
      </c>
      <c r="I329" s="96">
        <f t="shared" si="20"/>
        <v>30.363636363636363</v>
      </c>
      <c r="J329" s="5" t="s">
        <v>21</v>
      </c>
      <c r="K329" s="5" t="s">
        <v>22</v>
      </c>
      <c r="L329" s="5">
        <v>1566968400</v>
      </c>
      <c r="M329" s="5">
        <v>1567314000</v>
      </c>
      <c r="N329" s="8">
        <f t="shared" si="21"/>
        <v>43705.208333333328</v>
      </c>
      <c r="O329" s="8">
        <f t="shared" si="22"/>
        <v>43709.208333333328</v>
      </c>
      <c r="P329" s="21" t="str">
        <f>TEXT(CrowdfundingTable[[#This Row],[date_created]],"ddd")</f>
        <v>Wed</v>
      </c>
      <c r="Q329" s="21">
        <f>_xlfn.DAYS(CrowdfundingTable[[#This Row],[date_ended]],CrowdfundingTable[[#This Row],[date_created]])</f>
        <v>4</v>
      </c>
      <c r="R329" s="5" t="b">
        <v>0</v>
      </c>
      <c r="S329" s="5" t="b">
        <v>1</v>
      </c>
      <c r="T329" s="5" t="s">
        <v>33</v>
      </c>
      <c r="U329" s="5" t="s">
        <v>2040</v>
      </c>
      <c r="V329" s="5" t="s">
        <v>2055</v>
      </c>
      <c r="W329" s="5"/>
    </row>
    <row r="330" spans="1:23" ht="34" x14ac:dyDescent="0.2">
      <c r="A330" s="5">
        <v>328</v>
      </c>
      <c r="B330" s="5" t="s">
        <v>708</v>
      </c>
      <c r="C330" s="6" t="s">
        <v>709</v>
      </c>
      <c r="D330" s="94">
        <v>98700</v>
      </c>
      <c r="E330" s="94">
        <v>131826</v>
      </c>
      <c r="F330" s="7">
        <f t="shared" si="23"/>
        <v>1.3356231003039514</v>
      </c>
      <c r="G330" s="5" t="s">
        <v>20</v>
      </c>
      <c r="H330" s="5">
        <v>2441</v>
      </c>
      <c r="I330" s="96">
        <f t="shared" si="20"/>
        <v>54.004916018025398</v>
      </c>
      <c r="J330" s="5" t="s">
        <v>21</v>
      </c>
      <c r="K330" s="5" t="s">
        <v>22</v>
      </c>
      <c r="L330" s="5">
        <v>1543557600</v>
      </c>
      <c r="M330" s="5">
        <v>1544508000</v>
      </c>
      <c r="N330" s="8">
        <f t="shared" si="21"/>
        <v>43434.25</v>
      </c>
      <c r="O330" s="8">
        <f t="shared" si="22"/>
        <v>43445.25</v>
      </c>
      <c r="P330" s="21" t="str">
        <f>TEXT(CrowdfundingTable[[#This Row],[date_created]],"ddd")</f>
        <v>Fri</v>
      </c>
      <c r="Q330" s="21">
        <f>_xlfn.DAYS(CrowdfundingTable[[#This Row],[date_ended]],CrowdfundingTable[[#This Row],[date_created]])</f>
        <v>11</v>
      </c>
      <c r="R330" s="5" t="b">
        <v>0</v>
      </c>
      <c r="S330" s="5" t="b">
        <v>0</v>
      </c>
      <c r="T330" s="5" t="s">
        <v>23</v>
      </c>
      <c r="U330" s="5" t="s">
        <v>2036</v>
      </c>
      <c r="V330" s="5" t="s">
        <v>2057</v>
      </c>
      <c r="W330" s="5"/>
    </row>
    <row r="331" spans="1:23" ht="17" x14ac:dyDescent="0.2">
      <c r="A331" s="5">
        <v>329</v>
      </c>
      <c r="B331" s="5" t="s">
        <v>710</v>
      </c>
      <c r="C331" s="6" t="s">
        <v>711</v>
      </c>
      <c r="D331" s="94">
        <v>93800</v>
      </c>
      <c r="E331" s="94">
        <v>21477</v>
      </c>
      <c r="F331" s="7">
        <f t="shared" si="23"/>
        <v>0.22896588486140726</v>
      </c>
      <c r="G331" s="5" t="s">
        <v>47</v>
      </c>
      <c r="H331" s="5">
        <v>211</v>
      </c>
      <c r="I331" s="96">
        <f t="shared" si="20"/>
        <v>101.78672985781991</v>
      </c>
      <c r="J331" s="5" t="s">
        <v>21</v>
      </c>
      <c r="K331" s="5" t="s">
        <v>22</v>
      </c>
      <c r="L331" s="5">
        <v>1481522400</v>
      </c>
      <c r="M331" s="5">
        <v>1482472800</v>
      </c>
      <c r="N331" s="8">
        <f t="shared" si="21"/>
        <v>42716.25</v>
      </c>
      <c r="O331" s="8">
        <f t="shared" si="22"/>
        <v>42727.25</v>
      </c>
      <c r="P331" s="21" t="str">
        <f>TEXT(CrowdfundingTable[[#This Row],[date_created]],"ddd")</f>
        <v>Mon</v>
      </c>
      <c r="Q331" s="21">
        <f>_xlfn.DAYS(CrowdfundingTable[[#This Row],[date_ended]],CrowdfundingTable[[#This Row],[date_created]])</f>
        <v>11</v>
      </c>
      <c r="R331" s="5" t="b">
        <v>0</v>
      </c>
      <c r="S331" s="5" t="b">
        <v>0</v>
      </c>
      <c r="T331" s="5" t="s">
        <v>89</v>
      </c>
      <c r="U331" s="5" t="s">
        <v>2034</v>
      </c>
      <c r="V331" s="5" t="s">
        <v>2062</v>
      </c>
      <c r="W331" s="5"/>
    </row>
    <row r="332" spans="1:23" ht="34" x14ac:dyDescent="0.2">
      <c r="A332" s="5">
        <v>330</v>
      </c>
      <c r="B332" s="5" t="s">
        <v>712</v>
      </c>
      <c r="C332" s="6" t="s">
        <v>713</v>
      </c>
      <c r="D332" s="94">
        <v>33700</v>
      </c>
      <c r="E332" s="94">
        <v>62330</v>
      </c>
      <c r="F332" s="7">
        <f t="shared" si="23"/>
        <v>1.8495548961424333</v>
      </c>
      <c r="G332" s="5" t="s">
        <v>20</v>
      </c>
      <c r="H332" s="5">
        <v>1385</v>
      </c>
      <c r="I332" s="96">
        <f t="shared" si="20"/>
        <v>45.003610108303249</v>
      </c>
      <c r="J332" s="5" t="s">
        <v>40</v>
      </c>
      <c r="K332" s="5" t="s">
        <v>41</v>
      </c>
      <c r="L332" s="5">
        <v>1512712800</v>
      </c>
      <c r="M332" s="5">
        <v>1512799200</v>
      </c>
      <c r="N332" s="8">
        <f t="shared" si="21"/>
        <v>43077.25</v>
      </c>
      <c r="O332" s="8">
        <f t="shared" si="22"/>
        <v>43078.25</v>
      </c>
      <c r="P332" s="21" t="str">
        <f>TEXT(CrowdfundingTable[[#This Row],[date_created]],"ddd")</f>
        <v>Fri</v>
      </c>
      <c r="Q332" s="21">
        <f>_xlfn.DAYS(CrowdfundingTable[[#This Row],[date_ended]],CrowdfundingTable[[#This Row],[date_created]])</f>
        <v>1</v>
      </c>
      <c r="R332" s="5" t="b">
        <v>0</v>
      </c>
      <c r="S332" s="5" t="b">
        <v>0</v>
      </c>
      <c r="T332" s="5" t="s">
        <v>42</v>
      </c>
      <c r="U332" s="5" t="s">
        <v>2032</v>
      </c>
      <c r="V332" s="5" t="s">
        <v>2044</v>
      </c>
      <c r="W332" s="5"/>
    </row>
    <row r="333" spans="1:23" ht="17" x14ac:dyDescent="0.2">
      <c r="A333" s="5">
        <v>331</v>
      </c>
      <c r="B333" s="5" t="s">
        <v>714</v>
      </c>
      <c r="C333" s="6" t="s">
        <v>715</v>
      </c>
      <c r="D333" s="94">
        <v>3300</v>
      </c>
      <c r="E333" s="94">
        <v>14643</v>
      </c>
      <c r="F333" s="7">
        <f t="shared" si="23"/>
        <v>4.4372727272727275</v>
      </c>
      <c r="G333" s="5" t="s">
        <v>20</v>
      </c>
      <c r="H333" s="5">
        <v>190</v>
      </c>
      <c r="I333" s="96">
        <f t="shared" si="20"/>
        <v>77.068421052631578</v>
      </c>
      <c r="J333" s="5" t="s">
        <v>21</v>
      </c>
      <c r="K333" s="5" t="s">
        <v>22</v>
      </c>
      <c r="L333" s="5">
        <v>1324274400</v>
      </c>
      <c r="M333" s="5">
        <v>1324360800</v>
      </c>
      <c r="N333" s="8">
        <f t="shared" si="21"/>
        <v>40896.25</v>
      </c>
      <c r="O333" s="8">
        <f t="shared" si="22"/>
        <v>40897.25</v>
      </c>
      <c r="P333" s="21" t="str">
        <f>TEXT(CrowdfundingTable[[#This Row],[date_created]],"ddd")</f>
        <v>Mon</v>
      </c>
      <c r="Q333" s="21">
        <f>_xlfn.DAYS(CrowdfundingTable[[#This Row],[date_ended]],CrowdfundingTable[[#This Row],[date_created]])</f>
        <v>1</v>
      </c>
      <c r="R333" s="5" t="b">
        <v>0</v>
      </c>
      <c r="S333" s="5" t="b">
        <v>0</v>
      </c>
      <c r="T333" s="5" t="s">
        <v>17</v>
      </c>
      <c r="U333" s="5" t="s">
        <v>2033</v>
      </c>
      <c r="V333" s="5" t="s">
        <v>2048</v>
      </c>
      <c r="W333" s="5"/>
    </row>
    <row r="334" spans="1:23" ht="34" x14ac:dyDescent="0.2">
      <c r="A334" s="5">
        <v>332</v>
      </c>
      <c r="B334" s="5" t="s">
        <v>716</v>
      </c>
      <c r="C334" s="6" t="s">
        <v>717</v>
      </c>
      <c r="D334" s="94">
        <v>20700</v>
      </c>
      <c r="E334" s="94">
        <v>41396</v>
      </c>
      <c r="F334" s="7">
        <f t="shared" si="23"/>
        <v>1.999806763285024</v>
      </c>
      <c r="G334" s="5" t="s">
        <v>20</v>
      </c>
      <c r="H334" s="5">
        <v>470</v>
      </c>
      <c r="I334" s="96">
        <f t="shared" si="20"/>
        <v>88.076595744680844</v>
      </c>
      <c r="J334" s="5" t="s">
        <v>21</v>
      </c>
      <c r="K334" s="5" t="s">
        <v>22</v>
      </c>
      <c r="L334" s="5">
        <v>1364446800</v>
      </c>
      <c r="M334" s="5">
        <v>1364533200</v>
      </c>
      <c r="N334" s="8">
        <f t="shared" si="21"/>
        <v>41361.208333333336</v>
      </c>
      <c r="O334" s="8">
        <f t="shared" si="22"/>
        <v>41362.208333333336</v>
      </c>
      <c r="P334" s="21" t="str">
        <f>TEXT(CrowdfundingTable[[#This Row],[date_created]],"ddd")</f>
        <v>Thu</v>
      </c>
      <c r="Q334" s="21">
        <f>_xlfn.DAYS(CrowdfundingTable[[#This Row],[date_ended]],CrowdfundingTable[[#This Row],[date_created]])</f>
        <v>1</v>
      </c>
      <c r="R334" s="5" t="b">
        <v>0</v>
      </c>
      <c r="S334" s="5" t="b">
        <v>0</v>
      </c>
      <c r="T334" s="5" t="s">
        <v>65</v>
      </c>
      <c r="U334" s="5" t="s">
        <v>2039</v>
      </c>
      <c r="V334" s="5" t="s">
        <v>2063</v>
      </c>
      <c r="W334" s="5"/>
    </row>
    <row r="335" spans="1:23" ht="17" x14ac:dyDescent="0.2">
      <c r="A335" s="5">
        <v>333</v>
      </c>
      <c r="B335" s="5" t="s">
        <v>718</v>
      </c>
      <c r="C335" s="6" t="s">
        <v>719</v>
      </c>
      <c r="D335" s="94">
        <v>9600</v>
      </c>
      <c r="E335" s="94">
        <v>11900</v>
      </c>
      <c r="F335" s="7">
        <f t="shared" si="23"/>
        <v>1.2395833333333333</v>
      </c>
      <c r="G335" s="5" t="s">
        <v>20</v>
      </c>
      <c r="H335" s="5">
        <v>253</v>
      </c>
      <c r="I335" s="96">
        <f t="shared" si="20"/>
        <v>47.035573122529641</v>
      </c>
      <c r="J335" s="5" t="s">
        <v>21</v>
      </c>
      <c r="K335" s="5" t="s">
        <v>22</v>
      </c>
      <c r="L335" s="5">
        <v>1542693600</v>
      </c>
      <c r="M335" s="5">
        <v>1545112800</v>
      </c>
      <c r="N335" s="8">
        <f t="shared" si="21"/>
        <v>43424.25</v>
      </c>
      <c r="O335" s="8">
        <f t="shared" si="22"/>
        <v>43452.25</v>
      </c>
      <c r="P335" s="21" t="str">
        <f>TEXT(CrowdfundingTable[[#This Row],[date_created]],"ddd")</f>
        <v>Tue</v>
      </c>
      <c r="Q335" s="21">
        <f>_xlfn.DAYS(CrowdfundingTable[[#This Row],[date_ended]],CrowdfundingTable[[#This Row],[date_created]])</f>
        <v>28</v>
      </c>
      <c r="R335" s="5" t="b">
        <v>0</v>
      </c>
      <c r="S335" s="5" t="b">
        <v>0</v>
      </c>
      <c r="T335" s="5" t="s">
        <v>33</v>
      </c>
      <c r="U335" s="5" t="s">
        <v>2040</v>
      </c>
      <c r="V335" s="5" t="s">
        <v>2055</v>
      </c>
      <c r="W335" s="5"/>
    </row>
    <row r="336" spans="1:23" ht="17" x14ac:dyDescent="0.2">
      <c r="A336" s="5">
        <v>334</v>
      </c>
      <c r="B336" s="5" t="s">
        <v>720</v>
      </c>
      <c r="C336" s="6" t="s">
        <v>721</v>
      </c>
      <c r="D336" s="94">
        <v>66200</v>
      </c>
      <c r="E336" s="94">
        <v>123538</v>
      </c>
      <c r="F336" s="7">
        <f t="shared" si="23"/>
        <v>1.8661329305135952</v>
      </c>
      <c r="G336" s="5" t="s">
        <v>20</v>
      </c>
      <c r="H336" s="5">
        <v>1113</v>
      </c>
      <c r="I336" s="96">
        <f t="shared" si="20"/>
        <v>110.99550763701707</v>
      </c>
      <c r="J336" s="5" t="s">
        <v>21</v>
      </c>
      <c r="K336" s="5" t="s">
        <v>22</v>
      </c>
      <c r="L336" s="5">
        <v>1515564000</v>
      </c>
      <c r="M336" s="5">
        <v>1516168800</v>
      </c>
      <c r="N336" s="8">
        <f t="shared" si="21"/>
        <v>43110.25</v>
      </c>
      <c r="O336" s="8">
        <f t="shared" si="22"/>
        <v>43117.25</v>
      </c>
      <c r="P336" s="21" t="str">
        <f>TEXT(CrowdfundingTable[[#This Row],[date_created]],"ddd")</f>
        <v>Wed</v>
      </c>
      <c r="Q336" s="21">
        <f>_xlfn.DAYS(CrowdfundingTable[[#This Row],[date_ended]],CrowdfundingTable[[#This Row],[date_created]])</f>
        <v>7</v>
      </c>
      <c r="R336" s="5" t="b">
        <v>0</v>
      </c>
      <c r="S336" s="5" t="b">
        <v>0</v>
      </c>
      <c r="T336" s="5" t="s">
        <v>23</v>
      </c>
      <c r="U336" s="5" t="s">
        <v>2036</v>
      </c>
      <c r="V336" s="5" t="s">
        <v>2057</v>
      </c>
      <c r="W336" s="5"/>
    </row>
    <row r="337" spans="1:23" ht="17" x14ac:dyDescent="0.2">
      <c r="A337" s="5">
        <v>335</v>
      </c>
      <c r="B337" s="5" t="s">
        <v>722</v>
      </c>
      <c r="C337" s="6" t="s">
        <v>723</v>
      </c>
      <c r="D337" s="94">
        <v>173800</v>
      </c>
      <c r="E337" s="94">
        <v>198628</v>
      </c>
      <c r="F337" s="7">
        <f t="shared" si="23"/>
        <v>1.1428538550057536</v>
      </c>
      <c r="G337" s="5" t="s">
        <v>20</v>
      </c>
      <c r="H337" s="5">
        <v>2283</v>
      </c>
      <c r="I337" s="96">
        <f t="shared" si="20"/>
        <v>87.003066141042481</v>
      </c>
      <c r="J337" s="5" t="s">
        <v>21</v>
      </c>
      <c r="K337" s="5" t="s">
        <v>22</v>
      </c>
      <c r="L337" s="5">
        <v>1573797600</v>
      </c>
      <c r="M337" s="5">
        <v>1574920800</v>
      </c>
      <c r="N337" s="8">
        <f t="shared" si="21"/>
        <v>43784.25</v>
      </c>
      <c r="O337" s="8">
        <f t="shared" si="22"/>
        <v>43797.25</v>
      </c>
      <c r="P337" s="21" t="str">
        <f>TEXT(CrowdfundingTable[[#This Row],[date_created]],"ddd")</f>
        <v>Fri</v>
      </c>
      <c r="Q337" s="21">
        <f>_xlfn.DAYS(CrowdfundingTable[[#This Row],[date_ended]],CrowdfundingTable[[#This Row],[date_created]])</f>
        <v>13</v>
      </c>
      <c r="R337" s="5" t="b">
        <v>0</v>
      </c>
      <c r="S337" s="5" t="b">
        <v>0</v>
      </c>
      <c r="T337" s="5" t="s">
        <v>23</v>
      </c>
      <c r="U337" s="5" t="s">
        <v>2036</v>
      </c>
      <c r="V337" s="5" t="s">
        <v>2057</v>
      </c>
      <c r="W337" s="5"/>
    </row>
    <row r="338" spans="1:23" ht="17" x14ac:dyDescent="0.2">
      <c r="A338" s="5">
        <v>336</v>
      </c>
      <c r="B338" s="5" t="s">
        <v>724</v>
      </c>
      <c r="C338" s="6" t="s">
        <v>725</v>
      </c>
      <c r="D338" s="94">
        <v>70700</v>
      </c>
      <c r="E338" s="94">
        <v>68602</v>
      </c>
      <c r="F338" s="7">
        <f t="shared" si="23"/>
        <v>0.97032531824611035</v>
      </c>
      <c r="G338" s="5" t="s">
        <v>14</v>
      </c>
      <c r="H338" s="5">
        <v>1072</v>
      </c>
      <c r="I338" s="96">
        <f t="shared" si="20"/>
        <v>63.994402985074629</v>
      </c>
      <c r="J338" s="5" t="s">
        <v>21</v>
      </c>
      <c r="K338" s="5" t="s">
        <v>22</v>
      </c>
      <c r="L338" s="5">
        <v>1292392800</v>
      </c>
      <c r="M338" s="5">
        <v>1292479200</v>
      </c>
      <c r="N338" s="8">
        <f t="shared" si="21"/>
        <v>40527.25</v>
      </c>
      <c r="O338" s="8">
        <f t="shared" si="22"/>
        <v>40528.25</v>
      </c>
      <c r="P338" s="21" t="str">
        <f>TEXT(CrowdfundingTable[[#This Row],[date_created]],"ddd")</f>
        <v>Wed</v>
      </c>
      <c r="Q338" s="21">
        <f>_xlfn.DAYS(CrowdfundingTable[[#This Row],[date_ended]],CrowdfundingTable[[#This Row],[date_created]])</f>
        <v>1</v>
      </c>
      <c r="R338" s="5" t="b">
        <v>0</v>
      </c>
      <c r="S338" s="5" t="b">
        <v>1</v>
      </c>
      <c r="T338" s="5" t="s">
        <v>23</v>
      </c>
      <c r="U338" s="5" t="s">
        <v>2036</v>
      </c>
      <c r="V338" s="5" t="s">
        <v>2057</v>
      </c>
      <c r="W338" s="5"/>
    </row>
    <row r="339" spans="1:23" ht="17" x14ac:dyDescent="0.2">
      <c r="A339" s="5">
        <v>337</v>
      </c>
      <c r="B339" s="5" t="s">
        <v>726</v>
      </c>
      <c r="C339" s="6" t="s">
        <v>727</v>
      </c>
      <c r="D339" s="94">
        <v>94500</v>
      </c>
      <c r="E339" s="94">
        <v>116064</v>
      </c>
      <c r="F339" s="7">
        <f t="shared" si="23"/>
        <v>1.2281904761904763</v>
      </c>
      <c r="G339" s="5" t="s">
        <v>20</v>
      </c>
      <c r="H339" s="5">
        <v>1095</v>
      </c>
      <c r="I339" s="96">
        <f t="shared" si="20"/>
        <v>105.9945205479452</v>
      </c>
      <c r="J339" s="5" t="s">
        <v>21</v>
      </c>
      <c r="K339" s="5" t="s">
        <v>22</v>
      </c>
      <c r="L339" s="5">
        <v>1573452000</v>
      </c>
      <c r="M339" s="5">
        <v>1573538400</v>
      </c>
      <c r="N339" s="8">
        <f t="shared" si="21"/>
        <v>43780.25</v>
      </c>
      <c r="O339" s="8">
        <f t="shared" si="22"/>
        <v>43781.25</v>
      </c>
      <c r="P339" s="21" t="str">
        <f>TEXT(CrowdfundingTable[[#This Row],[date_created]],"ddd")</f>
        <v>Mon</v>
      </c>
      <c r="Q339" s="21">
        <f>_xlfn.DAYS(CrowdfundingTable[[#This Row],[date_ended]],CrowdfundingTable[[#This Row],[date_created]])</f>
        <v>1</v>
      </c>
      <c r="R339" s="5" t="b">
        <v>0</v>
      </c>
      <c r="S339" s="5" t="b">
        <v>0</v>
      </c>
      <c r="T339" s="5" t="s">
        <v>33</v>
      </c>
      <c r="U339" s="5" t="s">
        <v>2040</v>
      </c>
      <c r="V339" s="5" t="s">
        <v>2055</v>
      </c>
      <c r="W339" s="5"/>
    </row>
    <row r="340" spans="1:23" ht="17" x14ac:dyDescent="0.2">
      <c r="A340" s="5">
        <v>338</v>
      </c>
      <c r="B340" s="5" t="s">
        <v>728</v>
      </c>
      <c r="C340" s="6" t="s">
        <v>729</v>
      </c>
      <c r="D340" s="94">
        <v>69800</v>
      </c>
      <c r="E340" s="94">
        <v>125042</v>
      </c>
      <c r="F340" s="7">
        <f t="shared" si="23"/>
        <v>1.7914326647564469</v>
      </c>
      <c r="G340" s="5" t="s">
        <v>20</v>
      </c>
      <c r="H340" s="5">
        <v>1690</v>
      </c>
      <c r="I340" s="96">
        <f t="shared" si="20"/>
        <v>73.989349112426041</v>
      </c>
      <c r="J340" s="5" t="s">
        <v>21</v>
      </c>
      <c r="K340" s="5" t="s">
        <v>22</v>
      </c>
      <c r="L340" s="5">
        <v>1317790800</v>
      </c>
      <c r="M340" s="5">
        <v>1320382800</v>
      </c>
      <c r="N340" s="8">
        <f t="shared" si="21"/>
        <v>40821.208333333336</v>
      </c>
      <c r="O340" s="8">
        <f t="shared" si="22"/>
        <v>40851.208333333336</v>
      </c>
      <c r="P340" s="21" t="str">
        <f>TEXT(CrowdfundingTable[[#This Row],[date_created]],"ddd")</f>
        <v>Wed</v>
      </c>
      <c r="Q340" s="21">
        <f>_xlfn.DAYS(CrowdfundingTable[[#This Row],[date_ended]],CrowdfundingTable[[#This Row],[date_created]])</f>
        <v>30</v>
      </c>
      <c r="R340" s="5" t="b">
        <v>0</v>
      </c>
      <c r="S340" s="5" t="b">
        <v>0</v>
      </c>
      <c r="T340" s="5" t="s">
        <v>33</v>
      </c>
      <c r="U340" s="5" t="s">
        <v>2040</v>
      </c>
      <c r="V340" s="5" t="s">
        <v>2055</v>
      </c>
      <c r="W340" s="5"/>
    </row>
    <row r="341" spans="1:23" ht="17" x14ac:dyDescent="0.2">
      <c r="A341" s="5">
        <v>339</v>
      </c>
      <c r="B341" s="5" t="s">
        <v>730</v>
      </c>
      <c r="C341" s="6" t="s">
        <v>731</v>
      </c>
      <c r="D341" s="94">
        <v>136300</v>
      </c>
      <c r="E341" s="94">
        <v>108974</v>
      </c>
      <c r="F341" s="7">
        <f t="shared" si="23"/>
        <v>0.79951577402787966</v>
      </c>
      <c r="G341" s="5" t="s">
        <v>74</v>
      </c>
      <c r="H341" s="5">
        <v>1297</v>
      </c>
      <c r="I341" s="96">
        <f t="shared" si="20"/>
        <v>84.02004626060139</v>
      </c>
      <c r="J341" s="5" t="s">
        <v>15</v>
      </c>
      <c r="K341" s="5" t="s">
        <v>16</v>
      </c>
      <c r="L341" s="5">
        <v>1501650000</v>
      </c>
      <c r="M341" s="5">
        <v>1502859600</v>
      </c>
      <c r="N341" s="8">
        <f t="shared" si="21"/>
        <v>42949.208333333328</v>
      </c>
      <c r="O341" s="8">
        <f t="shared" si="22"/>
        <v>42963.208333333328</v>
      </c>
      <c r="P341" s="21" t="str">
        <f>TEXT(CrowdfundingTable[[#This Row],[date_created]],"ddd")</f>
        <v>Wed</v>
      </c>
      <c r="Q341" s="21">
        <f>_xlfn.DAYS(CrowdfundingTable[[#This Row],[date_ended]],CrowdfundingTable[[#This Row],[date_created]])</f>
        <v>14</v>
      </c>
      <c r="R341" s="5" t="b">
        <v>0</v>
      </c>
      <c r="S341" s="5" t="b">
        <v>0</v>
      </c>
      <c r="T341" s="5" t="s">
        <v>33</v>
      </c>
      <c r="U341" s="5" t="s">
        <v>2040</v>
      </c>
      <c r="V341" s="5" t="s">
        <v>2055</v>
      </c>
      <c r="W341" s="5"/>
    </row>
    <row r="342" spans="1:23" ht="17" x14ac:dyDescent="0.2">
      <c r="A342" s="5">
        <v>340</v>
      </c>
      <c r="B342" s="5" t="s">
        <v>732</v>
      </c>
      <c r="C342" s="6" t="s">
        <v>733</v>
      </c>
      <c r="D342" s="94">
        <v>37100</v>
      </c>
      <c r="E342" s="94">
        <v>34964</v>
      </c>
      <c r="F342" s="7">
        <f t="shared" si="23"/>
        <v>0.94242587601078165</v>
      </c>
      <c r="G342" s="5" t="s">
        <v>14</v>
      </c>
      <c r="H342" s="5">
        <v>393</v>
      </c>
      <c r="I342" s="96">
        <f t="shared" si="20"/>
        <v>88.966921119592882</v>
      </c>
      <c r="J342" s="5" t="s">
        <v>21</v>
      </c>
      <c r="K342" s="5" t="s">
        <v>22</v>
      </c>
      <c r="L342" s="5">
        <v>1323669600</v>
      </c>
      <c r="M342" s="5">
        <v>1323756000</v>
      </c>
      <c r="N342" s="8">
        <f t="shared" si="21"/>
        <v>40889.25</v>
      </c>
      <c r="O342" s="8">
        <f t="shared" si="22"/>
        <v>40890.25</v>
      </c>
      <c r="P342" s="21" t="str">
        <f>TEXT(CrowdfundingTable[[#This Row],[date_created]],"ddd")</f>
        <v>Mon</v>
      </c>
      <c r="Q342" s="21">
        <f>_xlfn.DAYS(CrowdfundingTable[[#This Row],[date_ended]],CrowdfundingTable[[#This Row],[date_created]])</f>
        <v>1</v>
      </c>
      <c r="R342" s="5" t="b">
        <v>0</v>
      </c>
      <c r="S342" s="5" t="b">
        <v>0</v>
      </c>
      <c r="T342" s="5" t="s">
        <v>122</v>
      </c>
      <c r="U342" s="5" t="s">
        <v>2037</v>
      </c>
      <c r="V342" s="5" t="s">
        <v>2054</v>
      </c>
      <c r="W342" s="5"/>
    </row>
    <row r="343" spans="1:23" ht="17" x14ac:dyDescent="0.2">
      <c r="A343" s="5">
        <v>341</v>
      </c>
      <c r="B343" s="5" t="s">
        <v>734</v>
      </c>
      <c r="C343" s="6" t="s">
        <v>735</v>
      </c>
      <c r="D343" s="94">
        <v>114300</v>
      </c>
      <c r="E343" s="94">
        <v>96777</v>
      </c>
      <c r="F343" s="7">
        <f t="shared" si="23"/>
        <v>0.84669291338582675</v>
      </c>
      <c r="G343" s="5" t="s">
        <v>14</v>
      </c>
      <c r="H343" s="5">
        <v>1257</v>
      </c>
      <c r="I343" s="96">
        <f t="shared" si="20"/>
        <v>76.990453460620529</v>
      </c>
      <c r="J343" s="5" t="s">
        <v>21</v>
      </c>
      <c r="K343" s="5" t="s">
        <v>22</v>
      </c>
      <c r="L343" s="5">
        <v>1440738000</v>
      </c>
      <c r="M343" s="5">
        <v>1441342800</v>
      </c>
      <c r="N343" s="8">
        <f t="shared" si="21"/>
        <v>42244.208333333328</v>
      </c>
      <c r="O343" s="8">
        <f t="shared" si="22"/>
        <v>42251.208333333328</v>
      </c>
      <c r="P343" s="21" t="str">
        <f>TEXT(CrowdfundingTable[[#This Row],[date_created]],"ddd")</f>
        <v>Fri</v>
      </c>
      <c r="Q343" s="21">
        <f>_xlfn.DAYS(CrowdfundingTable[[#This Row],[date_ended]],CrowdfundingTable[[#This Row],[date_created]])</f>
        <v>7</v>
      </c>
      <c r="R343" s="5" t="b">
        <v>0</v>
      </c>
      <c r="S343" s="5" t="b">
        <v>0</v>
      </c>
      <c r="T343" s="5" t="s">
        <v>60</v>
      </c>
      <c r="U343" s="5" t="s">
        <v>2036</v>
      </c>
      <c r="V343" s="5" t="s">
        <v>2049</v>
      </c>
      <c r="W343" s="5"/>
    </row>
    <row r="344" spans="1:23" ht="17" x14ac:dyDescent="0.2">
      <c r="A344" s="5">
        <v>342</v>
      </c>
      <c r="B344" s="5" t="s">
        <v>736</v>
      </c>
      <c r="C344" s="6" t="s">
        <v>737</v>
      </c>
      <c r="D344" s="94">
        <v>47900</v>
      </c>
      <c r="E344" s="94">
        <v>31864</v>
      </c>
      <c r="F344" s="7">
        <f t="shared" si="23"/>
        <v>0.66521920668058454</v>
      </c>
      <c r="G344" s="5" t="s">
        <v>14</v>
      </c>
      <c r="H344" s="5">
        <v>328</v>
      </c>
      <c r="I344" s="96">
        <f t="shared" si="20"/>
        <v>97.146341463414629</v>
      </c>
      <c r="J344" s="5" t="s">
        <v>21</v>
      </c>
      <c r="K344" s="5" t="s">
        <v>22</v>
      </c>
      <c r="L344" s="5">
        <v>1374296400</v>
      </c>
      <c r="M344" s="5">
        <v>1375333200</v>
      </c>
      <c r="N344" s="8">
        <f t="shared" si="21"/>
        <v>41475.208333333336</v>
      </c>
      <c r="O344" s="8">
        <f t="shared" si="22"/>
        <v>41487.208333333336</v>
      </c>
      <c r="P344" s="21" t="str">
        <f>TEXT(CrowdfundingTable[[#This Row],[date_created]],"ddd")</f>
        <v>Sat</v>
      </c>
      <c r="Q344" s="21">
        <f>_xlfn.DAYS(CrowdfundingTable[[#This Row],[date_ended]],CrowdfundingTable[[#This Row],[date_created]])</f>
        <v>12</v>
      </c>
      <c r="R344" s="5" t="b">
        <v>0</v>
      </c>
      <c r="S344" s="5" t="b">
        <v>0</v>
      </c>
      <c r="T344" s="5" t="s">
        <v>33</v>
      </c>
      <c r="U344" s="5" t="s">
        <v>2040</v>
      </c>
      <c r="V344" s="5" t="s">
        <v>2055</v>
      </c>
      <c r="W344" s="5"/>
    </row>
    <row r="345" spans="1:23" ht="17" x14ac:dyDescent="0.2">
      <c r="A345" s="5">
        <v>343</v>
      </c>
      <c r="B345" s="5" t="s">
        <v>738</v>
      </c>
      <c r="C345" s="6" t="s">
        <v>739</v>
      </c>
      <c r="D345" s="94">
        <v>9000</v>
      </c>
      <c r="E345" s="94">
        <v>4853</v>
      </c>
      <c r="F345" s="7">
        <f t="shared" si="23"/>
        <v>0.53922222222222227</v>
      </c>
      <c r="G345" s="5" t="s">
        <v>14</v>
      </c>
      <c r="H345" s="5">
        <v>147</v>
      </c>
      <c r="I345" s="96">
        <f t="shared" si="20"/>
        <v>33.013605442176868</v>
      </c>
      <c r="J345" s="5" t="s">
        <v>21</v>
      </c>
      <c r="K345" s="5" t="s">
        <v>22</v>
      </c>
      <c r="L345" s="5">
        <v>1384840800</v>
      </c>
      <c r="M345" s="5">
        <v>1389420000</v>
      </c>
      <c r="N345" s="8">
        <f t="shared" si="21"/>
        <v>41597.25</v>
      </c>
      <c r="O345" s="8">
        <f t="shared" si="22"/>
        <v>41650.25</v>
      </c>
      <c r="P345" s="21" t="str">
        <f>TEXT(CrowdfundingTable[[#This Row],[date_created]],"ddd")</f>
        <v>Tue</v>
      </c>
      <c r="Q345" s="21">
        <f>_xlfn.DAYS(CrowdfundingTable[[#This Row],[date_ended]],CrowdfundingTable[[#This Row],[date_created]])</f>
        <v>53</v>
      </c>
      <c r="R345" s="5" t="b">
        <v>0</v>
      </c>
      <c r="S345" s="5" t="b">
        <v>0</v>
      </c>
      <c r="T345" s="5" t="s">
        <v>33</v>
      </c>
      <c r="U345" s="5" t="s">
        <v>2040</v>
      </c>
      <c r="V345" s="5" t="s">
        <v>2055</v>
      </c>
      <c r="W345" s="5"/>
    </row>
    <row r="346" spans="1:23" ht="17" x14ac:dyDescent="0.2">
      <c r="A346" s="5">
        <v>344</v>
      </c>
      <c r="B346" s="5" t="s">
        <v>740</v>
      </c>
      <c r="C346" s="6" t="s">
        <v>741</v>
      </c>
      <c r="D346" s="94">
        <v>197600</v>
      </c>
      <c r="E346" s="94">
        <v>82959</v>
      </c>
      <c r="F346" s="7">
        <f t="shared" si="23"/>
        <v>0.41983299595141699</v>
      </c>
      <c r="G346" s="5" t="s">
        <v>14</v>
      </c>
      <c r="H346" s="5">
        <v>830</v>
      </c>
      <c r="I346" s="96">
        <f t="shared" si="20"/>
        <v>99.950602409638549</v>
      </c>
      <c r="J346" s="5" t="s">
        <v>21</v>
      </c>
      <c r="K346" s="5" t="s">
        <v>22</v>
      </c>
      <c r="L346" s="5">
        <v>1516600800</v>
      </c>
      <c r="M346" s="5">
        <v>1520056800</v>
      </c>
      <c r="N346" s="8">
        <f t="shared" si="21"/>
        <v>43122.25</v>
      </c>
      <c r="O346" s="8">
        <f t="shared" si="22"/>
        <v>43162.25</v>
      </c>
      <c r="P346" s="21" t="str">
        <f>TEXT(CrowdfundingTable[[#This Row],[date_created]],"ddd")</f>
        <v>Mon</v>
      </c>
      <c r="Q346" s="21">
        <f>_xlfn.DAYS(CrowdfundingTable[[#This Row],[date_ended]],CrowdfundingTable[[#This Row],[date_created]])</f>
        <v>40</v>
      </c>
      <c r="R346" s="5" t="b">
        <v>0</v>
      </c>
      <c r="S346" s="5" t="b">
        <v>0</v>
      </c>
      <c r="T346" s="5" t="s">
        <v>89</v>
      </c>
      <c r="U346" s="5" t="s">
        <v>2034</v>
      </c>
      <c r="V346" s="5" t="s">
        <v>2062</v>
      </c>
      <c r="W346" s="5"/>
    </row>
    <row r="347" spans="1:23" ht="17" x14ac:dyDescent="0.2">
      <c r="A347" s="5">
        <v>345</v>
      </c>
      <c r="B347" s="5" t="s">
        <v>742</v>
      </c>
      <c r="C347" s="6" t="s">
        <v>743</v>
      </c>
      <c r="D347" s="94">
        <v>157600</v>
      </c>
      <c r="E347" s="94">
        <v>23159</v>
      </c>
      <c r="F347" s="7">
        <f t="shared" si="23"/>
        <v>0.14694796954314721</v>
      </c>
      <c r="G347" s="5" t="s">
        <v>14</v>
      </c>
      <c r="H347" s="5">
        <v>331</v>
      </c>
      <c r="I347" s="96">
        <f t="shared" si="20"/>
        <v>69.966767371601208</v>
      </c>
      <c r="J347" s="5" t="s">
        <v>40</v>
      </c>
      <c r="K347" s="5" t="s">
        <v>41</v>
      </c>
      <c r="L347" s="5">
        <v>1436418000</v>
      </c>
      <c r="M347" s="5">
        <v>1436504400</v>
      </c>
      <c r="N347" s="8">
        <f t="shared" si="21"/>
        <v>42194.208333333328</v>
      </c>
      <c r="O347" s="8">
        <f t="shared" si="22"/>
        <v>42195.208333333328</v>
      </c>
      <c r="P347" s="21" t="str">
        <f>TEXT(CrowdfundingTable[[#This Row],[date_created]],"ddd")</f>
        <v>Thu</v>
      </c>
      <c r="Q347" s="21">
        <f>_xlfn.DAYS(CrowdfundingTable[[#This Row],[date_ended]],CrowdfundingTable[[#This Row],[date_created]])</f>
        <v>1</v>
      </c>
      <c r="R347" s="5" t="b">
        <v>0</v>
      </c>
      <c r="S347" s="5" t="b">
        <v>0</v>
      </c>
      <c r="T347" s="5" t="s">
        <v>53</v>
      </c>
      <c r="U347" s="5" t="s">
        <v>2032</v>
      </c>
      <c r="V347" s="5" t="s">
        <v>2045</v>
      </c>
      <c r="W347" s="5"/>
    </row>
    <row r="348" spans="1:23" ht="17" x14ac:dyDescent="0.2">
      <c r="A348" s="5">
        <v>346</v>
      </c>
      <c r="B348" s="5" t="s">
        <v>744</v>
      </c>
      <c r="C348" s="6" t="s">
        <v>745</v>
      </c>
      <c r="D348" s="94">
        <v>8000</v>
      </c>
      <c r="E348" s="94">
        <v>2758</v>
      </c>
      <c r="F348" s="7">
        <f t="shared" si="23"/>
        <v>0.34475</v>
      </c>
      <c r="G348" s="5" t="s">
        <v>14</v>
      </c>
      <c r="H348" s="5">
        <v>25</v>
      </c>
      <c r="I348" s="96">
        <f t="shared" si="20"/>
        <v>110.32</v>
      </c>
      <c r="J348" s="5" t="s">
        <v>21</v>
      </c>
      <c r="K348" s="5" t="s">
        <v>22</v>
      </c>
      <c r="L348" s="5">
        <v>1503550800</v>
      </c>
      <c r="M348" s="5">
        <v>1508302800</v>
      </c>
      <c r="N348" s="8">
        <f t="shared" si="21"/>
        <v>42971.208333333328</v>
      </c>
      <c r="O348" s="8">
        <f t="shared" si="22"/>
        <v>43026.208333333328</v>
      </c>
      <c r="P348" s="21" t="str">
        <f>TEXT(CrowdfundingTable[[#This Row],[date_created]],"ddd")</f>
        <v>Thu</v>
      </c>
      <c r="Q348" s="21">
        <f>_xlfn.DAYS(CrowdfundingTable[[#This Row],[date_ended]],CrowdfundingTable[[#This Row],[date_created]])</f>
        <v>55</v>
      </c>
      <c r="R348" s="5" t="b">
        <v>0</v>
      </c>
      <c r="S348" s="5" t="b">
        <v>1</v>
      </c>
      <c r="T348" s="5" t="s">
        <v>60</v>
      </c>
      <c r="U348" s="5" t="s">
        <v>2036</v>
      </c>
      <c r="V348" s="5" t="s">
        <v>2049</v>
      </c>
      <c r="W348" s="5"/>
    </row>
    <row r="349" spans="1:23" ht="17" x14ac:dyDescent="0.2">
      <c r="A349" s="5">
        <v>347</v>
      </c>
      <c r="B349" s="5" t="s">
        <v>746</v>
      </c>
      <c r="C349" s="6" t="s">
        <v>747</v>
      </c>
      <c r="D349" s="94">
        <v>900</v>
      </c>
      <c r="E349" s="94">
        <v>12607</v>
      </c>
      <c r="F349" s="7">
        <f t="shared" si="23"/>
        <v>14.007777777777777</v>
      </c>
      <c r="G349" s="5" t="s">
        <v>20</v>
      </c>
      <c r="H349" s="5">
        <v>191</v>
      </c>
      <c r="I349" s="96">
        <f t="shared" si="20"/>
        <v>66.005235602094245</v>
      </c>
      <c r="J349" s="5" t="s">
        <v>21</v>
      </c>
      <c r="K349" s="5" t="s">
        <v>22</v>
      </c>
      <c r="L349" s="5">
        <v>1423634400</v>
      </c>
      <c r="M349" s="5">
        <v>1425708000</v>
      </c>
      <c r="N349" s="8">
        <f t="shared" si="21"/>
        <v>42046.25</v>
      </c>
      <c r="O349" s="8">
        <f t="shared" si="22"/>
        <v>42070.25</v>
      </c>
      <c r="P349" s="21" t="str">
        <f>TEXT(CrowdfundingTable[[#This Row],[date_created]],"ddd")</f>
        <v>Wed</v>
      </c>
      <c r="Q349" s="21">
        <f>_xlfn.DAYS(CrowdfundingTable[[#This Row],[date_ended]],CrowdfundingTable[[#This Row],[date_created]])</f>
        <v>24</v>
      </c>
      <c r="R349" s="5" t="b">
        <v>0</v>
      </c>
      <c r="S349" s="5" t="b">
        <v>0</v>
      </c>
      <c r="T349" s="5" t="s">
        <v>28</v>
      </c>
      <c r="U349" s="5" t="s">
        <v>2039</v>
      </c>
      <c r="V349" s="5" t="s">
        <v>2064</v>
      </c>
      <c r="W349" s="5"/>
    </row>
    <row r="350" spans="1:23" ht="17" x14ac:dyDescent="0.2">
      <c r="A350" s="5">
        <v>348</v>
      </c>
      <c r="B350" s="5" t="s">
        <v>748</v>
      </c>
      <c r="C350" s="6" t="s">
        <v>749</v>
      </c>
      <c r="D350" s="94">
        <v>199000</v>
      </c>
      <c r="E350" s="94">
        <v>142823</v>
      </c>
      <c r="F350" s="7">
        <f t="shared" si="23"/>
        <v>0.71770351758793971</v>
      </c>
      <c r="G350" s="5" t="s">
        <v>14</v>
      </c>
      <c r="H350" s="5">
        <v>3483</v>
      </c>
      <c r="I350" s="96">
        <f t="shared" si="20"/>
        <v>41.005742176284812</v>
      </c>
      <c r="J350" s="5" t="s">
        <v>21</v>
      </c>
      <c r="K350" s="5" t="s">
        <v>22</v>
      </c>
      <c r="L350" s="5">
        <v>1487224800</v>
      </c>
      <c r="M350" s="5">
        <v>1488348000</v>
      </c>
      <c r="N350" s="8">
        <f t="shared" si="21"/>
        <v>42782.25</v>
      </c>
      <c r="O350" s="8">
        <f t="shared" si="22"/>
        <v>42795.25</v>
      </c>
      <c r="P350" s="21" t="str">
        <f>TEXT(CrowdfundingTable[[#This Row],[date_created]],"ddd")</f>
        <v>Thu</v>
      </c>
      <c r="Q350" s="21">
        <f>_xlfn.DAYS(CrowdfundingTable[[#This Row],[date_ended]],CrowdfundingTable[[#This Row],[date_created]])</f>
        <v>13</v>
      </c>
      <c r="R350" s="5" t="b">
        <v>0</v>
      </c>
      <c r="S350" s="5" t="b">
        <v>0</v>
      </c>
      <c r="T350" s="5" t="s">
        <v>17</v>
      </c>
      <c r="U350" s="5" t="s">
        <v>2033</v>
      </c>
      <c r="V350" s="5" t="s">
        <v>2048</v>
      </c>
      <c r="W350" s="5"/>
    </row>
    <row r="351" spans="1:23" ht="17" x14ac:dyDescent="0.2">
      <c r="A351" s="5">
        <v>349</v>
      </c>
      <c r="B351" s="5" t="s">
        <v>750</v>
      </c>
      <c r="C351" s="6" t="s">
        <v>751</v>
      </c>
      <c r="D351" s="94">
        <v>180800</v>
      </c>
      <c r="E351" s="94">
        <v>95958</v>
      </c>
      <c r="F351" s="7">
        <f t="shared" si="23"/>
        <v>0.53074115044247783</v>
      </c>
      <c r="G351" s="5" t="s">
        <v>14</v>
      </c>
      <c r="H351" s="5">
        <v>923</v>
      </c>
      <c r="I351" s="96">
        <f t="shared" si="20"/>
        <v>103.96316359696641</v>
      </c>
      <c r="J351" s="5" t="s">
        <v>21</v>
      </c>
      <c r="K351" s="5" t="s">
        <v>22</v>
      </c>
      <c r="L351" s="5">
        <v>1500008400</v>
      </c>
      <c r="M351" s="5">
        <v>1502600400</v>
      </c>
      <c r="N351" s="8">
        <f t="shared" si="21"/>
        <v>42930.208333333328</v>
      </c>
      <c r="O351" s="8">
        <f t="shared" si="22"/>
        <v>42960.208333333328</v>
      </c>
      <c r="P351" s="21" t="str">
        <f>TEXT(CrowdfundingTable[[#This Row],[date_created]],"ddd")</f>
        <v>Fri</v>
      </c>
      <c r="Q351" s="21">
        <f>_xlfn.DAYS(CrowdfundingTable[[#This Row],[date_ended]],CrowdfundingTable[[#This Row],[date_created]])</f>
        <v>30</v>
      </c>
      <c r="R351" s="5" t="b">
        <v>0</v>
      </c>
      <c r="S351" s="5" t="b">
        <v>0</v>
      </c>
      <c r="T351" s="5" t="s">
        <v>33</v>
      </c>
      <c r="U351" s="5" t="s">
        <v>2040</v>
      </c>
      <c r="V351" s="5" t="s">
        <v>2055</v>
      </c>
      <c r="W351" s="5"/>
    </row>
    <row r="352" spans="1:23" ht="17" x14ac:dyDescent="0.2">
      <c r="A352" s="5">
        <v>350</v>
      </c>
      <c r="B352" s="5" t="s">
        <v>752</v>
      </c>
      <c r="C352" s="6" t="s">
        <v>753</v>
      </c>
      <c r="D352" s="94">
        <v>100</v>
      </c>
      <c r="E352" s="94">
        <v>5</v>
      </c>
      <c r="F352" s="7">
        <f t="shared" si="23"/>
        <v>0.05</v>
      </c>
      <c r="G352" s="5" t="s">
        <v>14</v>
      </c>
      <c r="H352" s="5">
        <v>1</v>
      </c>
      <c r="I352" s="96">
        <f t="shared" si="20"/>
        <v>5</v>
      </c>
      <c r="J352" s="5" t="s">
        <v>21</v>
      </c>
      <c r="K352" s="5" t="s">
        <v>22</v>
      </c>
      <c r="L352" s="5">
        <v>1432098000</v>
      </c>
      <c r="M352" s="5">
        <v>1433653200</v>
      </c>
      <c r="N352" s="8">
        <f t="shared" si="21"/>
        <v>42144.208333333328</v>
      </c>
      <c r="O352" s="8">
        <f t="shared" si="22"/>
        <v>42162.208333333328</v>
      </c>
      <c r="P352" s="21" t="str">
        <f>TEXT(CrowdfundingTable[[#This Row],[date_created]],"ddd")</f>
        <v>Wed</v>
      </c>
      <c r="Q352" s="21">
        <f>_xlfn.DAYS(CrowdfundingTable[[#This Row],[date_ended]],CrowdfundingTable[[#This Row],[date_created]])</f>
        <v>18</v>
      </c>
      <c r="R352" s="5" t="b">
        <v>0</v>
      </c>
      <c r="S352" s="5" t="b">
        <v>1</v>
      </c>
      <c r="T352" s="5" t="s">
        <v>159</v>
      </c>
      <c r="U352" s="5" t="s">
        <v>2036</v>
      </c>
      <c r="V352" s="5" t="s">
        <v>2050</v>
      </c>
      <c r="W352" s="5"/>
    </row>
    <row r="353" spans="1:23" ht="17" x14ac:dyDescent="0.2">
      <c r="A353" s="5">
        <v>351</v>
      </c>
      <c r="B353" s="5" t="s">
        <v>754</v>
      </c>
      <c r="C353" s="6" t="s">
        <v>755</v>
      </c>
      <c r="D353" s="94">
        <v>74100</v>
      </c>
      <c r="E353" s="94">
        <v>94631</v>
      </c>
      <c r="F353" s="7">
        <f t="shared" si="23"/>
        <v>1.2770715249662619</v>
      </c>
      <c r="G353" s="5" t="s">
        <v>20</v>
      </c>
      <c r="H353" s="5">
        <v>2013</v>
      </c>
      <c r="I353" s="96">
        <f t="shared" si="20"/>
        <v>47.009935419771487</v>
      </c>
      <c r="J353" s="5" t="s">
        <v>21</v>
      </c>
      <c r="K353" s="5" t="s">
        <v>22</v>
      </c>
      <c r="L353" s="5">
        <v>1440392400</v>
      </c>
      <c r="M353" s="5">
        <v>1441602000</v>
      </c>
      <c r="N353" s="8">
        <f t="shared" si="21"/>
        <v>42240.208333333328</v>
      </c>
      <c r="O353" s="8">
        <f t="shared" si="22"/>
        <v>42254.208333333328</v>
      </c>
      <c r="P353" s="21" t="str">
        <f>TEXT(CrowdfundingTable[[#This Row],[date_created]],"ddd")</f>
        <v>Mon</v>
      </c>
      <c r="Q353" s="21">
        <f>_xlfn.DAYS(CrowdfundingTable[[#This Row],[date_ended]],CrowdfundingTable[[#This Row],[date_created]])</f>
        <v>14</v>
      </c>
      <c r="R353" s="5" t="b">
        <v>0</v>
      </c>
      <c r="S353" s="5" t="b">
        <v>0</v>
      </c>
      <c r="T353" s="5" t="s">
        <v>23</v>
      </c>
      <c r="U353" s="5" t="s">
        <v>2036</v>
      </c>
      <c r="V353" s="5" t="s">
        <v>2057</v>
      </c>
      <c r="W353" s="5"/>
    </row>
    <row r="354" spans="1:23" ht="17" x14ac:dyDescent="0.2">
      <c r="A354" s="5">
        <v>352</v>
      </c>
      <c r="B354" s="5" t="s">
        <v>756</v>
      </c>
      <c r="C354" s="6" t="s">
        <v>757</v>
      </c>
      <c r="D354" s="94">
        <v>2800</v>
      </c>
      <c r="E354" s="94">
        <v>977</v>
      </c>
      <c r="F354" s="7">
        <f t="shared" si="23"/>
        <v>0.34892857142857142</v>
      </c>
      <c r="G354" s="5" t="s">
        <v>14</v>
      </c>
      <c r="H354" s="5">
        <v>33</v>
      </c>
      <c r="I354" s="96">
        <f t="shared" si="20"/>
        <v>29.606060606060606</v>
      </c>
      <c r="J354" s="5" t="s">
        <v>15</v>
      </c>
      <c r="K354" s="5" t="s">
        <v>16</v>
      </c>
      <c r="L354" s="5">
        <v>1446876000</v>
      </c>
      <c r="M354" s="5">
        <v>1447567200</v>
      </c>
      <c r="N354" s="8">
        <f t="shared" si="21"/>
        <v>42315.25</v>
      </c>
      <c r="O354" s="8">
        <f t="shared" si="22"/>
        <v>42323.25</v>
      </c>
      <c r="P354" s="21" t="str">
        <f>TEXT(CrowdfundingTable[[#This Row],[date_created]],"ddd")</f>
        <v>Sat</v>
      </c>
      <c r="Q354" s="21">
        <f>_xlfn.DAYS(CrowdfundingTable[[#This Row],[date_ended]],CrowdfundingTable[[#This Row],[date_created]])</f>
        <v>8</v>
      </c>
      <c r="R354" s="5" t="b">
        <v>0</v>
      </c>
      <c r="S354" s="5" t="b">
        <v>0</v>
      </c>
      <c r="T354" s="5" t="s">
        <v>33</v>
      </c>
      <c r="U354" s="5" t="s">
        <v>2040</v>
      </c>
      <c r="V354" s="5" t="s">
        <v>2055</v>
      </c>
      <c r="W354" s="5"/>
    </row>
    <row r="355" spans="1:23" ht="17" x14ac:dyDescent="0.2">
      <c r="A355" s="5">
        <v>353</v>
      </c>
      <c r="B355" s="5" t="s">
        <v>758</v>
      </c>
      <c r="C355" s="6" t="s">
        <v>759</v>
      </c>
      <c r="D355" s="94">
        <v>33600</v>
      </c>
      <c r="E355" s="94">
        <v>137961</v>
      </c>
      <c r="F355" s="7">
        <f t="shared" si="23"/>
        <v>4.105982142857143</v>
      </c>
      <c r="G355" s="5" t="s">
        <v>20</v>
      </c>
      <c r="H355" s="5">
        <v>1703</v>
      </c>
      <c r="I355" s="96">
        <f t="shared" si="20"/>
        <v>81.010569583088667</v>
      </c>
      <c r="J355" s="5" t="s">
        <v>21</v>
      </c>
      <c r="K355" s="5" t="s">
        <v>22</v>
      </c>
      <c r="L355" s="5">
        <v>1562302800</v>
      </c>
      <c r="M355" s="5">
        <v>1562389200</v>
      </c>
      <c r="N355" s="8">
        <f t="shared" si="21"/>
        <v>43651.208333333328</v>
      </c>
      <c r="O355" s="8">
        <f t="shared" si="22"/>
        <v>43652.208333333328</v>
      </c>
      <c r="P355" s="21" t="str">
        <f>TEXT(CrowdfundingTable[[#This Row],[date_created]],"ddd")</f>
        <v>Fri</v>
      </c>
      <c r="Q355" s="21">
        <f>_xlfn.DAYS(CrowdfundingTable[[#This Row],[date_ended]],CrowdfundingTable[[#This Row],[date_created]])</f>
        <v>1</v>
      </c>
      <c r="R355" s="5" t="b">
        <v>0</v>
      </c>
      <c r="S355" s="5" t="b">
        <v>0</v>
      </c>
      <c r="T355" s="5" t="s">
        <v>33</v>
      </c>
      <c r="U355" s="5" t="s">
        <v>2040</v>
      </c>
      <c r="V355" s="5" t="s">
        <v>2055</v>
      </c>
      <c r="W355" s="5"/>
    </row>
    <row r="356" spans="1:23" ht="17" x14ac:dyDescent="0.2">
      <c r="A356" s="5">
        <v>354</v>
      </c>
      <c r="B356" s="5" t="s">
        <v>760</v>
      </c>
      <c r="C356" s="6" t="s">
        <v>761</v>
      </c>
      <c r="D356" s="94">
        <v>6100</v>
      </c>
      <c r="E356" s="94">
        <v>7548</v>
      </c>
      <c r="F356" s="7">
        <f t="shared" si="23"/>
        <v>1.2373770491803278</v>
      </c>
      <c r="G356" s="5" t="s">
        <v>20</v>
      </c>
      <c r="H356" s="5">
        <v>80</v>
      </c>
      <c r="I356" s="96">
        <f t="shared" si="20"/>
        <v>94.35</v>
      </c>
      <c r="J356" s="5" t="s">
        <v>36</v>
      </c>
      <c r="K356" s="5" t="s">
        <v>37</v>
      </c>
      <c r="L356" s="5">
        <v>1378184400</v>
      </c>
      <c r="M356" s="5">
        <v>1378789200</v>
      </c>
      <c r="N356" s="8">
        <f t="shared" si="21"/>
        <v>41520.208333333336</v>
      </c>
      <c r="O356" s="8">
        <f t="shared" si="22"/>
        <v>41527.208333333336</v>
      </c>
      <c r="P356" s="21" t="str">
        <f>TEXT(CrowdfundingTable[[#This Row],[date_created]],"ddd")</f>
        <v>Tue</v>
      </c>
      <c r="Q356" s="21">
        <f>_xlfn.DAYS(CrowdfundingTable[[#This Row],[date_ended]],CrowdfundingTable[[#This Row],[date_created]])</f>
        <v>7</v>
      </c>
      <c r="R356" s="5" t="b">
        <v>0</v>
      </c>
      <c r="S356" s="5" t="b">
        <v>0</v>
      </c>
      <c r="T356" s="5" t="s">
        <v>42</v>
      </c>
      <c r="U356" s="5" t="s">
        <v>2032</v>
      </c>
      <c r="V356" s="5" t="s">
        <v>2044</v>
      </c>
      <c r="W356" s="5"/>
    </row>
    <row r="357" spans="1:23" ht="17" x14ac:dyDescent="0.2">
      <c r="A357" s="5">
        <v>355</v>
      </c>
      <c r="B357" s="5" t="s">
        <v>762</v>
      </c>
      <c r="C357" s="6" t="s">
        <v>763</v>
      </c>
      <c r="D357" s="94">
        <v>3800</v>
      </c>
      <c r="E357" s="94">
        <v>2241</v>
      </c>
      <c r="F357" s="7">
        <f t="shared" si="23"/>
        <v>0.58973684210526311</v>
      </c>
      <c r="G357" s="5" t="s">
        <v>47</v>
      </c>
      <c r="H357" s="5">
        <v>86</v>
      </c>
      <c r="I357" s="96">
        <f t="shared" si="20"/>
        <v>26.058139534883722</v>
      </c>
      <c r="J357" s="5" t="s">
        <v>21</v>
      </c>
      <c r="K357" s="5" t="s">
        <v>22</v>
      </c>
      <c r="L357" s="5">
        <v>1485064800</v>
      </c>
      <c r="M357" s="5">
        <v>1488520800</v>
      </c>
      <c r="N357" s="8">
        <f t="shared" si="21"/>
        <v>42757.25</v>
      </c>
      <c r="O357" s="8">
        <f t="shared" si="22"/>
        <v>42797.25</v>
      </c>
      <c r="P357" s="21" t="str">
        <f>TEXT(CrowdfundingTable[[#This Row],[date_created]],"ddd")</f>
        <v>Sun</v>
      </c>
      <c r="Q357" s="21">
        <f>_xlfn.DAYS(CrowdfundingTable[[#This Row],[date_ended]],CrowdfundingTable[[#This Row],[date_created]])</f>
        <v>40</v>
      </c>
      <c r="R357" s="5" t="b">
        <v>0</v>
      </c>
      <c r="S357" s="5" t="b">
        <v>0</v>
      </c>
      <c r="T357" s="5" t="s">
        <v>65</v>
      </c>
      <c r="U357" s="5" t="s">
        <v>2039</v>
      </c>
      <c r="V357" s="5" t="s">
        <v>2063</v>
      </c>
      <c r="W357" s="5"/>
    </row>
    <row r="358" spans="1:23" ht="17" x14ac:dyDescent="0.2">
      <c r="A358" s="5">
        <v>356</v>
      </c>
      <c r="B358" s="5" t="s">
        <v>764</v>
      </c>
      <c r="C358" s="6" t="s">
        <v>765</v>
      </c>
      <c r="D358" s="94">
        <v>9300</v>
      </c>
      <c r="E358" s="94">
        <v>3431</v>
      </c>
      <c r="F358" s="7">
        <f t="shared" si="23"/>
        <v>0.36892473118279567</v>
      </c>
      <c r="G358" s="5" t="s">
        <v>14</v>
      </c>
      <c r="H358" s="5">
        <v>40</v>
      </c>
      <c r="I358" s="96">
        <f t="shared" si="20"/>
        <v>85.775000000000006</v>
      </c>
      <c r="J358" s="5" t="s">
        <v>107</v>
      </c>
      <c r="K358" s="5" t="s">
        <v>108</v>
      </c>
      <c r="L358" s="5">
        <v>1326520800</v>
      </c>
      <c r="M358" s="5">
        <v>1327298400</v>
      </c>
      <c r="N358" s="8">
        <f t="shared" si="21"/>
        <v>40922.25</v>
      </c>
      <c r="O358" s="8">
        <f t="shared" si="22"/>
        <v>40931.25</v>
      </c>
      <c r="P358" s="21" t="str">
        <f>TEXT(CrowdfundingTable[[#This Row],[date_created]],"ddd")</f>
        <v>Sat</v>
      </c>
      <c r="Q358" s="21">
        <f>_xlfn.DAYS(CrowdfundingTable[[#This Row],[date_ended]],CrowdfundingTable[[#This Row],[date_created]])</f>
        <v>9</v>
      </c>
      <c r="R358" s="5" t="b">
        <v>0</v>
      </c>
      <c r="S358" s="5" t="b">
        <v>0</v>
      </c>
      <c r="T358" s="5" t="s">
        <v>33</v>
      </c>
      <c r="U358" s="5" t="s">
        <v>2040</v>
      </c>
      <c r="V358" s="5" t="s">
        <v>2055</v>
      </c>
      <c r="W358" s="5"/>
    </row>
    <row r="359" spans="1:23" ht="17" x14ac:dyDescent="0.2">
      <c r="A359" s="5">
        <v>357</v>
      </c>
      <c r="B359" s="5" t="s">
        <v>766</v>
      </c>
      <c r="C359" s="6" t="s">
        <v>767</v>
      </c>
      <c r="D359" s="94">
        <v>2300</v>
      </c>
      <c r="E359" s="94">
        <v>4253</v>
      </c>
      <c r="F359" s="7">
        <f t="shared" si="23"/>
        <v>1.8491304347826087</v>
      </c>
      <c r="G359" s="5" t="s">
        <v>20</v>
      </c>
      <c r="H359" s="5">
        <v>41</v>
      </c>
      <c r="I359" s="96">
        <f t="shared" si="20"/>
        <v>103.73170731707317</v>
      </c>
      <c r="J359" s="5" t="s">
        <v>21</v>
      </c>
      <c r="K359" s="5" t="s">
        <v>22</v>
      </c>
      <c r="L359" s="5">
        <v>1441256400</v>
      </c>
      <c r="M359" s="5">
        <v>1443416400</v>
      </c>
      <c r="N359" s="8">
        <f t="shared" si="21"/>
        <v>42250.208333333328</v>
      </c>
      <c r="O359" s="8">
        <f t="shared" si="22"/>
        <v>42275.208333333328</v>
      </c>
      <c r="P359" s="21" t="str">
        <f>TEXT(CrowdfundingTable[[#This Row],[date_created]],"ddd")</f>
        <v>Thu</v>
      </c>
      <c r="Q359" s="21">
        <f>_xlfn.DAYS(CrowdfundingTable[[#This Row],[date_ended]],CrowdfundingTable[[#This Row],[date_created]])</f>
        <v>25</v>
      </c>
      <c r="R359" s="5" t="b">
        <v>0</v>
      </c>
      <c r="S359" s="5" t="b">
        <v>0</v>
      </c>
      <c r="T359" s="5" t="s">
        <v>89</v>
      </c>
      <c r="U359" s="5" t="s">
        <v>2034</v>
      </c>
      <c r="V359" s="5" t="s">
        <v>2062</v>
      </c>
      <c r="W359" s="5"/>
    </row>
    <row r="360" spans="1:23" ht="17" x14ac:dyDescent="0.2">
      <c r="A360" s="5">
        <v>358</v>
      </c>
      <c r="B360" s="5" t="s">
        <v>768</v>
      </c>
      <c r="C360" s="6" t="s">
        <v>769</v>
      </c>
      <c r="D360" s="94">
        <v>9700</v>
      </c>
      <c r="E360" s="94">
        <v>1146</v>
      </c>
      <c r="F360" s="7">
        <f t="shared" si="23"/>
        <v>0.11814432989690722</v>
      </c>
      <c r="G360" s="5" t="s">
        <v>14</v>
      </c>
      <c r="H360" s="5">
        <v>23</v>
      </c>
      <c r="I360" s="96">
        <f t="shared" si="20"/>
        <v>49.826086956521742</v>
      </c>
      <c r="J360" s="5" t="s">
        <v>15</v>
      </c>
      <c r="K360" s="5" t="s">
        <v>16</v>
      </c>
      <c r="L360" s="5">
        <v>1533877200</v>
      </c>
      <c r="M360" s="5">
        <v>1534136400</v>
      </c>
      <c r="N360" s="8">
        <f t="shared" si="21"/>
        <v>43322.208333333328</v>
      </c>
      <c r="O360" s="8">
        <f t="shared" si="22"/>
        <v>43325.208333333328</v>
      </c>
      <c r="P360" s="21" t="str">
        <f>TEXT(CrowdfundingTable[[#This Row],[date_created]],"ddd")</f>
        <v>Fri</v>
      </c>
      <c r="Q360" s="21">
        <f>_xlfn.DAYS(CrowdfundingTable[[#This Row],[date_ended]],CrowdfundingTable[[#This Row],[date_created]])</f>
        <v>3</v>
      </c>
      <c r="R360" s="5" t="b">
        <v>1</v>
      </c>
      <c r="S360" s="5" t="b">
        <v>0</v>
      </c>
      <c r="T360" s="5" t="s">
        <v>122</v>
      </c>
      <c r="U360" s="5" t="s">
        <v>2037</v>
      </c>
      <c r="V360" s="5" t="s">
        <v>2054</v>
      </c>
      <c r="W360" s="5"/>
    </row>
    <row r="361" spans="1:23" ht="17" x14ac:dyDescent="0.2">
      <c r="A361" s="5">
        <v>359</v>
      </c>
      <c r="B361" s="5" t="s">
        <v>770</v>
      </c>
      <c r="C361" s="6" t="s">
        <v>771</v>
      </c>
      <c r="D361" s="94">
        <v>4000</v>
      </c>
      <c r="E361" s="94">
        <v>11948</v>
      </c>
      <c r="F361" s="7">
        <f t="shared" si="23"/>
        <v>2.9870000000000001</v>
      </c>
      <c r="G361" s="5" t="s">
        <v>20</v>
      </c>
      <c r="H361" s="5">
        <v>187</v>
      </c>
      <c r="I361" s="96">
        <f t="shared" si="20"/>
        <v>63.893048128342244</v>
      </c>
      <c r="J361" s="5" t="s">
        <v>21</v>
      </c>
      <c r="K361" s="5" t="s">
        <v>22</v>
      </c>
      <c r="L361" s="5">
        <v>1314421200</v>
      </c>
      <c r="M361" s="5">
        <v>1315026000</v>
      </c>
      <c r="N361" s="8">
        <f t="shared" si="21"/>
        <v>40782.208333333336</v>
      </c>
      <c r="O361" s="8">
        <f t="shared" si="22"/>
        <v>40789.208333333336</v>
      </c>
      <c r="P361" s="21" t="str">
        <f>TEXT(CrowdfundingTable[[#This Row],[date_created]],"ddd")</f>
        <v>Sat</v>
      </c>
      <c r="Q361" s="21">
        <f>_xlfn.DAYS(CrowdfundingTable[[#This Row],[date_ended]],CrowdfundingTable[[#This Row],[date_created]])</f>
        <v>7</v>
      </c>
      <c r="R361" s="5" t="b">
        <v>0</v>
      </c>
      <c r="S361" s="5" t="b">
        <v>0</v>
      </c>
      <c r="T361" s="5" t="s">
        <v>71</v>
      </c>
      <c r="U361" s="5" t="s">
        <v>2032</v>
      </c>
      <c r="V361" s="5" t="s">
        <v>2042</v>
      </c>
      <c r="W361" s="5"/>
    </row>
    <row r="362" spans="1:23" ht="17" x14ac:dyDescent="0.2">
      <c r="A362" s="5">
        <v>360</v>
      </c>
      <c r="B362" s="5" t="s">
        <v>772</v>
      </c>
      <c r="C362" s="6" t="s">
        <v>773</v>
      </c>
      <c r="D362" s="94">
        <v>59700</v>
      </c>
      <c r="E362" s="94">
        <v>135132</v>
      </c>
      <c r="F362" s="7">
        <f t="shared" si="23"/>
        <v>2.2635175879396985</v>
      </c>
      <c r="G362" s="5" t="s">
        <v>20</v>
      </c>
      <c r="H362" s="5">
        <v>2875</v>
      </c>
      <c r="I362" s="96">
        <f t="shared" si="20"/>
        <v>47.002434782608695</v>
      </c>
      <c r="J362" s="5" t="s">
        <v>40</v>
      </c>
      <c r="K362" s="5" t="s">
        <v>41</v>
      </c>
      <c r="L362" s="5">
        <v>1293861600</v>
      </c>
      <c r="M362" s="5">
        <v>1295071200</v>
      </c>
      <c r="N362" s="8">
        <f t="shared" si="21"/>
        <v>40544.25</v>
      </c>
      <c r="O362" s="8">
        <f t="shared" si="22"/>
        <v>40558.25</v>
      </c>
      <c r="P362" s="21" t="str">
        <f>TEXT(CrowdfundingTable[[#This Row],[date_created]],"ddd")</f>
        <v>Sat</v>
      </c>
      <c r="Q362" s="21">
        <f>_xlfn.DAYS(CrowdfundingTable[[#This Row],[date_ended]],CrowdfundingTable[[#This Row],[date_created]])</f>
        <v>14</v>
      </c>
      <c r="R362" s="5" t="b">
        <v>0</v>
      </c>
      <c r="S362" s="5" t="b">
        <v>1</v>
      </c>
      <c r="T362" s="5" t="s">
        <v>33</v>
      </c>
      <c r="U362" s="5" t="s">
        <v>2040</v>
      </c>
      <c r="V362" s="5" t="s">
        <v>2055</v>
      </c>
      <c r="W362" s="5"/>
    </row>
    <row r="363" spans="1:23" ht="17" x14ac:dyDescent="0.2">
      <c r="A363" s="5">
        <v>361</v>
      </c>
      <c r="B363" s="5" t="s">
        <v>774</v>
      </c>
      <c r="C363" s="6" t="s">
        <v>775</v>
      </c>
      <c r="D363" s="94">
        <v>5500</v>
      </c>
      <c r="E363" s="94">
        <v>9546</v>
      </c>
      <c r="F363" s="7">
        <f t="shared" si="23"/>
        <v>1.7356363636363636</v>
      </c>
      <c r="G363" s="5" t="s">
        <v>20</v>
      </c>
      <c r="H363" s="5">
        <v>88</v>
      </c>
      <c r="I363" s="96">
        <f t="shared" si="20"/>
        <v>108.47727272727273</v>
      </c>
      <c r="J363" s="5" t="s">
        <v>21</v>
      </c>
      <c r="K363" s="5" t="s">
        <v>22</v>
      </c>
      <c r="L363" s="5">
        <v>1507352400</v>
      </c>
      <c r="M363" s="5">
        <v>1509426000</v>
      </c>
      <c r="N363" s="8">
        <f t="shared" si="21"/>
        <v>43015.208333333328</v>
      </c>
      <c r="O363" s="8">
        <f t="shared" si="22"/>
        <v>43039.208333333328</v>
      </c>
      <c r="P363" s="21" t="str">
        <f>TEXT(CrowdfundingTable[[#This Row],[date_created]],"ddd")</f>
        <v>Sat</v>
      </c>
      <c r="Q363" s="21">
        <f>_xlfn.DAYS(CrowdfundingTable[[#This Row],[date_ended]],CrowdfundingTable[[#This Row],[date_created]])</f>
        <v>24</v>
      </c>
      <c r="R363" s="5" t="b">
        <v>0</v>
      </c>
      <c r="S363" s="5" t="b">
        <v>0</v>
      </c>
      <c r="T363" s="5" t="s">
        <v>33</v>
      </c>
      <c r="U363" s="5" t="s">
        <v>2040</v>
      </c>
      <c r="V363" s="5" t="s">
        <v>2055</v>
      </c>
      <c r="W363" s="5"/>
    </row>
    <row r="364" spans="1:23" ht="17" x14ac:dyDescent="0.2">
      <c r="A364" s="5">
        <v>362</v>
      </c>
      <c r="B364" s="5" t="s">
        <v>776</v>
      </c>
      <c r="C364" s="6" t="s">
        <v>777</v>
      </c>
      <c r="D364" s="94">
        <v>3700</v>
      </c>
      <c r="E364" s="94">
        <v>13755</v>
      </c>
      <c r="F364" s="7">
        <f t="shared" si="23"/>
        <v>3.7175675675675675</v>
      </c>
      <c r="G364" s="5" t="s">
        <v>20</v>
      </c>
      <c r="H364" s="5">
        <v>191</v>
      </c>
      <c r="I364" s="96">
        <f t="shared" si="20"/>
        <v>72.015706806282722</v>
      </c>
      <c r="J364" s="5" t="s">
        <v>21</v>
      </c>
      <c r="K364" s="5" t="s">
        <v>22</v>
      </c>
      <c r="L364" s="5">
        <v>1296108000</v>
      </c>
      <c r="M364" s="5">
        <v>1299391200</v>
      </c>
      <c r="N364" s="8">
        <f t="shared" si="21"/>
        <v>40570.25</v>
      </c>
      <c r="O364" s="8">
        <f t="shared" si="22"/>
        <v>40608.25</v>
      </c>
      <c r="P364" s="21" t="str">
        <f>TEXT(CrowdfundingTable[[#This Row],[date_created]],"ddd")</f>
        <v>Thu</v>
      </c>
      <c r="Q364" s="21">
        <f>_xlfn.DAYS(CrowdfundingTable[[#This Row],[date_ended]],CrowdfundingTable[[#This Row],[date_created]])</f>
        <v>38</v>
      </c>
      <c r="R364" s="5" t="b">
        <v>0</v>
      </c>
      <c r="S364" s="5" t="b">
        <v>0</v>
      </c>
      <c r="T364" s="5" t="s">
        <v>23</v>
      </c>
      <c r="U364" s="5" t="s">
        <v>2036</v>
      </c>
      <c r="V364" s="5" t="s">
        <v>2057</v>
      </c>
      <c r="W364" s="5"/>
    </row>
    <row r="365" spans="1:23" ht="17" x14ac:dyDescent="0.2">
      <c r="A365" s="5">
        <v>363</v>
      </c>
      <c r="B365" s="5" t="s">
        <v>778</v>
      </c>
      <c r="C365" s="6" t="s">
        <v>779</v>
      </c>
      <c r="D365" s="94">
        <v>5200</v>
      </c>
      <c r="E365" s="94">
        <v>8330</v>
      </c>
      <c r="F365" s="7">
        <f t="shared" si="23"/>
        <v>1.601923076923077</v>
      </c>
      <c r="G365" s="5" t="s">
        <v>20</v>
      </c>
      <c r="H365" s="5">
        <v>139</v>
      </c>
      <c r="I365" s="96">
        <f t="shared" si="20"/>
        <v>59.928057553956833</v>
      </c>
      <c r="J365" s="5" t="s">
        <v>21</v>
      </c>
      <c r="K365" s="5" t="s">
        <v>22</v>
      </c>
      <c r="L365" s="5">
        <v>1324965600</v>
      </c>
      <c r="M365" s="5">
        <v>1325052000</v>
      </c>
      <c r="N365" s="8">
        <f t="shared" si="21"/>
        <v>40904.25</v>
      </c>
      <c r="O365" s="8">
        <f t="shared" si="22"/>
        <v>40905.25</v>
      </c>
      <c r="P365" s="21" t="str">
        <f>TEXT(CrowdfundingTable[[#This Row],[date_created]],"ddd")</f>
        <v>Tue</v>
      </c>
      <c r="Q365" s="21">
        <f>_xlfn.DAYS(CrowdfundingTable[[#This Row],[date_ended]],CrowdfundingTable[[#This Row],[date_created]])</f>
        <v>1</v>
      </c>
      <c r="R365" s="5" t="b">
        <v>0</v>
      </c>
      <c r="S365" s="5" t="b">
        <v>0</v>
      </c>
      <c r="T365" s="5" t="s">
        <v>23</v>
      </c>
      <c r="U365" s="5" t="s">
        <v>2036</v>
      </c>
      <c r="V365" s="5" t="s">
        <v>2057</v>
      </c>
      <c r="W365" s="5"/>
    </row>
    <row r="366" spans="1:23" ht="17" x14ac:dyDescent="0.2">
      <c r="A366" s="5">
        <v>364</v>
      </c>
      <c r="B366" s="5" t="s">
        <v>780</v>
      </c>
      <c r="C366" s="6" t="s">
        <v>781</v>
      </c>
      <c r="D366" s="94">
        <v>900</v>
      </c>
      <c r="E366" s="94">
        <v>14547</v>
      </c>
      <c r="F366" s="7">
        <f t="shared" si="23"/>
        <v>16.163333333333334</v>
      </c>
      <c r="G366" s="5" t="s">
        <v>20</v>
      </c>
      <c r="H366" s="5">
        <v>186</v>
      </c>
      <c r="I366" s="96">
        <f t="shared" si="20"/>
        <v>78.209677419354833</v>
      </c>
      <c r="J366" s="5" t="s">
        <v>21</v>
      </c>
      <c r="K366" s="5" t="s">
        <v>22</v>
      </c>
      <c r="L366" s="5">
        <v>1520229600</v>
      </c>
      <c r="M366" s="5">
        <v>1522818000</v>
      </c>
      <c r="N366" s="8">
        <f t="shared" si="21"/>
        <v>43164.25</v>
      </c>
      <c r="O366" s="8">
        <f t="shared" si="22"/>
        <v>43194.208333333328</v>
      </c>
      <c r="P366" s="21" t="str">
        <f>TEXT(CrowdfundingTable[[#This Row],[date_created]],"ddd")</f>
        <v>Mon</v>
      </c>
      <c r="Q366" s="21">
        <f>_xlfn.DAYS(CrowdfundingTable[[#This Row],[date_ended]],CrowdfundingTable[[#This Row],[date_created]])</f>
        <v>30</v>
      </c>
      <c r="R366" s="5" t="b">
        <v>0</v>
      </c>
      <c r="S366" s="5" t="b">
        <v>0</v>
      </c>
      <c r="T366" s="5" t="s">
        <v>60</v>
      </c>
      <c r="U366" s="5" t="s">
        <v>2036</v>
      </c>
      <c r="V366" s="5" t="s">
        <v>2049</v>
      </c>
      <c r="W366" s="5"/>
    </row>
    <row r="367" spans="1:23" ht="17" x14ac:dyDescent="0.2">
      <c r="A367" s="5">
        <v>365</v>
      </c>
      <c r="B367" s="5" t="s">
        <v>782</v>
      </c>
      <c r="C367" s="6" t="s">
        <v>783</v>
      </c>
      <c r="D367" s="94">
        <v>1600</v>
      </c>
      <c r="E367" s="94">
        <v>11735</v>
      </c>
      <c r="F367" s="7">
        <f t="shared" si="23"/>
        <v>7.3343749999999996</v>
      </c>
      <c r="G367" s="5" t="s">
        <v>20</v>
      </c>
      <c r="H367" s="5">
        <v>112</v>
      </c>
      <c r="I367" s="96">
        <f t="shared" si="20"/>
        <v>104.77678571428571</v>
      </c>
      <c r="J367" s="5" t="s">
        <v>26</v>
      </c>
      <c r="K367" s="5" t="s">
        <v>27</v>
      </c>
      <c r="L367" s="5">
        <v>1482991200</v>
      </c>
      <c r="M367" s="5">
        <v>1485324000</v>
      </c>
      <c r="N367" s="8">
        <f t="shared" si="21"/>
        <v>42733.25</v>
      </c>
      <c r="O367" s="8">
        <f t="shared" si="22"/>
        <v>42760.25</v>
      </c>
      <c r="P367" s="21" t="str">
        <f>TEXT(CrowdfundingTable[[#This Row],[date_created]],"ddd")</f>
        <v>Thu</v>
      </c>
      <c r="Q367" s="21">
        <f>_xlfn.DAYS(CrowdfundingTable[[#This Row],[date_ended]],CrowdfundingTable[[#This Row],[date_created]])</f>
        <v>27</v>
      </c>
      <c r="R367" s="5" t="b">
        <v>0</v>
      </c>
      <c r="S367" s="5" t="b">
        <v>0</v>
      </c>
      <c r="T367" s="5" t="s">
        <v>33</v>
      </c>
      <c r="U367" s="5" t="s">
        <v>2040</v>
      </c>
      <c r="V367" s="5" t="s">
        <v>2055</v>
      </c>
      <c r="W367" s="5"/>
    </row>
    <row r="368" spans="1:23" ht="17" x14ac:dyDescent="0.2">
      <c r="A368" s="5">
        <v>366</v>
      </c>
      <c r="B368" s="5" t="s">
        <v>784</v>
      </c>
      <c r="C368" s="6" t="s">
        <v>785</v>
      </c>
      <c r="D368" s="94">
        <v>1800</v>
      </c>
      <c r="E368" s="94">
        <v>10658</v>
      </c>
      <c r="F368" s="7">
        <f t="shared" si="23"/>
        <v>5.9211111111111112</v>
      </c>
      <c r="G368" s="5" t="s">
        <v>20</v>
      </c>
      <c r="H368" s="5">
        <v>101</v>
      </c>
      <c r="I368" s="96">
        <f t="shared" si="20"/>
        <v>105.52475247524752</v>
      </c>
      <c r="J368" s="5" t="s">
        <v>21</v>
      </c>
      <c r="K368" s="5" t="s">
        <v>22</v>
      </c>
      <c r="L368" s="5">
        <v>1294034400</v>
      </c>
      <c r="M368" s="5">
        <v>1294120800</v>
      </c>
      <c r="N368" s="8">
        <f t="shared" si="21"/>
        <v>40546.25</v>
      </c>
      <c r="O368" s="8">
        <f t="shared" si="22"/>
        <v>40547.25</v>
      </c>
      <c r="P368" s="21" t="str">
        <f>TEXT(CrowdfundingTable[[#This Row],[date_created]],"ddd")</f>
        <v>Mon</v>
      </c>
      <c r="Q368" s="21">
        <f>_xlfn.DAYS(CrowdfundingTable[[#This Row],[date_ended]],CrowdfundingTable[[#This Row],[date_created]])</f>
        <v>1</v>
      </c>
      <c r="R368" s="5" t="b">
        <v>0</v>
      </c>
      <c r="S368" s="5" t="b">
        <v>1</v>
      </c>
      <c r="T368" s="5" t="s">
        <v>33</v>
      </c>
      <c r="U368" s="5" t="s">
        <v>2040</v>
      </c>
      <c r="V368" s="5" t="s">
        <v>2055</v>
      </c>
      <c r="W368" s="5"/>
    </row>
    <row r="369" spans="1:23" ht="17" x14ac:dyDescent="0.2">
      <c r="A369" s="5">
        <v>367</v>
      </c>
      <c r="B369" s="5" t="s">
        <v>786</v>
      </c>
      <c r="C369" s="6" t="s">
        <v>787</v>
      </c>
      <c r="D369" s="94">
        <v>9900</v>
      </c>
      <c r="E369" s="94">
        <v>1870</v>
      </c>
      <c r="F369" s="7">
        <f t="shared" si="23"/>
        <v>0.18888888888888888</v>
      </c>
      <c r="G369" s="5" t="s">
        <v>14</v>
      </c>
      <c r="H369" s="5">
        <v>75</v>
      </c>
      <c r="I369" s="96">
        <f t="shared" si="20"/>
        <v>24.933333333333334</v>
      </c>
      <c r="J369" s="5" t="s">
        <v>21</v>
      </c>
      <c r="K369" s="5" t="s">
        <v>22</v>
      </c>
      <c r="L369" s="5">
        <v>1413608400</v>
      </c>
      <c r="M369" s="5">
        <v>1415685600</v>
      </c>
      <c r="N369" s="8">
        <f t="shared" si="21"/>
        <v>41930.208333333336</v>
      </c>
      <c r="O369" s="8">
        <f t="shared" si="22"/>
        <v>41954.25</v>
      </c>
      <c r="P369" s="21" t="str">
        <f>TEXT(CrowdfundingTable[[#This Row],[date_created]],"ddd")</f>
        <v>Sat</v>
      </c>
      <c r="Q369" s="21">
        <f>_xlfn.DAYS(CrowdfundingTable[[#This Row],[date_ended]],CrowdfundingTable[[#This Row],[date_created]])</f>
        <v>24</v>
      </c>
      <c r="R369" s="5" t="b">
        <v>0</v>
      </c>
      <c r="S369" s="5" t="b">
        <v>1</v>
      </c>
      <c r="T369" s="5" t="s">
        <v>33</v>
      </c>
      <c r="U369" s="5" t="s">
        <v>2040</v>
      </c>
      <c r="V369" s="5" t="s">
        <v>2055</v>
      </c>
      <c r="W369" s="5"/>
    </row>
    <row r="370" spans="1:23" ht="17" x14ac:dyDescent="0.2">
      <c r="A370" s="5">
        <v>368</v>
      </c>
      <c r="B370" s="5" t="s">
        <v>788</v>
      </c>
      <c r="C370" s="6" t="s">
        <v>789</v>
      </c>
      <c r="D370" s="94">
        <v>5200</v>
      </c>
      <c r="E370" s="94">
        <v>14394</v>
      </c>
      <c r="F370" s="7">
        <f t="shared" si="23"/>
        <v>2.7680769230769231</v>
      </c>
      <c r="G370" s="5" t="s">
        <v>20</v>
      </c>
      <c r="H370" s="5">
        <v>206</v>
      </c>
      <c r="I370" s="96">
        <f t="shared" si="20"/>
        <v>69.873786407766985</v>
      </c>
      <c r="J370" s="5" t="s">
        <v>40</v>
      </c>
      <c r="K370" s="5" t="s">
        <v>41</v>
      </c>
      <c r="L370" s="5">
        <v>1286946000</v>
      </c>
      <c r="M370" s="5">
        <v>1288933200</v>
      </c>
      <c r="N370" s="8">
        <f t="shared" si="21"/>
        <v>40464.208333333336</v>
      </c>
      <c r="O370" s="8">
        <f t="shared" si="22"/>
        <v>40487.208333333336</v>
      </c>
      <c r="P370" s="21" t="str">
        <f>TEXT(CrowdfundingTable[[#This Row],[date_created]],"ddd")</f>
        <v>Wed</v>
      </c>
      <c r="Q370" s="21">
        <f>_xlfn.DAYS(CrowdfundingTable[[#This Row],[date_ended]],CrowdfundingTable[[#This Row],[date_created]])</f>
        <v>23</v>
      </c>
      <c r="R370" s="5" t="b">
        <v>0</v>
      </c>
      <c r="S370" s="5" t="b">
        <v>1</v>
      </c>
      <c r="T370" s="5" t="s">
        <v>42</v>
      </c>
      <c r="U370" s="5" t="s">
        <v>2032</v>
      </c>
      <c r="V370" s="5" t="s">
        <v>2044</v>
      </c>
      <c r="W370" s="5"/>
    </row>
    <row r="371" spans="1:23" ht="17" x14ac:dyDescent="0.2">
      <c r="A371" s="5">
        <v>369</v>
      </c>
      <c r="B371" s="5" t="s">
        <v>790</v>
      </c>
      <c r="C371" s="6" t="s">
        <v>791</v>
      </c>
      <c r="D371" s="94">
        <v>5400</v>
      </c>
      <c r="E371" s="94">
        <v>14743</v>
      </c>
      <c r="F371" s="7">
        <f t="shared" si="23"/>
        <v>2.730185185185185</v>
      </c>
      <c r="G371" s="5" t="s">
        <v>20</v>
      </c>
      <c r="H371" s="5">
        <v>154</v>
      </c>
      <c r="I371" s="96">
        <f t="shared" si="20"/>
        <v>95.733766233766232</v>
      </c>
      <c r="J371" s="5" t="s">
        <v>21</v>
      </c>
      <c r="K371" s="5" t="s">
        <v>22</v>
      </c>
      <c r="L371" s="5">
        <v>1359871200</v>
      </c>
      <c r="M371" s="5">
        <v>1363237200</v>
      </c>
      <c r="N371" s="8">
        <f t="shared" si="21"/>
        <v>41308.25</v>
      </c>
      <c r="O371" s="8">
        <f t="shared" si="22"/>
        <v>41347.208333333336</v>
      </c>
      <c r="P371" s="21" t="str">
        <f>TEXT(CrowdfundingTable[[#This Row],[date_created]],"ddd")</f>
        <v>Sun</v>
      </c>
      <c r="Q371" s="21">
        <f>_xlfn.DAYS(CrowdfundingTable[[#This Row],[date_ended]],CrowdfundingTable[[#This Row],[date_created]])</f>
        <v>39</v>
      </c>
      <c r="R371" s="5" t="b">
        <v>0</v>
      </c>
      <c r="S371" s="5" t="b">
        <v>1</v>
      </c>
      <c r="T371" s="5" t="s">
        <v>269</v>
      </c>
      <c r="U371" s="5" t="s">
        <v>2032</v>
      </c>
      <c r="V371" s="5" t="s">
        <v>2060</v>
      </c>
      <c r="W371" s="5"/>
    </row>
    <row r="372" spans="1:23" ht="17" x14ac:dyDescent="0.2">
      <c r="A372" s="5">
        <v>370</v>
      </c>
      <c r="B372" s="5" t="s">
        <v>792</v>
      </c>
      <c r="C372" s="6" t="s">
        <v>793</v>
      </c>
      <c r="D372" s="94">
        <v>112300</v>
      </c>
      <c r="E372" s="94">
        <v>178965</v>
      </c>
      <c r="F372" s="7">
        <f t="shared" si="23"/>
        <v>1.593633125556545</v>
      </c>
      <c r="G372" s="5" t="s">
        <v>20</v>
      </c>
      <c r="H372" s="5">
        <v>5966</v>
      </c>
      <c r="I372" s="96">
        <f t="shared" si="20"/>
        <v>29.997485752598056</v>
      </c>
      <c r="J372" s="5" t="s">
        <v>21</v>
      </c>
      <c r="K372" s="5" t="s">
        <v>22</v>
      </c>
      <c r="L372" s="5">
        <v>1555304400</v>
      </c>
      <c r="M372" s="5">
        <v>1555822800</v>
      </c>
      <c r="N372" s="8">
        <f t="shared" si="21"/>
        <v>43570.208333333328</v>
      </c>
      <c r="O372" s="8">
        <f t="shared" si="22"/>
        <v>43576.208333333328</v>
      </c>
      <c r="P372" s="21" t="str">
        <f>TEXT(CrowdfundingTable[[#This Row],[date_created]],"ddd")</f>
        <v>Mon</v>
      </c>
      <c r="Q372" s="21">
        <f>_xlfn.DAYS(CrowdfundingTable[[#This Row],[date_ended]],CrowdfundingTable[[#This Row],[date_created]])</f>
        <v>6</v>
      </c>
      <c r="R372" s="5" t="b">
        <v>0</v>
      </c>
      <c r="S372" s="5" t="b">
        <v>0</v>
      </c>
      <c r="T372" s="5" t="s">
        <v>33</v>
      </c>
      <c r="U372" s="5" t="s">
        <v>2040</v>
      </c>
      <c r="V372" s="5" t="s">
        <v>2055</v>
      </c>
      <c r="W372" s="5"/>
    </row>
    <row r="373" spans="1:23" ht="17" x14ac:dyDescent="0.2">
      <c r="A373" s="5">
        <v>371</v>
      </c>
      <c r="B373" s="5" t="s">
        <v>794</v>
      </c>
      <c r="C373" s="6" t="s">
        <v>795</v>
      </c>
      <c r="D373" s="94">
        <v>189200</v>
      </c>
      <c r="E373" s="94">
        <v>128410</v>
      </c>
      <c r="F373" s="7">
        <f t="shared" si="23"/>
        <v>0.67869978858350954</v>
      </c>
      <c r="G373" s="5" t="s">
        <v>14</v>
      </c>
      <c r="H373" s="5">
        <v>2176</v>
      </c>
      <c r="I373" s="96">
        <f t="shared" si="20"/>
        <v>59.011948529411768</v>
      </c>
      <c r="J373" s="5" t="s">
        <v>21</v>
      </c>
      <c r="K373" s="5" t="s">
        <v>22</v>
      </c>
      <c r="L373" s="5">
        <v>1423375200</v>
      </c>
      <c r="M373" s="5">
        <v>1427778000</v>
      </c>
      <c r="N373" s="8">
        <f t="shared" si="21"/>
        <v>42043.25</v>
      </c>
      <c r="O373" s="8">
        <f t="shared" si="22"/>
        <v>42094.208333333328</v>
      </c>
      <c r="P373" s="21" t="str">
        <f>TEXT(CrowdfundingTable[[#This Row],[date_created]],"ddd")</f>
        <v>Sun</v>
      </c>
      <c r="Q373" s="21">
        <f>_xlfn.DAYS(CrowdfundingTable[[#This Row],[date_ended]],CrowdfundingTable[[#This Row],[date_created]])</f>
        <v>51</v>
      </c>
      <c r="R373" s="5" t="b">
        <v>0</v>
      </c>
      <c r="S373" s="5" t="b">
        <v>0</v>
      </c>
      <c r="T373" s="5" t="s">
        <v>33</v>
      </c>
      <c r="U373" s="5" t="s">
        <v>2040</v>
      </c>
      <c r="V373" s="5" t="s">
        <v>2055</v>
      </c>
      <c r="W373" s="5"/>
    </row>
    <row r="374" spans="1:23" ht="34" x14ac:dyDescent="0.2">
      <c r="A374" s="5">
        <v>372</v>
      </c>
      <c r="B374" s="5" t="s">
        <v>796</v>
      </c>
      <c r="C374" s="6" t="s">
        <v>797</v>
      </c>
      <c r="D374" s="94">
        <v>900</v>
      </c>
      <c r="E374" s="94">
        <v>14324</v>
      </c>
      <c r="F374" s="7">
        <f t="shared" si="23"/>
        <v>15.915555555555555</v>
      </c>
      <c r="G374" s="5" t="s">
        <v>20</v>
      </c>
      <c r="H374" s="5">
        <v>169</v>
      </c>
      <c r="I374" s="96">
        <f t="shared" si="20"/>
        <v>84.757396449704146</v>
      </c>
      <c r="J374" s="5" t="s">
        <v>21</v>
      </c>
      <c r="K374" s="5" t="s">
        <v>22</v>
      </c>
      <c r="L374" s="5">
        <v>1420696800</v>
      </c>
      <c r="M374" s="5">
        <v>1422424800</v>
      </c>
      <c r="N374" s="8">
        <f t="shared" si="21"/>
        <v>42012.25</v>
      </c>
      <c r="O374" s="8">
        <f t="shared" si="22"/>
        <v>42032.25</v>
      </c>
      <c r="P374" s="21" t="str">
        <f>TEXT(CrowdfundingTable[[#This Row],[date_created]],"ddd")</f>
        <v>Thu</v>
      </c>
      <c r="Q374" s="21">
        <f>_xlfn.DAYS(CrowdfundingTable[[#This Row],[date_ended]],CrowdfundingTable[[#This Row],[date_created]])</f>
        <v>20</v>
      </c>
      <c r="R374" s="5" t="b">
        <v>0</v>
      </c>
      <c r="S374" s="5" t="b">
        <v>1</v>
      </c>
      <c r="T374" s="5" t="s">
        <v>42</v>
      </c>
      <c r="U374" s="5" t="s">
        <v>2032</v>
      </c>
      <c r="V374" s="5" t="s">
        <v>2044</v>
      </c>
      <c r="W374" s="5"/>
    </row>
    <row r="375" spans="1:23" ht="17" x14ac:dyDescent="0.2">
      <c r="A375" s="5">
        <v>373</v>
      </c>
      <c r="B375" s="5" t="s">
        <v>798</v>
      </c>
      <c r="C375" s="6" t="s">
        <v>799</v>
      </c>
      <c r="D375" s="94">
        <v>22500</v>
      </c>
      <c r="E375" s="94">
        <v>164291</v>
      </c>
      <c r="F375" s="7">
        <f t="shared" si="23"/>
        <v>7.3018222222222224</v>
      </c>
      <c r="G375" s="5" t="s">
        <v>20</v>
      </c>
      <c r="H375" s="5">
        <v>2106</v>
      </c>
      <c r="I375" s="96">
        <f t="shared" si="20"/>
        <v>78.010921177587846</v>
      </c>
      <c r="J375" s="5" t="s">
        <v>21</v>
      </c>
      <c r="K375" s="5" t="s">
        <v>22</v>
      </c>
      <c r="L375" s="5">
        <v>1502946000</v>
      </c>
      <c r="M375" s="5">
        <v>1503637200</v>
      </c>
      <c r="N375" s="8">
        <f t="shared" si="21"/>
        <v>42964.208333333328</v>
      </c>
      <c r="O375" s="8">
        <f t="shared" si="22"/>
        <v>42972.208333333328</v>
      </c>
      <c r="P375" s="21" t="str">
        <f>TEXT(CrowdfundingTable[[#This Row],[date_created]],"ddd")</f>
        <v>Thu</v>
      </c>
      <c r="Q375" s="21">
        <f>_xlfn.DAYS(CrowdfundingTable[[#This Row],[date_ended]],CrowdfundingTable[[#This Row],[date_created]])</f>
        <v>8</v>
      </c>
      <c r="R375" s="5" t="b">
        <v>0</v>
      </c>
      <c r="S375" s="5" t="b">
        <v>0</v>
      </c>
      <c r="T375" s="5" t="s">
        <v>33</v>
      </c>
      <c r="U375" s="5" t="s">
        <v>2040</v>
      </c>
      <c r="V375" s="5" t="s">
        <v>2055</v>
      </c>
      <c r="W375" s="5"/>
    </row>
    <row r="376" spans="1:23" ht="34" x14ac:dyDescent="0.2">
      <c r="A376" s="5">
        <v>374</v>
      </c>
      <c r="B376" s="5" t="s">
        <v>800</v>
      </c>
      <c r="C376" s="6" t="s">
        <v>801</v>
      </c>
      <c r="D376" s="94">
        <v>167400</v>
      </c>
      <c r="E376" s="94">
        <v>22073</v>
      </c>
      <c r="F376" s="7">
        <f t="shared" si="23"/>
        <v>0.13185782556750297</v>
      </c>
      <c r="G376" s="5" t="s">
        <v>14</v>
      </c>
      <c r="H376" s="5">
        <v>441</v>
      </c>
      <c r="I376" s="96">
        <f t="shared" si="20"/>
        <v>50.05215419501134</v>
      </c>
      <c r="J376" s="5" t="s">
        <v>21</v>
      </c>
      <c r="K376" s="5" t="s">
        <v>22</v>
      </c>
      <c r="L376" s="5">
        <v>1547186400</v>
      </c>
      <c r="M376" s="5">
        <v>1547618400</v>
      </c>
      <c r="N376" s="8">
        <f t="shared" si="21"/>
        <v>43476.25</v>
      </c>
      <c r="O376" s="8">
        <f t="shared" si="22"/>
        <v>43481.25</v>
      </c>
      <c r="P376" s="21" t="str">
        <f>TEXT(CrowdfundingTable[[#This Row],[date_created]],"ddd")</f>
        <v>Fri</v>
      </c>
      <c r="Q376" s="21">
        <f>_xlfn.DAYS(CrowdfundingTable[[#This Row],[date_ended]],CrowdfundingTable[[#This Row],[date_created]])</f>
        <v>5</v>
      </c>
      <c r="R376" s="5" t="b">
        <v>0</v>
      </c>
      <c r="S376" s="5" t="b">
        <v>1</v>
      </c>
      <c r="T376" s="5" t="s">
        <v>42</v>
      </c>
      <c r="U376" s="5" t="s">
        <v>2032</v>
      </c>
      <c r="V376" s="5" t="s">
        <v>2044</v>
      </c>
      <c r="W376" s="5"/>
    </row>
    <row r="377" spans="1:23" ht="34" x14ac:dyDescent="0.2">
      <c r="A377" s="5">
        <v>375</v>
      </c>
      <c r="B377" s="5" t="s">
        <v>802</v>
      </c>
      <c r="C377" s="6" t="s">
        <v>803</v>
      </c>
      <c r="D377" s="94">
        <v>2700</v>
      </c>
      <c r="E377" s="94">
        <v>1479</v>
      </c>
      <c r="F377" s="7">
        <f t="shared" si="23"/>
        <v>0.54777777777777781</v>
      </c>
      <c r="G377" s="5" t="s">
        <v>14</v>
      </c>
      <c r="H377" s="5">
        <v>25</v>
      </c>
      <c r="I377" s="96">
        <f t="shared" si="20"/>
        <v>59.16</v>
      </c>
      <c r="J377" s="5" t="s">
        <v>21</v>
      </c>
      <c r="K377" s="5" t="s">
        <v>22</v>
      </c>
      <c r="L377" s="5">
        <v>1444971600</v>
      </c>
      <c r="M377" s="5">
        <v>1449900000</v>
      </c>
      <c r="N377" s="8">
        <f t="shared" si="21"/>
        <v>42293.208333333328</v>
      </c>
      <c r="O377" s="8">
        <f t="shared" si="22"/>
        <v>42350.25</v>
      </c>
      <c r="P377" s="21" t="str">
        <f>TEXT(CrowdfundingTable[[#This Row],[date_created]],"ddd")</f>
        <v>Fri</v>
      </c>
      <c r="Q377" s="21">
        <f>_xlfn.DAYS(CrowdfundingTable[[#This Row],[date_ended]],CrowdfundingTable[[#This Row],[date_created]])</f>
        <v>57</v>
      </c>
      <c r="R377" s="5" t="b">
        <v>0</v>
      </c>
      <c r="S377" s="5" t="b">
        <v>0</v>
      </c>
      <c r="T377" s="5" t="s">
        <v>60</v>
      </c>
      <c r="U377" s="5" t="s">
        <v>2036</v>
      </c>
      <c r="V377" s="5" t="s">
        <v>2049</v>
      </c>
      <c r="W377" s="5"/>
    </row>
    <row r="378" spans="1:23" ht="17" x14ac:dyDescent="0.2">
      <c r="A378" s="5">
        <v>376</v>
      </c>
      <c r="B378" s="5" t="s">
        <v>804</v>
      </c>
      <c r="C378" s="6" t="s">
        <v>805</v>
      </c>
      <c r="D378" s="94">
        <v>3400</v>
      </c>
      <c r="E378" s="94">
        <v>12275</v>
      </c>
      <c r="F378" s="7">
        <f t="shared" si="23"/>
        <v>3.6102941176470589</v>
      </c>
      <c r="G378" s="5" t="s">
        <v>20</v>
      </c>
      <c r="H378" s="5">
        <v>131</v>
      </c>
      <c r="I378" s="96">
        <f t="shared" si="20"/>
        <v>93.702290076335885</v>
      </c>
      <c r="J378" s="5" t="s">
        <v>21</v>
      </c>
      <c r="K378" s="5" t="s">
        <v>22</v>
      </c>
      <c r="L378" s="5">
        <v>1404622800</v>
      </c>
      <c r="M378" s="5">
        <v>1405141200</v>
      </c>
      <c r="N378" s="8">
        <f t="shared" si="21"/>
        <v>41826.208333333336</v>
      </c>
      <c r="O378" s="8">
        <f t="shared" si="22"/>
        <v>41832.208333333336</v>
      </c>
      <c r="P378" s="21" t="str">
        <f>TEXT(CrowdfundingTable[[#This Row],[date_created]],"ddd")</f>
        <v>Sun</v>
      </c>
      <c r="Q378" s="21">
        <f>_xlfn.DAYS(CrowdfundingTable[[#This Row],[date_ended]],CrowdfundingTable[[#This Row],[date_created]])</f>
        <v>6</v>
      </c>
      <c r="R378" s="5" t="b">
        <v>0</v>
      </c>
      <c r="S378" s="5" t="b">
        <v>0</v>
      </c>
      <c r="T378" s="5" t="s">
        <v>23</v>
      </c>
      <c r="U378" s="5" t="s">
        <v>2036</v>
      </c>
      <c r="V378" s="5" t="s">
        <v>2057</v>
      </c>
      <c r="W378" s="5"/>
    </row>
    <row r="379" spans="1:23" ht="17" x14ac:dyDescent="0.2">
      <c r="A379" s="5">
        <v>377</v>
      </c>
      <c r="B379" s="5" t="s">
        <v>806</v>
      </c>
      <c r="C379" s="6" t="s">
        <v>807</v>
      </c>
      <c r="D379" s="94">
        <v>49700</v>
      </c>
      <c r="E379" s="94">
        <v>5098</v>
      </c>
      <c r="F379" s="7">
        <f t="shared" si="23"/>
        <v>0.10257545271629778</v>
      </c>
      <c r="G379" s="5" t="s">
        <v>14</v>
      </c>
      <c r="H379" s="5">
        <v>127</v>
      </c>
      <c r="I379" s="96">
        <f t="shared" si="20"/>
        <v>40.14173228346457</v>
      </c>
      <c r="J379" s="5" t="s">
        <v>21</v>
      </c>
      <c r="K379" s="5" t="s">
        <v>22</v>
      </c>
      <c r="L379" s="5">
        <v>1571720400</v>
      </c>
      <c r="M379" s="5">
        <v>1572933600</v>
      </c>
      <c r="N379" s="8">
        <f t="shared" si="21"/>
        <v>43760.208333333328</v>
      </c>
      <c r="O379" s="8">
        <f t="shared" si="22"/>
        <v>43774.25</v>
      </c>
      <c r="P379" s="21" t="str">
        <f>TEXT(CrowdfundingTable[[#This Row],[date_created]],"ddd")</f>
        <v>Tue</v>
      </c>
      <c r="Q379" s="21">
        <f>_xlfn.DAYS(CrowdfundingTable[[#This Row],[date_ended]],CrowdfundingTable[[#This Row],[date_created]])</f>
        <v>14</v>
      </c>
      <c r="R379" s="5" t="b">
        <v>0</v>
      </c>
      <c r="S379" s="5" t="b">
        <v>0</v>
      </c>
      <c r="T379" s="5" t="s">
        <v>33</v>
      </c>
      <c r="U379" s="5" t="s">
        <v>2040</v>
      </c>
      <c r="V379" s="5" t="s">
        <v>2055</v>
      </c>
      <c r="W379" s="5"/>
    </row>
    <row r="380" spans="1:23" ht="17" x14ac:dyDescent="0.2">
      <c r="A380" s="5">
        <v>378</v>
      </c>
      <c r="B380" s="5" t="s">
        <v>808</v>
      </c>
      <c r="C380" s="6" t="s">
        <v>809</v>
      </c>
      <c r="D380" s="94">
        <v>178200</v>
      </c>
      <c r="E380" s="94">
        <v>24882</v>
      </c>
      <c r="F380" s="7">
        <f t="shared" si="23"/>
        <v>0.13962962962962963</v>
      </c>
      <c r="G380" s="5" t="s">
        <v>14</v>
      </c>
      <c r="H380" s="5">
        <v>355</v>
      </c>
      <c r="I380" s="96">
        <f t="shared" si="20"/>
        <v>70.090140845070422</v>
      </c>
      <c r="J380" s="5" t="s">
        <v>21</v>
      </c>
      <c r="K380" s="5" t="s">
        <v>22</v>
      </c>
      <c r="L380" s="5">
        <v>1526878800</v>
      </c>
      <c r="M380" s="5">
        <v>1530162000</v>
      </c>
      <c r="N380" s="8">
        <f t="shared" si="21"/>
        <v>43241.208333333328</v>
      </c>
      <c r="O380" s="8">
        <f t="shared" si="22"/>
        <v>43279.208333333328</v>
      </c>
      <c r="P380" s="21" t="str">
        <f>TEXT(CrowdfundingTable[[#This Row],[date_created]],"ddd")</f>
        <v>Mon</v>
      </c>
      <c r="Q380" s="21">
        <f>_xlfn.DAYS(CrowdfundingTable[[#This Row],[date_ended]],CrowdfundingTable[[#This Row],[date_created]])</f>
        <v>38</v>
      </c>
      <c r="R380" s="5" t="b">
        <v>0</v>
      </c>
      <c r="S380" s="5" t="b">
        <v>0</v>
      </c>
      <c r="T380" s="5" t="s">
        <v>42</v>
      </c>
      <c r="U380" s="5" t="s">
        <v>2032</v>
      </c>
      <c r="V380" s="5" t="s">
        <v>2044</v>
      </c>
      <c r="W380" s="5"/>
    </row>
    <row r="381" spans="1:23" ht="17" x14ac:dyDescent="0.2">
      <c r="A381" s="5">
        <v>379</v>
      </c>
      <c r="B381" s="5" t="s">
        <v>810</v>
      </c>
      <c r="C381" s="6" t="s">
        <v>811</v>
      </c>
      <c r="D381" s="94">
        <v>7200</v>
      </c>
      <c r="E381" s="94">
        <v>2912</v>
      </c>
      <c r="F381" s="7">
        <f t="shared" si="23"/>
        <v>0.40444444444444444</v>
      </c>
      <c r="G381" s="5" t="s">
        <v>14</v>
      </c>
      <c r="H381" s="5">
        <v>44</v>
      </c>
      <c r="I381" s="96">
        <f t="shared" si="20"/>
        <v>66.181818181818187</v>
      </c>
      <c r="J381" s="5" t="s">
        <v>40</v>
      </c>
      <c r="K381" s="5" t="s">
        <v>41</v>
      </c>
      <c r="L381" s="5">
        <v>1319691600</v>
      </c>
      <c r="M381" s="5">
        <v>1320904800</v>
      </c>
      <c r="N381" s="8">
        <f t="shared" si="21"/>
        <v>40843.208333333336</v>
      </c>
      <c r="O381" s="8">
        <f t="shared" si="22"/>
        <v>40857.25</v>
      </c>
      <c r="P381" s="21" t="str">
        <f>TEXT(CrowdfundingTable[[#This Row],[date_created]],"ddd")</f>
        <v>Thu</v>
      </c>
      <c r="Q381" s="21">
        <f>_xlfn.DAYS(CrowdfundingTable[[#This Row],[date_ended]],CrowdfundingTable[[#This Row],[date_created]])</f>
        <v>14</v>
      </c>
      <c r="R381" s="5" t="b">
        <v>0</v>
      </c>
      <c r="S381" s="5" t="b">
        <v>0</v>
      </c>
      <c r="T381" s="5" t="s">
        <v>33</v>
      </c>
      <c r="U381" s="5" t="s">
        <v>2040</v>
      </c>
      <c r="V381" s="5" t="s">
        <v>2055</v>
      </c>
      <c r="W381" s="5"/>
    </row>
    <row r="382" spans="1:23" ht="34" x14ac:dyDescent="0.2">
      <c r="A382" s="5">
        <v>380</v>
      </c>
      <c r="B382" s="5" t="s">
        <v>812</v>
      </c>
      <c r="C382" s="6" t="s">
        <v>813</v>
      </c>
      <c r="D382" s="94">
        <v>2500</v>
      </c>
      <c r="E382" s="94">
        <v>4008</v>
      </c>
      <c r="F382" s="7">
        <f t="shared" si="23"/>
        <v>1.6032</v>
      </c>
      <c r="G382" s="5" t="s">
        <v>20</v>
      </c>
      <c r="H382" s="5">
        <v>84</v>
      </c>
      <c r="I382" s="96">
        <f t="shared" si="20"/>
        <v>47.714285714285715</v>
      </c>
      <c r="J382" s="5" t="s">
        <v>21</v>
      </c>
      <c r="K382" s="5" t="s">
        <v>22</v>
      </c>
      <c r="L382" s="5">
        <v>1371963600</v>
      </c>
      <c r="M382" s="5">
        <v>1372395600</v>
      </c>
      <c r="N382" s="8">
        <f t="shared" si="21"/>
        <v>41448.208333333336</v>
      </c>
      <c r="O382" s="8">
        <f t="shared" si="22"/>
        <v>41453.208333333336</v>
      </c>
      <c r="P382" s="21" t="str">
        <f>TEXT(CrowdfundingTable[[#This Row],[date_created]],"ddd")</f>
        <v>Sun</v>
      </c>
      <c r="Q382" s="21">
        <f>_xlfn.DAYS(CrowdfundingTable[[#This Row],[date_ended]],CrowdfundingTable[[#This Row],[date_created]])</f>
        <v>5</v>
      </c>
      <c r="R382" s="5" t="b">
        <v>0</v>
      </c>
      <c r="S382" s="5" t="b">
        <v>0</v>
      </c>
      <c r="T382" s="5" t="s">
        <v>33</v>
      </c>
      <c r="U382" s="5" t="s">
        <v>2040</v>
      </c>
      <c r="V382" s="5" t="s">
        <v>2055</v>
      </c>
      <c r="W382" s="5"/>
    </row>
    <row r="383" spans="1:23" ht="17" x14ac:dyDescent="0.2">
      <c r="A383" s="5">
        <v>381</v>
      </c>
      <c r="B383" s="5" t="s">
        <v>814</v>
      </c>
      <c r="C383" s="6" t="s">
        <v>815</v>
      </c>
      <c r="D383" s="94">
        <v>5300</v>
      </c>
      <c r="E383" s="94">
        <v>9749</v>
      </c>
      <c r="F383" s="7">
        <f t="shared" si="23"/>
        <v>1.8394339622641509</v>
      </c>
      <c r="G383" s="5" t="s">
        <v>20</v>
      </c>
      <c r="H383" s="5">
        <v>155</v>
      </c>
      <c r="I383" s="96">
        <f t="shared" si="20"/>
        <v>62.896774193548389</v>
      </c>
      <c r="J383" s="5" t="s">
        <v>21</v>
      </c>
      <c r="K383" s="5" t="s">
        <v>22</v>
      </c>
      <c r="L383" s="5">
        <v>1433739600</v>
      </c>
      <c r="M383" s="5">
        <v>1437714000</v>
      </c>
      <c r="N383" s="8">
        <f t="shared" si="21"/>
        <v>42163.208333333328</v>
      </c>
      <c r="O383" s="8">
        <f t="shared" si="22"/>
        <v>42209.208333333328</v>
      </c>
      <c r="P383" s="21" t="str">
        <f>TEXT(CrowdfundingTable[[#This Row],[date_created]],"ddd")</f>
        <v>Mon</v>
      </c>
      <c r="Q383" s="21">
        <f>_xlfn.DAYS(CrowdfundingTable[[#This Row],[date_ended]],CrowdfundingTable[[#This Row],[date_created]])</f>
        <v>46</v>
      </c>
      <c r="R383" s="5" t="b">
        <v>0</v>
      </c>
      <c r="S383" s="5" t="b">
        <v>0</v>
      </c>
      <c r="T383" s="5" t="s">
        <v>33</v>
      </c>
      <c r="U383" s="5" t="s">
        <v>2040</v>
      </c>
      <c r="V383" s="5" t="s">
        <v>2055</v>
      </c>
      <c r="W383" s="5"/>
    </row>
    <row r="384" spans="1:23" ht="17" x14ac:dyDescent="0.2">
      <c r="A384" s="5">
        <v>382</v>
      </c>
      <c r="B384" s="5" t="s">
        <v>816</v>
      </c>
      <c r="C384" s="6" t="s">
        <v>817</v>
      </c>
      <c r="D384" s="94">
        <v>9100</v>
      </c>
      <c r="E384" s="94">
        <v>5803</v>
      </c>
      <c r="F384" s="7">
        <f t="shared" si="23"/>
        <v>0.63769230769230767</v>
      </c>
      <c r="G384" s="5" t="s">
        <v>14</v>
      </c>
      <c r="H384" s="5">
        <v>67</v>
      </c>
      <c r="I384" s="96">
        <f t="shared" si="20"/>
        <v>86.611940298507463</v>
      </c>
      <c r="J384" s="5" t="s">
        <v>21</v>
      </c>
      <c r="K384" s="5" t="s">
        <v>22</v>
      </c>
      <c r="L384" s="5">
        <v>1508130000</v>
      </c>
      <c r="M384" s="5">
        <v>1509771600</v>
      </c>
      <c r="N384" s="8">
        <f t="shared" si="21"/>
        <v>43024.208333333328</v>
      </c>
      <c r="O384" s="8">
        <f t="shared" si="22"/>
        <v>43043.208333333328</v>
      </c>
      <c r="P384" s="21" t="str">
        <f>TEXT(CrowdfundingTable[[#This Row],[date_created]],"ddd")</f>
        <v>Mon</v>
      </c>
      <c r="Q384" s="21">
        <f>_xlfn.DAYS(CrowdfundingTable[[#This Row],[date_ended]],CrowdfundingTable[[#This Row],[date_created]])</f>
        <v>19</v>
      </c>
      <c r="R384" s="5" t="b">
        <v>0</v>
      </c>
      <c r="S384" s="5" t="b">
        <v>0</v>
      </c>
      <c r="T384" s="5" t="s">
        <v>122</v>
      </c>
      <c r="U384" s="5" t="s">
        <v>2037</v>
      </c>
      <c r="V384" s="5" t="s">
        <v>2054</v>
      </c>
      <c r="W384" s="5"/>
    </row>
    <row r="385" spans="1:23" ht="17" x14ac:dyDescent="0.2">
      <c r="A385" s="5">
        <v>383</v>
      </c>
      <c r="B385" s="5" t="s">
        <v>818</v>
      </c>
      <c r="C385" s="6" t="s">
        <v>819</v>
      </c>
      <c r="D385" s="94">
        <v>6300</v>
      </c>
      <c r="E385" s="94">
        <v>14199</v>
      </c>
      <c r="F385" s="7">
        <f t="shared" si="23"/>
        <v>2.2538095238095237</v>
      </c>
      <c r="G385" s="5" t="s">
        <v>20</v>
      </c>
      <c r="H385" s="5">
        <v>189</v>
      </c>
      <c r="I385" s="96">
        <f t="shared" si="20"/>
        <v>75.126984126984127</v>
      </c>
      <c r="J385" s="5" t="s">
        <v>21</v>
      </c>
      <c r="K385" s="5" t="s">
        <v>22</v>
      </c>
      <c r="L385" s="5">
        <v>1550037600</v>
      </c>
      <c r="M385" s="5">
        <v>1550556000</v>
      </c>
      <c r="N385" s="8">
        <f t="shared" si="21"/>
        <v>43509.25</v>
      </c>
      <c r="O385" s="8">
        <f t="shared" si="22"/>
        <v>43515.25</v>
      </c>
      <c r="P385" s="21" t="str">
        <f>TEXT(CrowdfundingTable[[#This Row],[date_created]],"ddd")</f>
        <v>Wed</v>
      </c>
      <c r="Q385" s="21">
        <f>_xlfn.DAYS(CrowdfundingTable[[#This Row],[date_ended]],CrowdfundingTable[[#This Row],[date_created]])</f>
        <v>6</v>
      </c>
      <c r="R385" s="5" t="b">
        <v>0</v>
      </c>
      <c r="S385" s="5" t="b">
        <v>1</v>
      </c>
      <c r="T385" s="5" t="s">
        <v>17</v>
      </c>
      <c r="U385" s="5" t="s">
        <v>2033</v>
      </c>
      <c r="V385" s="5" t="s">
        <v>2048</v>
      </c>
      <c r="W385" s="5"/>
    </row>
    <row r="386" spans="1:23" ht="17" x14ac:dyDescent="0.2">
      <c r="A386" s="5">
        <v>384</v>
      </c>
      <c r="B386" s="5" t="s">
        <v>820</v>
      </c>
      <c r="C386" s="6" t="s">
        <v>821</v>
      </c>
      <c r="D386" s="94">
        <v>114400</v>
      </c>
      <c r="E386" s="94">
        <v>196779</v>
      </c>
      <c r="F386" s="7">
        <f t="shared" si="23"/>
        <v>1.7200961538461539</v>
      </c>
      <c r="G386" s="5" t="s">
        <v>20</v>
      </c>
      <c r="H386" s="5">
        <v>4799</v>
      </c>
      <c r="I386" s="96">
        <f t="shared" ref="I386:I449" si="24">IF(H386&lt;&gt;0,E386/H386,0)</f>
        <v>41.004167534903104</v>
      </c>
      <c r="J386" s="5" t="s">
        <v>21</v>
      </c>
      <c r="K386" s="5" t="s">
        <v>22</v>
      </c>
      <c r="L386" s="5">
        <v>1486706400</v>
      </c>
      <c r="M386" s="5">
        <v>1489039200</v>
      </c>
      <c r="N386" s="8">
        <f t="shared" si="21"/>
        <v>42776.25</v>
      </c>
      <c r="O386" s="8">
        <f t="shared" si="22"/>
        <v>42803.25</v>
      </c>
      <c r="P386" s="21" t="str">
        <f>TEXT(CrowdfundingTable[[#This Row],[date_created]],"ddd")</f>
        <v>Fri</v>
      </c>
      <c r="Q386" s="21">
        <f>_xlfn.DAYS(CrowdfundingTable[[#This Row],[date_ended]],CrowdfundingTable[[#This Row],[date_created]])</f>
        <v>27</v>
      </c>
      <c r="R386" s="5" t="b">
        <v>1</v>
      </c>
      <c r="S386" s="5" t="b">
        <v>1</v>
      </c>
      <c r="T386" s="5" t="s">
        <v>42</v>
      </c>
      <c r="U386" s="5" t="s">
        <v>2032</v>
      </c>
      <c r="V386" s="5" t="s">
        <v>2044</v>
      </c>
      <c r="W386" s="5"/>
    </row>
    <row r="387" spans="1:23" ht="34" x14ac:dyDescent="0.2">
      <c r="A387" s="5">
        <v>385</v>
      </c>
      <c r="B387" s="5" t="s">
        <v>822</v>
      </c>
      <c r="C387" s="6" t="s">
        <v>823</v>
      </c>
      <c r="D387" s="94">
        <v>38900</v>
      </c>
      <c r="E387" s="94">
        <v>56859</v>
      </c>
      <c r="F387" s="7">
        <f t="shared" si="23"/>
        <v>1.4616709511568124</v>
      </c>
      <c r="G387" s="5" t="s">
        <v>20</v>
      </c>
      <c r="H387" s="5">
        <v>1137</v>
      </c>
      <c r="I387" s="96">
        <f t="shared" si="24"/>
        <v>50.007915567282325</v>
      </c>
      <c r="J387" s="5" t="s">
        <v>21</v>
      </c>
      <c r="K387" s="5" t="s">
        <v>22</v>
      </c>
      <c r="L387" s="5">
        <v>1553835600</v>
      </c>
      <c r="M387" s="5">
        <v>1556600400</v>
      </c>
      <c r="N387" s="8">
        <f t="shared" ref="N387:N450" si="25">(((L387/60)/60)/24)+DATE(1970,1,1)</f>
        <v>43553.208333333328</v>
      </c>
      <c r="O387" s="8">
        <f t="shared" ref="O387:O450" si="26">(((M387/60)/60)/24)+DATE(1970,1,1)</f>
        <v>43585.208333333328</v>
      </c>
      <c r="P387" s="21" t="str">
        <f>TEXT(CrowdfundingTable[[#This Row],[date_created]],"ddd")</f>
        <v>Fri</v>
      </c>
      <c r="Q387" s="21">
        <f>_xlfn.DAYS(CrowdfundingTable[[#This Row],[date_ended]],CrowdfundingTable[[#This Row],[date_created]])</f>
        <v>32</v>
      </c>
      <c r="R387" s="5" t="b">
        <v>0</v>
      </c>
      <c r="S387" s="5" t="b">
        <v>0</v>
      </c>
      <c r="T387" s="5" t="s">
        <v>68</v>
      </c>
      <c r="U387" s="5" t="s">
        <v>2038</v>
      </c>
      <c r="V387" s="5" t="s">
        <v>2053</v>
      </c>
      <c r="W387" s="5"/>
    </row>
    <row r="388" spans="1:23" ht="34" x14ac:dyDescent="0.2">
      <c r="A388" s="5">
        <v>386</v>
      </c>
      <c r="B388" s="5" t="s">
        <v>824</v>
      </c>
      <c r="C388" s="6" t="s">
        <v>825</v>
      </c>
      <c r="D388" s="94">
        <v>135500</v>
      </c>
      <c r="E388" s="94">
        <v>103554</v>
      </c>
      <c r="F388" s="7">
        <f t="shared" ref="F388:F451" si="27">E388/D388</f>
        <v>0.76423616236162362</v>
      </c>
      <c r="G388" s="5" t="s">
        <v>14</v>
      </c>
      <c r="H388" s="5">
        <v>1068</v>
      </c>
      <c r="I388" s="96">
        <f t="shared" si="24"/>
        <v>96.960674157303373</v>
      </c>
      <c r="J388" s="5" t="s">
        <v>21</v>
      </c>
      <c r="K388" s="5" t="s">
        <v>22</v>
      </c>
      <c r="L388" s="5">
        <v>1277528400</v>
      </c>
      <c r="M388" s="5">
        <v>1278565200</v>
      </c>
      <c r="N388" s="8">
        <f t="shared" si="25"/>
        <v>40355.208333333336</v>
      </c>
      <c r="O388" s="8">
        <f t="shared" si="26"/>
        <v>40367.208333333336</v>
      </c>
      <c r="P388" s="21" t="str">
        <f>TEXT(CrowdfundingTable[[#This Row],[date_created]],"ddd")</f>
        <v>Sat</v>
      </c>
      <c r="Q388" s="21">
        <f>_xlfn.DAYS(CrowdfundingTable[[#This Row],[date_ended]],CrowdfundingTable[[#This Row],[date_created]])</f>
        <v>12</v>
      </c>
      <c r="R388" s="5" t="b">
        <v>0</v>
      </c>
      <c r="S388" s="5" t="b">
        <v>0</v>
      </c>
      <c r="T388" s="5" t="s">
        <v>33</v>
      </c>
      <c r="U388" s="5" t="s">
        <v>2040</v>
      </c>
      <c r="V388" s="5" t="s">
        <v>2055</v>
      </c>
      <c r="W388" s="5"/>
    </row>
    <row r="389" spans="1:23" ht="17" x14ac:dyDescent="0.2">
      <c r="A389" s="5">
        <v>387</v>
      </c>
      <c r="B389" s="5" t="s">
        <v>826</v>
      </c>
      <c r="C389" s="6" t="s">
        <v>827</v>
      </c>
      <c r="D389" s="94">
        <v>109000</v>
      </c>
      <c r="E389" s="94">
        <v>42795</v>
      </c>
      <c r="F389" s="7">
        <f t="shared" si="27"/>
        <v>0.39261467889908258</v>
      </c>
      <c r="G389" s="5" t="s">
        <v>14</v>
      </c>
      <c r="H389" s="5">
        <v>424</v>
      </c>
      <c r="I389" s="96">
        <f t="shared" si="24"/>
        <v>100.93160377358491</v>
      </c>
      <c r="J389" s="5" t="s">
        <v>21</v>
      </c>
      <c r="K389" s="5" t="s">
        <v>22</v>
      </c>
      <c r="L389" s="5">
        <v>1339477200</v>
      </c>
      <c r="M389" s="5">
        <v>1339909200</v>
      </c>
      <c r="N389" s="8">
        <f t="shared" si="25"/>
        <v>41072.208333333336</v>
      </c>
      <c r="O389" s="8">
        <f t="shared" si="26"/>
        <v>41077.208333333336</v>
      </c>
      <c r="P389" s="21" t="str">
        <f>TEXT(CrowdfundingTable[[#This Row],[date_created]],"ddd")</f>
        <v>Tue</v>
      </c>
      <c r="Q389" s="21">
        <f>_xlfn.DAYS(CrowdfundingTable[[#This Row],[date_ended]],CrowdfundingTable[[#This Row],[date_created]])</f>
        <v>5</v>
      </c>
      <c r="R389" s="5" t="b">
        <v>0</v>
      </c>
      <c r="S389" s="5" t="b">
        <v>0</v>
      </c>
      <c r="T389" s="5" t="s">
        <v>65</v>
      </c>
      <c r="U389" s="5" t="s">
        <v>2039</v>
      </c>
      <c r="V389" s="5" t="s">
        <v>2063</v>
      </c>
      <c r="W389" s="5"/>
    </row>
    <row r="390" spans="1:23" ht="17" x14ac:dyDescent="0.2">
      <c r="A390" s="5">
        <v>388</v>
      </c>
      <c r="B390" s="5" t="s">
        <v>828</v>
      </c>
      <c r="C390" s="6" t="s">
        <v>829</v>
      </c>
      <c r="D390" s="94">
        <v>114800</v>
      </c>
      <c r="E390" s="94">
        <v>12938</v>
      </c>
      <c r="F390" s="7">
        <f t="shared" si="27"/>
        <v>0.11270034843205574</v>
      </c>
      <c r="G390" s="5" t="s">
        <v>74</v>
      </c>
      <c r="H390" s="5">
        <v>145</v>
      </c>
      <c r="I390" s="96">
        <f t="shared" si="24"/>
        <v>89.227586206896547</v>
      </c>
      <c r="J390" s="5" t="s">
        <v>98</v>
      </c>
      <c r="K390" s="5" t="s">
        <v>99</v>
      </c>
      <c r="L390" s="5">
        <v>1325656800</v>
      </c>
      <c r="M390" s="5">
        <v>1325829600</v>
      </c>
      <c r="N390" s="8">
        <f t="shared" si="25"/>
        <v>40912.25</v>
      </c>
      <c r="O390" s="8">
        <f t="shared" si="26"/>
        <v>40914.25</v>
      </c>
      <c r="P390" s="21" t="str">
        <f>TEXT(CrowdfundingTable[[#This Row],[date_created]],"ddd")</f>
        <v>Wed</v>
      </c>
      <c r="Q390" s="21">
        <f>_xlfn.DAYS(CrowdfundingTable[[#This Row],[date_ended]],CrowdfundingTable[[#This Row],[date_created]])</f>
        <v>2</v>
      </c>
      <c r="R390" s="5" t="b">
        <v>0</v>
      </c>
      <c r="S390" s="5" t="b">
        <v>0</v>
      </c>
      <c r="T390" s="5" t="s">
        <v>60</v>
      </c>
      <c r="U390" s="5" t="s">
        <v>2036</v>
      </c>
      <c r="V390" s="5" t="s">
        <v>2049</v>
      </c>
      <c r="W390" s="5"/>
    </row>
    <row r="391" spans="1:23" ht="17" x14ac:dyDescent="0.2">
      <c r="A391" s="5">
        <v>389</v>
      </c>
      <c r="B391" s="5" t="s">
        <v>830</v>
      </c>
      <c r="C391" s="6" t="s">
        <v>831</v>
      </c>
      <c r="D391" s="94">
        <v>83000</v>
      </c>
      <c r="E391" s="94">
        <v>101352</v>
      </c>
      <c r="F391" s="7">
        <f t="shared" si="27"/>
        <v>1.2211084337349398</v>
      </c>
      <c r="G391" s="5" t="s">
        <v>20</v>
      </c>
      <c r="H391" s="5">
        <v>1152</v>
      </c>
      <c r="I391" s="96">
        <f t="shared" si="24"/>
        <v>87.979166666666671</v>
      </c>
      <c r="J391" s="5" t="s">
        <v>21</v>
      </c>
      <c r="K391" s="5" t="s">
        <v>22</v>
      </c>
      <c r="L391" s="5">
        <v>1288242000</v>
      </c>
      <c r="M391" s="5">
        <v>1290578400</v>
      </c>
      <c r="N391" s="8">
        <f t="shared" si="25"/>
        <v>40479.208333333336</v>
      </c>
      <c r="O391" s="8">
        <f t="shared" si="26"/>
        <v>40506.25</v>
      </c>
      <c r="P391" s="21" t="str">
        <f>TEXT(CrowdfundingTable[[#This Row],[date_created]],"ddd")</f>
        <v>Thu</v>
      </c>
      <c r="Q391" s="21">
        <f>_xlfn.DAYS(CrowdfundingTable[[#This Row],[date_ended]],CrowdfundingTable[[#This Row],[date_created]])</f>
        <v>27</v>
      </c>
      <c r="R391" s="5" t="b">
        <v>0</v>
      </c>
      <c r="S391" s="5" t="b">
        <v>0</v>
      </c>
      <c r="T391" s="5" t="s">
        <v>33</v>
      </c>
      <c r="U391" s="5" t="s">
        <v>2040</v>
      </c>
      <c r="V391" s="5" t="s">
        <v>2055</v>
      </c>
      <c r="W391" s="5"/>
    </row>
    <row r="392" spans="1:23" ht="17" x14ac:dyDescent="0.2">
      <c r="A392" s="5">
        <v>390</v>
      </c>
      <c r="B392" s="5" t="s">
        <v>832</v>
      </c>
      <c r="C392" s="6" t="s">
        <v>833</v>
      </c>
      <c r="D392" s="94">
        <v>2400</v>
      </c>
      <c r="E392" s="94">
        <v>4477</v>
      </c>
      <c r="F392" s="7">
        <f t="shared" si="27"/>
        <v>1.8654166666666667</v>
      </c>
      <c r="G392" s="5" t="s">
        <v>20</v>
      </c>
      <c r="H392" s="5">
        <v>50</v>
      </c>
      <c r="I392" s="96">
        <f t="shared" si="24"/>
        <v>89.54</v>
      </c>
      <c r="J392" s="5" t="s">
        <v>21</v>
      </c>
      <c r="K392" s="5" t="s">
        <v>22</v>
      </c>
      <c r="L392" s="5">
        <v>1379048400</v>
      </c>
      <c r="M392" s="5">
        <v>1380344400</v>
      </c>
      <c r="N392" s="8">
        <f t="shared" si="25"/>
        <v>41530.208333333336</v>
      </c>
      <c r="O392" s="8">
        <f t="shared" si="26"/>
        <v>41545.208333333336</v>
      </c>
      <c r="P392" s="21" t="str">
        <f>TEXT(CrowdfundingTable[[#This Row],[date_created]],"ddd")</f>
        <v>Fri</v>
      </c>
      <c r="Q392" s="21">
        <f>_xlfn.DAYS(CrowdfundingTable[[#This Row],[date_ended]],CrowdfundingTable[[#This Row],[date_created]])</f>
        <v>15</v>
      </c>
      <c r="R392" s="5" t="b">
        <v>0</v>
      </c>
      <c r="S392" s="5" t="b">
        <v>0</v>
      </c>
      <c r="T392" s="5" t="s">
        <v>122</v>
      </c>
      <c r="U392" s="5" t="s">
        <v>2037</v>
      </c>
      <c r="V392" s="5" t="s">
        <v>2054</v>
      </c>
      <c r="W392" s="5"/>
    </row>
    <row r="393" spans="1:23" ht="17" x14ac:dyDescent="0.2">
      <c r="A393" s="5">
        <v>391</v>
      </c>
      <c r="B393" s="5" t="s">
        <v>834</v>
      </c>
      <c r="C393" s="6" t="s">
        <v>835</v>
      </c>
      <c r="D393" s="94">
        <v>60400</v>
      </c>
      <c r="E393" s="94">
        <v>4393</v>
      </c>
      <c r="F393" s="7">
        <f t="shared" si="27"/>
        <v>7.27317880794702E-2</v>
      </c>
      <c r="G393" s="5" t="s">
        <v>14</v>
      </c>
      <c r="H393" s="5">
        <v>151</v>
      </c>
      <c r="I393" s="96">
        <f t="shared" si="24"/>
        <v>29.09271523178808</v>
      </c>
      <c r="J393" s="5" t="s">
        <v>21</v>
      </c>
      <c r="K393" s="5" t="s">
        <v>22</v>
      </c>
      <c r="L393" s="5">
        <v>1389679200</v>
      </c>
      <c r="M393" s="5">
        <v>1389852000</v>
      </c>
      <c r="N393" s="8">
        <f t="shared" si="25"/>
        <v>41653.25</v>
      </c>
      <c r="O393" s="8">
        <f t="shared" si="26"/>
        <v>41655.25</v>
      </c>
      <c r="P393" s="21" t="str">
        <f>TEXT(CrowdfundingTable[[#This Row],[date_created]],"ddd")</f>
        <v>Tue</v>
      </c>
      <c r="Q393" s="21">
        <f>_xlfn.DAYS(CrowdfundingTable[[#This Row],[date_ended]],CrowdfundingTable[[#This Row],[date_created]])</f>
        <v>2</v>
      </c>
      <c r="R393" s="5" t="b">
        <v>0</v>
      </c>
      <c r="S393" s="5" t="b">
        <v>0</v>
      </c>
      <c r="T393" s="5" t="s">
        <v>68</v>
      </c>
      <c r="U393" s="5" t="s">
        <v>2038</v>
      </c>
      <c r="V393" s="5" t="s">
        <v>2053</v>
      </c>
      <c r="W393" s="5"/>
    </row>
    <row r="394" spans="1:23" ht="34" x14ac:dyDescent="0.2">
      <c r="A394" s="5">
        <v>392</v>
      </c>
      <c r="B394" s="5" t="s">
        <v>836</v>
      </c>
      <c r="C394" s="6" t="s">
        <v>837</v>
      </c>
      <c r="D394" s="94">
        <v>102900</v>
      </c>
      <c r="E394" s="94">
        <v>67546</v>
      </c>
      <c r="F394" s="7">
        <f t="shared" si="27"/>
        <v>0.65642371234207963</v>
      </c>
      <c r="G394" s="5" t="s">
        <v>14</v>
      </c>
      <c r="H394" s="5">
        <v>1608</v>
      </c>
      <c r="I394" s="96">
        <f t="shared" si="24"/>
        <v>42.006218905472636</v>
      </c>
      <c r="J394" s="5" t="s">
        <v>21</v>
      </c>
      <c r="K394" s="5" t="s">
        <v>22</v>
      </c>
      <c r="L394" s="5">
        <v>1294293600</v>
      </c>
      <c r="M394" s="5">
        <v>1294466400</v>
      </c>
      <c r="N394" s="8">
        <f t="shared" si="25"/>
        <v>40549.25</v>
      </c>
      <c r="O394" s="8">
        <f t="shared" si="26"/>
        <v>40551.25</v>
      </c>
      <c r="P394" s="21" t="str">
        <f>TEXT(CrowdfundingTable[[#This Row],[date_created]],"ddd")</f>
        <v>Thu</v>
      </c>
      <c r="Q394" s="21">
        <f>_xlfn.DAYS(CrowdfundingTable[[#This Row],[date_ended]],CrowdfundingTable[[#This Row],[date_created]])</f>
        <v>2</v>
      </c>
      <c r="R394" s="5" t="b">
        <v>0</v>
      </c>
      <c r="S394" s="5" t="b">
        <v>0</v>
      </c>
      <c r="T394" s="5" t="s">
        <v>65</v>
      </c>
      <c r="U394" s="5" t="s">
        <v>2039</v>
      </c>
      <c r="V394" s="5" t="s">
        <v>2063</v>
      </c>
      <c r="W394" s="5"/>
    </row>
    <row r="395" spans="1:23" ht="17" x14ac:dyDescent="0.2">
      <c r="A395" s="5">
        <v>393</v>
      </c>
      <c r="B395" s="5" t="s">
        <v>838</v>
      </c>
      <c r="C395" s="6" t="s">
        <v>839</v>
      </c>
      <c r="D395" s="94">
        <v>62800</v>
      </c>
      <c r="E395" s="94">
        <v>143788</v>
      </c>
      <c r="F395" s="7">
        <f t="shared" si="27"/>
        <v>2.2896178343949045</v>
      </c>
      <c r="G395" s="5" t="s">
        <v>20</v>
      </c>
      <c r="H395" s="5">
        <v>3059</v>
      </c>
      <c r="I395" s="96">
        <f t="shared" si="24"/>
        <v>47.004903563255965</v>
      </c>
      <c r="J395" s="5" t="s">
        <v>15</v>
      </c>
      <c r="K395" s="5" t="s">
        <v>16</v>
      </c>
      <c r="L395" s="5">
        <v>1500267600</v>
      </c>
      <c r="M395" s="5">
        <v>1500354000</v>
      </c>
      <c r="N395" s="8">
        <f t="shared" si="25"/>
        <v>42933.208333333328</v>
      </c>
      <c r="O395" s="8">
        <f t="shared" si="26"/>
        <v>42934.208333333328</v>
      </c>
      <c r="P395" s="21" t="str">
        <f>TEXT(CrowdfundingTable[[#This Row],[date_created]],"ddd")</f>
        <v>Mon</v>
      </c>
      <c r="Q395" s="21">
        <f>_xlfn.DAYS(CrowdfundingTable[[#This Row],[date_ended]],CrowdfundingTable[[#This Row],[date_created]])</f>
        <v>1</v>
      </c>
      <c r="R395" s="5" t="b">
        <v>0</v>
      </c>
      <c r="S395" s="5" t="b">
        <v>0</v>
      </c>
      <c r="T395" s="5" t="s">
        <v>159</v>
      </c>
      <c r="U395" s="5" t="s">
        <v>2036</v>
      </c>
      <c r="V395" s="5" t="s">
        <v>2050</v>
      </c>
      <c r="W395" s="5"/>
    </row>
    <row r="396" spans="1:23" ht="17" x14ac:dyDescent="0.2">
      <c r="A396" s="5">
        <v>394</v>
      </c>
      <c r="B396" s="5" t="s">
        <v>840</v>
      </c>
      <c r="C396" s="6" t="s">
        <v>841</v>
      </c>
      <c r="D396" s="94">
        <v>800</v>
      </c>
      <c r="E396" s="94">
        <v>3755</v>
      </c>
      <c r="F396" s="7">
        <f t="shared" si="27"/>
        <v>4.6937499999999996</v>
      </c>
      <c r="G396" s="5" t="s">
        <v>20</v>
      </c>
      <c r="H396" s="5">
        <v>34</v>
      </c>
      <c r="I396" s="96">
        <f t="shared" si="24"/>
        <v>110.44117647058823</v>
      </c>
      <c r="J396" s="5" t="s">
        <v>21</v>
      </c>
      <c r="K396" s="5" t="s">
        <v>22</v>
      </c>
      <c r="L396" s="5">
        <v>1375074000</v>
      </c>
      <c r="M396" s="5">
        <v>1375938000</v>
      </c>
      <c r="N396" s="8">
        <f t="shared" si="25"/>
        <v>41484.208333333336</v>
      </c>
      <c r="O396" s="8">
        <f t="shared" si="26"/>
        <v>41494.208333333336</v>
      </c>
      <c r="P396" s="21" t="str">
        <f>TEXT(CrowdfundingTable[[#This Row],[date_created]],"ddd")</f>
        <v>Mon</v>
      </c>
      <c r="Q396" s="21">
        <f>_xlfn.DAYS(CrowdfundingTable[[#This Row],[date_ended]],CrowdfundingTable[[#This Row],[date_created]])</f>
        <v>10</v>
      </c>
      <c r="R396" s="5" t="b">
        <v>0</v>
      </c>
      <c r="S396" s="5" t="b">
        <v>1</v>
      </c>
      <c r="T396" s="5" t="s">
        <v>42</v>
      </c>
      <c r="U396" s="5" t="s">
        <v>2032</v>
      </c>
      <c r="V396" s="5" t="s">
        <v>2044</v>
      </c>
      <c r="W396" s="5"/>
    </row>
    <row r="397" spans="1:23" ht="34" x14ac:dyDescent="0.2">
      <c r="A397" s="5">
        <v>395</v>
      </c>
      <c r="B397" s="5" t="s">
        <v>295</v>
      </c>
      <c r="C397" s="6" t="s">
        <v>842</v>
      </c>
      <c r="D397" s="94">
        <v>7100</v>
      </c>
      <c r="E397" s="94">
        <v>9238</v>
      </c>
      <c r="F397" s="7">
        <f t="shared" si="27"/>
        <v>1.3011267605633803</v>
      </c>
      <c r="G397" s="5" t="s">
        <v>20</v>
      </c>
      <c r="H397" s="5">
        <v>220</v>
      </c>
      <c r="I397" s="96">
        <f t="shared" si="24"/>
        <v>41.990909090909092</v>
      </c>
      <c r="J397" s="5" t="s">
        <v>21</v>
      </c>
      <c r="K397" s="5" t="s">
        <v>22</v>
      </c>
      <c r="L397" s="5">
        <v>1323324000</v>
      </c>
      <c r="M397" s="5">
        <v>1323410400</v>
      </c>
      <c r="N397" s="8">
        <f t="shared" si="25"/>
        <v>40885.25</v>
      </c>
      <c r="O397" s="8">
        <f t="shared" si="26"/>
        <v>40886.25</v>
      </c>
      <c r="P397" s="21" t="str">
        <f>TEXT(CrowdfundingTable[[#This Row],[date_created]],"ddd")</f>
        <v>Thu</v>
      </c>
      <c r="Q397" s="21">
        <f>_xlfn.DAYS(CrowdfundingTable[[#This Row],[date_ended]],CrowdfundingTable[[#This Row],[date_created]])</f>
        <v>1</v>
      </c>
      <c r="R397" s="5" t="b">
        <v>1</v>
      </c>
      <c r="S397" s="5" t="b">
        <v>0</v>
      </c>
      <c r="T397" s="5" t="s">
        <v>33</v>
      </c>
      <c r="U397" s="5" t="s">
        <v>2040</v>
      </c>
      <c r="V397" s="5" t="s">
        <v>2055</v>
      </c>
      <c r="W397" s="5"/>
    </row>
    <row r="398" spans="1:23" ht="17" x14ac:dyDescent="0.2">
      <c r="A398" s="5">
        <v>396</v>
      </c>
      <c r="B398" s="5" t="s">
        <v>843</v>
      </c>
      <c r="C398" s="6" t="s">
        <v>844</v>
      </c>
      <c r="D398" s="94">
        <v>46100</v>
      </c>
      <c r="E398" s="94">
        <v>77012</v>
      </c>
      <c r="F398" s="7">
        <f t="shared" si="27"/>
        <v>1.6705422993492407</v>
      </c>
      <c r="G398" s="5" t="s">
        <v>20</v>
      </c>
      <c r="H398" s="5">
        <v>1604</v>
      </c>
      <c r="I398" s="96">
        <f t="shared" si="24"/>
        <v>48.012468827930178</v>
      </c>
      <c r="J398" s="5" t="s">
        <v>26</v>
      </c>
      <c r="K398" s="5" t="s">
        <v>27</v>
      </c>
      <c r="L398" s="5">
        <v>1538715600</v>
      </c>
      <c r="M398" s="5">
        <v>1539406800</v>
      </c>
      <c r="N398" s="8">
        <f t="shared" si="25"/>
        <v>43378.208333333328</v>
      </c>
      <c r="O398" s="8">
        <f t="shared" si="26"/>
        <v>43386.208333333328</v>
      </c>
      <c r="P398" s="21" t="str">
        <f>TEXT(CrowdfundingTable[[#This Row],[date_created]],"ddd")</f>
        <v>Fri</v>
      </c>
      <c r="Q398" s="21">
        <f>_xlfn.DAYS(CrowdfundingTable[[#This Row],[date_ended]],CrowdfundingTable[[#This Row],[date_created]])</f>
        <v>8</v>
      </c>
      <c r="R398" s="5" t="b">
        <v>0</v>
      </c>
      <c r="S398" s="5" t="b">
        <v>0</v>
      </c>
      <c r="T398" s="5" t="s">
        <v>53</v>
      </c>
      <c r="U398" s="5" t="s">
        <v>2032</v>
      </c>
      <c r="V398" s="5" t="s">
        <v>2045</v>
      </c>
      <c r="W398" s="5"/>
    </row>
    <row r="399" spans="1:23" ht="17" x14ac:dyDescent="0.2">
      <c r="A399" s="5">
        <v>397</v>
      </c>
      <c r="B399" s="5" t="s">
        <v>845</v>
      </c>
      <c r="C399" s="6" t="s">
        <v>846</v>
      </c>
      <c r="D399" s="94">
        <v>8100</v>
      </c>
      <c r="E399" s="94">
        <v>14083</v>
      </c>
      <c r="F399" s="7">
        <f t="shared" si="27"/>
        <v>1.738641975308642</v>
      </c>
      <c r="G399" s="5" t="s">
        <v>20</v>
      </c>
      <c r="H399" s="5">
        <v>454</v>
      </c>
      <c r="I399" s="96">
        <f t="shared" si="24"/>
        <v>31.019823788546255</v>
      </c>
      <c r="J399" s="5" t="s">
        <v>21</v>
      </c>
      <c r="K399" s="5" t="s">
        <v>22</v>
      </c>
      <c r="L399" s="5">
        <v>1369285200</v>
      </c>
      <c r="M399" s="5">
        <v>1369803600</v>
      </c>
      <c r="N399" s="8">
        <f t="shared" si="25"/>
        <v>41417.208333333336</v>
      </c>
      <c r="O399" s="8">
        <f t="shared" si="26"/>
        <v>41423.208333333336</v>
      </c>
      <c r="P399" s="21" t="str">
        <f>TEXT(CrowdfundingTable[[#This Row],[date_created]],"ddd")</f>
        <v>Thu</v>
      </c>
      <c r="Q399" s="21">
        <f>_xlfn.DAYS(CrowdfundingTable[[#This Row],[date_ended]],CrowdfundingTable[[#This Row],[date_created]])</f>
        <v>6</v>
      </c>
      <c r="R399" s="5" t="b">
        <v>0</v>
      </c>
      <c r="S399" s="5" t="b">
        <v>0</v>
      </c>
      <c r="T399" s="5" t="s">
        <v>23</v>
      </c>
      <c r="U399" s="5" t="s">
        <v>2036</v>
      </c>
      <c r="V399" s="5" t="s">
        <v>2057</v>
      </c>
      <c r="W399" s="5"/>
    </row>
    <row r="400" spans="1:23" ht="17" x14ac:dyDescent="0.2">
      <c r="A400" s="5">
        <v>398</v>
      </c>
      <c r="B400" s="5" t="s">
        <v>847</v>
      </c>
      <c r="C400" s="6" t="s">
        <v>848</v>
      </c>
      <c r="D400" s="94">
        <v>1700</v>
      </c>
      <c r="E400" s="94">
        <v>12202</v>
      </c>
      <c r="F400" s="7">
        <f t="shared" si="27"/>
        <v>7.1776470588235295</v>
      </c>
      <c r="G400" s="5" t="s">
        <v>20</v>
      </c>
      <c r="H400" s="5">
        <v>123</v>
      </c>
      <c r="I400" s="96">
        <f t="shared" si="24"/>
        <v>99.203252032520325</v>
      </c>
      <c r="J400" s="5" t="s">
        <v>107</v>
      </c>
      <c r="K400" s="5" t="s">
        <v>108</v>
      </c>
      <c r="L400" s="5">
        <v>1525755600</v>
      </c>
      <c r="M400" s="5">
        <v>1525928400</v>
      </c>
      <c r="N400" s="8">
        <f t="shared" si="25"/>
        <v>43228.208333333328</v>
      </c>
      <c r="O400" s="8">
        <f t="shared" si="26"/>
        <v>43230.208333333328</v>
      </c>
      <c r="P400" s="21" t="str">
        <f>TEXT(CrowdfundingTable[[#This Row],[date_created]],"ddd")</f>
        <v>Tue</v>
      </c>
      <c r="Q400" s="21">
        <f>_xlfn.DAYS(CrowdfundingTable[[#This Row],[date_ended]],CrowdfundingTable[[#This Row],[date_created]])</f>
        <v>2</v>
      </c>
      <c r="R400" s="5" t="b">
        <v>0</v>
      </c>
      <c r="S400" s="5" t="b">
        <v>1</v>
      </c>
      <c r="T400" s="5" t="s">
        <v>71</v>
      </c>
      <c r="U400" s="5" t="s">
        <v>2032</v>
      </c>
      <c r="V400" s="5" t="s">
        <v>2042</v>
      </c>
      <c r="W400" s="5"/>
    </row>
    <row r="401" spans="1:23" ht="17" x14ac:dyDescent="0.2">
      <c r="A401" s="5">
        <v>399</v>
      </c>
      <c r="B401" s="5" t="s">
        <v>849</v>
      </c>
      <c r="C401" s="6" t="s">
        <v>850</v>
      </c>
      <c r="D401" s="94">
        <v>97300</v>
      </c>
      <c r="E401" s="94">
        <v>62127</v>
      </c>
      <c r="F401" s="7">
        <f t="shared" si="27"/>
        <v>0.63850976361767731</v>
      </c>
      <c r="G401" s="5" t="s">
        <v>14</v>
      </c>
      <c r="H401" s="5">
        <v>941</v>
      </c>
      <c r="I401" s="96">
        <f t="shared" si="24"/>
        <v>66.022316684378325</v>
      </c>
      <c r="J401" s="5" t="s">
        <v>21</v>
      </c>
      <c r="K401" s="5" t="s">
        <v>22</v>
      </c>
      <c r="L401" s="5">
        <v>1296626400</v>
      </c>
      <c r="M401" s="5">
        <v>1297231200</v>
      </c>
      <c r="N401" s="8">
        <f t="shared" si="25"/>
        <v>40576.25</v>
      </c>
      <c r="O401" s="8">
        <f t="shared" si="26"/>
        <v>40583.25</v>
      </c>
      <c r="P401" s="21" t="str">
        <f>TEXT(CrowdfundingTable[[#This Row],[date_created]],"ddd")</f>
        <v>Wed</v>
      </c>
      <c r="Q401" s="21">
        <f>_xlfn.DAYS(CrowdfundingTable[[#This Row],[date_ended]],CrowdfundingTable[[#This Row],[date_created]])</f>
        <v>7</v>
      </c>
      <c r="R401" s="5" t="b">
        <v>0</v>
      </c>
      <c r="S401" s="5" t="b">
        <v>0</v>
      </c>
      <c r="T401" s="5" t="s">
        <v>60</v>
      </c>
      <c r="U401" s="5" t="s">
        <v>2036</v>
      </c>
      <c r="V401" s="5" t="s">
        <v>2049</v>
      </c>
      <c r="W401" s="5"/>
    </row>
    <row r="402" spans="1:23" ht="17" x14ac:dyDescent="0.2">
      <c r="A402" s="5">
        <v>400</v>
      </c>
      <c r="B402" s="5" t="s">
        <v>851</v>
      </c>
      <c r="C402" s="6" t="s">
        <v>852</v>
      </c>
      <c r="D402" s="94">
        <v>100</v>
      </c>
      <c r="E402" s="94">
        <v>2</v>
      </c>
      <c r="F402" s="7">
        <f t="shared" si="27"/>
        <v>0.02</v>
      </c>
      <c r="G402" s="5" t="s">
        <v>14</v>
      </c>
      <c r="H402" s="5">
        <v>1</v>
      </c>
      <c r="I402" s="96">
        <f t="shared" si="24"/>
        <v>2</v>
      </c>
      <c r="J402" s="5" t="s">
        <v>21</v>
      </c>
      <c r="K402" s="5" t="s">
        <v>22</v>
      </c>
      <c r="L402" s="5">
        <v>1376629200</v>
      </c>
      <c r="M402" s="5">
        <v>1378530000</v>
      </c>
      <c r="N402" s="8">
        <f t="shared" si="25"/>
        <v>41502.208333333336</v>
      </c>
      <c r="O402" s="8">
        <f t="shared" si="26"/>
        <v>41524.208333333336</v>
      </c>
      <c r="P402" s="21" t="str">
        <f>TEXT(CrowdfundingTable[[#This Row],[date_created]],"ddd")</f>
        <v>Fri</v>
      </c>
      <c r="Q402" s="21">
        <f>_xlfn.DAYS(CrowdfundingTable[[#This Row],[date_ended]],CrowdfundingTable[[#This Row],[date_created]])</f>
        <v>22</v>
      </c>
      <c r="R402" s="5" t="b">
        <v>0</v>
      </c>
      <c r="S402" s="5" t="b">
        <v>1</v>
      </c>
      <c r="T402" s="5" t="s">
        <v>122</v>
      </c>
      <c r="U402" s="5" t="s">
        <v>2037</v>
      </c>
      <c r="V402" s="5" t="s">
        <v>2054</v>
      </c>
      <c r="W402" s="5"/>
    </row>
    <row r="403" spans="1:23" ht="17" x14ac:dyDescent="0.2">
      <c r="A403" s="5">
        <v>401</v>
      </c>
      <c r="B403" s="5" t="s">
        <v>853</v>
      </c>
      <c r="C403" s="6" t="s">
        <v>854</v>
      </c>
      <c r="D403" s="94">
        <v>900</v>
      </c>
      <c r="E403" s="94">
        <v>13772</v>
      </c>
      <c r="F403" s="7">
        <f t="shared" si="27"/>
        <v>15.302222222222222</v>
      </c>
      <c r="G403" s="5" t="s">
        <v>20</v>
      </c>
      <c r="H403" s="5">
        <v>299</v>
      </c>
      <c r="I403" s="96">
        <f t="shared" si="24"/>
        <v>46.060200668896321</v>
      </c>
      <c r="J403" s="5" t="s">
        <v>21</v>
      </c>
      <c r="K403" s="5" t="s">
        <v>22</v>
      </c>
      <c r="L403" s="5">
        <v>1572152400</v>
      </c>
      <c r="M403" s="5">
        <v>1572152400</v>
      </c>
      <c r="N403" s="8">
        <f t="shared" si="25"/>
        <v>43765.208333333328</v>
      </c>
      <c r="O403" s="8">
        <f t="shared" si="26"/>
        <v>43765.208333333328</v>
      </c>
      <c r="P403" s="21" t="str">
        <f>TEXT(CrowdfundingTable[[#This Row],[date_created]],"ddd")</f>
        <v>Sun</v>
      </c>
      <c r="Q403" s="21">
        <f>_xlfn.DAYS(CrowdfundingTable[[#This Row],[date_ended]],CrowdfundingTable[[#This Row],[date_created]])</f>
        <v>0</v>
      </c>
      <c r="R403" s="5" t="b">
        <v>0</v>
      </c>
      <c r="S403" s="5" t="b">
        <v>0</v>
      </c>
      <c r="T403" s="5" t="s">
        <v>33</v>
      </c>
      <c r="U403" s="5" t="s">
        <v>2040</v>
      </c>
      <c r="V403" s="5" t="s">
        <v>2055</v>
      </c>
      <c r="W403" s="5"/>
    </row>
    <row r="404" spans="1:23" ht="17" x14ac:dyDescent="0.2">
      <c r="A404" s="5">
        <v>402</v>
      </c>
      <c r="B404" s="5" t="s">
        <v>855</v>
      </c>
      <c r="C404" s="6" t="s">
        <v>856</v>
      </c>
      <c r="D404" s="94">
        <v>7300</v>
      </c>
      <c r="E404" s="94">
        <v>2946</v>
      </c>
      <c r="F404" s="7">
        <f t="shared" si="27"/>
        <v>0.40356164383561643</v>
      </c>
      <c r="G404" s="5" t="s">
        <v>14</v>
      </c>
      <c r="H404" s="5">
        <v>40</v>
      </c>
      <c r="I404" s="96">
        <f t="shared" si="24"/>
        <v>73.650000000000006</v>
      </c>
      <c r="J404" s="5" t="s">
        <v>21</v>
      </c>
      <c r="K404" s="5" t="s">
        <v>22</v>
      </c>
      <c r="L404" s="5">
        <v>1325829600</v>
      </c>
      <c r="M404" s="5">
        <v>1329890400</v>
      </c>
      <c r="N404" s="8">
        <f t="shared" si="25"/>
        <v>40914.25</v>
      </c>
      <c r="O404" s="8">
        <f t="shared" si="26"/>
        <v>40961.25</v>
      </c>
      <c r="P404" s="21" t="str">
        <f>TEXT(CrowdfundingTable[[#This Row],[date_created]],"ddd")</f>
        <v>Fri</v>
      </c>
      <c r="Q404" s="21">
        <f>_xlfn.DAYS(CrowdfundingTable[[#This Row],[date_ended]],CrowdfundingTable[[#This Row],[date_created]])</f>
        <v>47</v>
      </c>
      <c r="R404" s="5" t="b">
        <v>0</v>
      </c>
      <c r="S404" s="5" t="b">
        <v>1</v>
      </c>
      <c r="T404" s="5" t="s">
        <v>100</v>
      </c>
      <c r="U404" s="5" t="s">
        <v>2032</v>
      </c>
      <c r="V404" s="5" t="s">
        <v>2059</v>
      </c>
      <c r="W404" s="5"/>
    </row>
    <row r="405" spans="1:23" ht="17" x14ac:dyDescent="0.2">
      <c r="A405" s="5">
        <v>403</v>
      </c>
      <c r="B405" s="5" t="s">
        <v>857</v>
      </c>
      <c r="C405" s="6" t="s">
        <v>858</v>
      </c>
      <c r="D405" s="94">
        <v>195800</v>
      </c>
      <c r="E405" s="94">
        <v>168820</v>
      </c>
      <c r="F405" s="7">
        <f t="shared" si="27"/>
        <v>0.86220633299284988</v>
      </c>
      <c r="G405" s="5" t="s">
        <v>14</v>
      </c>
      <c r="H405" s="5">
        <v>3015</v>
      </c>
      <c r="I405" s="96">
        <f t="shared" si="24"/>
        <v>55.99336650082919</v>
      </c>
      <c r="J405" s="5" t="s">
        <v>15</v>
      </c>
      <c r="K405" s="5" t="s">
        <v>16</v>
      </c>
      <c r="L405" s="5">
        <v>1273640400</v>
      </c>
      <c r="M405" s="5">
        <v>1276750800</v>
      </c>
      <c r="N405" s="8">
        <f t="shared" si="25"/>
        <v>40310.208333333336</v>
      </c>
      <c r="O405" s="8">
        <f t="shared" si="26"/>
        <v>40346.208333333336</v>
      </c>
      <c r="P405" s="21" t="str">
        <f>TEXT(CrowdfundingTable[[#This Row],[date_created]],"ddd")</f>
        <v>Wed</v>
      </c>
      <c r="Q405" s="21">
        <f>_xlfn.DAYS(CrowdfundingTable[[#This Row],[date_ended]],CrowdfundingTable[[#This Row],[date_created]])</f>
        <v>36</v>
      </c>
      <c r="R405" s="5" t="b">
        <v>0</v>
      </c>
      <c r="S405" s="5" t="b">
        <v>1</v>
      </c>
      <c r="T405" s="5" t="s">
        <v>33</v>
      </c>
      <c r="U405" s="5" t="s">
        <v>2040</v>
      </c>
      <c r="V405" s="5" t="s">
        <v>2055</v>
      </c>
      <c r="W405" s="5"/>
    </row>
    <row r="406" spans="1:23" ht="17" x14ac:dyDescent="0.2">
      <c r="A406" s="5">
        <v>404</v>
      </c>
      <c r="B406" s="5" t="s">
        <v>859</v>
      </c>
      <c r="C406" s="6" t="s">
        <v>860</v>
      </c>
      <c r="D406" s="94">
        <v>48900</v>
      </c>
      <c r="E406" s="94">
        <v>154321</v>
      </c>
      <c r="F406" s="7">
        <f t="shared" si="27"/>
        <v>3.1558486707566464</v>
      </c>
      <c r="G406" s="5" t="s">
        <v>20</v>
      </c>
      <c r="H406" s="5">
        <v>2237</v>
      </c>
      <c r="I406" s="96">
        <f t="shared" si="24"/>
        <v>68.985695127402778</v>
      </c>
      <c r="J406" s="5" t="s">
        <v>21</v>
      </c>
      <c r="K406" s="5" t="s">
        <v>22</v>
      </c>
      <c r="L406" s="5">
        <v>1510639200</v>
      </c>
      <c r="M406" s="5">
        <v>1510898400</v>
      </c>
      <c r="N406" s="8">
        <f t="shared" si="25"/>
        <v>43053.25</v>
      </c>
      <c r="O406" s="8">
        <f t="shared" si="26"/>
        <v>43056.25</v>
      </c>
      <c r="P406" s="21" t="str">
        <f>TEXT(CrowdfundingTable[[#This Row],[date_created]],"ddd")</f>
        <v>Tue</v>
      </c>
      <c r="Q406" s="21">
        <f>_xlfn.DAYS(CrowdfundingTable[[#This Row],[date_ended]],CrowdfundingTable[[#This Row],[date_created]])</f>
        <v>3</v>
      </c>
      <c r="R406" s="5" t="b">
        <v>0</v>
      </c>
      <c r="S406" s="5" t="b">
        <v>0</v>
      </c>
      <c r="T406" s="5" t="s">
        <v>33</v>
      </c>
      <c r="U406" s="5" t="s">
        <v>2040</v>
      </c>
      <c r="V406" s="5" t="s">
        <v>2055</v>
      </c>
      <c r="W406" s="5"/>
    </row>
    <row r="407" spans="1:23" ht="17" x14ac:dyDescent="0.2">
      <c r="A407" s="5">
        <v>405</v>
      </c>
      <c r="B407" s="5" t="s">
        <v>861</v>
      </c>
      <c r="C407" s="6" t="s">
        <v>862</v>
      </c>
      <c r="D407" s="94">
        <v>29600</v>
      </c>
      <c r="E407" s="94">
        <v>26527</v>
      </c>
      <c r="F407" s="7">
        <f t="shared" si="27"/>
        <v>0.89618243243243245</v>
      </c>
      <c r="G407" s="5" t="s">
        <v>14</v>
      </c>
      <c r="H407" s="5">
        <v>435</v>
      </c>
      <c r="I407" s="96">
        <f t="shared" si="24"/>
        <v>60.981609195402299</v>
      </c>
      <c r="J407" s="5" t="s">
        <v>21</v>
      </c>
      <c r="K407" s="5" t="s">
        <v>22</v>
      </c>
      <c r="L407" s="5">
        <v>1528088400</v>
      </c>
      <c r="M407" s="5">
        <v>1532408400</v>
      </c>
      <c r="N407" s="8">
        <f t="shared" si="25"/>
        <v>43255.208333333328</v>
      </c>
      <c r="O407" s="8">
        <f t="shared" si="26"/>
        <v>43305.208333333328</v>
      </c>
      <c r="P407" s="21" t="str">
        <f>TEXT(CrowdfundingTable[[#This Row],[date_created]],"ddd")</f>
        <v>Mon</v>
      </c>
      <c r="Q407" s="21">
        <f>_xlfn.DAYS(CrowdfundingTable[[#This Row],[date_ended]],CrowdfundingTable[[#This Row],[date_created]])</f>
        <v>50</v>
      </c>
      <c r="R407" s="5" t="b">
        <v>0</v>
      </c>
      <c r="S407" s="5" t="b">
        <v>0</v>
      </c>
      <c r="T407" s="5" t="s">
        <v>33</v>
      </c>
      <c r="U407" s="5" t="s">
        <v>2040</v>
      </c>
      <c r="V407" s="5" t="s">
        <v>2055</v>
      </c>
      <c r="W407" s="5"/>
    </row>
    <row r="408" spans="1:23" ht="17" x14ac:dyDescent="0.2">
      <c r="A408" s="5">
        <v>406</v>
      </c>
      <c r="B408" s="5" t="s">
        <v>863</v>
      </c>
      <c r="C408" s="6" t="s">
        <v>864</v>
      </c>
      <c r="D408" s="94">
        <v>39300</v>
      </c>
      <c r="E408" s="94">
        <v>71583</v>
      </c>
      <c r="F408" s="7">
        <f t="shared" si="27"/>
        <v>1.8214503816793892</v>
      </c>
      <c r="G408" s="5" t="s">
        <v>20</v>
      </c>
      <c r="H408" s="5">
        <v>645</v>
      </c>
      <c r="I408" s="96">
        <f t="shared" si="24"/>
        <v>110.98139534883721</v>
      </c>
      <c r="J408" s="5" t="s">
        <v>21</v>
      </c>
      <c r="K408" s="5" t="s">
        <v>22</v>
      </c>
      <c r="L408" s="5">
        <v>1359525600</v>
      </c>
      <c r="M408" s="5">
        <v>1360562400</v>
      </c>
      <c r="N408" s="8">
        <f t="shared" si="25"/>
        <v>41304.25</v>
      </c>
      <c r="O408" s="8">
        <f t="shared" si="26"/>
        <v>41316.25</v>
      </c>
      <c r="P408" s="21" t="str">
        <f>TEXT(CrowdfundingTable[[#This Row],[date_created]],"ddd")</f>
        <v>Wed</v>
      </c>
      <c r="Q408" s="21">
        <f>_xlfn.DAYS(CrowdfundingTable[[#This Row],[date_ended]],CrowdfundingTable[[#This Row],[date_created]])</f>
        <v>12</v>
      </c>
      <c r="R408" s="5" t="b">
        <v>1</v>
      </c>
      <c r="S408" s="5" t="b">
        <v>0</v>
      </c>
      <c r="T408" s="5" t="s">
        <v>42</v>
      </c>
      <c r="U408" s="5" t="s">
        <v>2032</v>
      </c>
      <c r="V408" s="5" t="s">
        <v>2044</v>
      </c>
      <c r="W408" s="5"/>
    </row>
    <row r="409" spans="1:23" ht="17" x14ac:dyDescent="0.2">
      <c r="A409" s="5">
        <v>407</v>
      </c>
      <c r="B409" s="5" t="s">
        <v>865</v>
      </c>
      <c r="C409" s="6" t="s">
        <v>866</v>
      </c>
      <c r="D409" s="94">
        <v>3400</v>
      </c>
      <c r="E409" s="94">
        <v>12100</v>
      </c>
      <c r="F409" s="7">
        <f t="shared" si="27"/>
        <v>3.5588235294117645</v>
      </c>
      <c r="G409" s="5" t="s">
        <v>20</v>
      </c>
      <c r="H409" s="5">
        <v>484</v>
      </c>
      <c r="I409" s="96">
        <f t="shared" si="24"/>
        <v>25</v>
      </c>
      <c r="J409" s="5" t="s">
        <v>36</v>
      </c>
      <c r="K409" s="5" t="s">
        <v>37</v>
      </c>
      <c r="L409" s="5">
        <v>1570942800</v>
      </c>
      <c r="M409" s="5">
        <v>1571547600</v>
      </c>
      <c r="N409" s="8">
        <f t="shared" si="25"/>
        <v>43751.208333333328</v>
      </c>
      <c r="O409" s="8">
        <f t="shared" si="26"/>
        <v>43758.208333333328</v>
      </c>
      <c r="P409" s="21" t="str">
        <f>TEXT(CrowdfundingTable[[#This Row],[date_created]],"ddd")</f>
        <v>Sun</v>
      </c>
      <c r="Q409" s="21">
        <f>_xlfn.DAYS(CrowdfundingTable[[#This Row],[date_ended]],CrowdfundingTable[[#This Row],[date_created]])</f>
        <v>7</v>
      </c>
      <c r="R409" s="5" t="b">
        <v>0</v>
      </c>
      <c r="S409" s="5" t="b">
        <v>0</v>
      </c>
      <c r="T409" s="5" t="s">
        <v>33</v>
      </c>
      <c r="U409" s="5" t="s">
        <v>2040</v>
      </c>
      <c r="V409" s="5" t="s">
        <v>2055</v>
      </c>
      <c r="W409" s="5"/>
    </row>
    <row r="410" spans="1:23" ht="17" x14ac:dyDescent="0.2">
      <c r="A410" s="5">
        <v>408</v>
      </c>
      <c r="B410" s="5" t="s">
        <v>867</v>
      </c>
      <c r="C410" s="6" t="s">
        <v>868</v>
      </c>
      <c r="D410" s="94">
        <v>9200</v>
      </c>
      <c r="E410" s="94">
        <v>12129</v>
      </c>
      <c r="F410" s="7">
        <f t="shared" si="27"/>
        <v>1.3183695652173912</v>
      </c>
      <c r="G410" s="5" t="s">
        <v>20</v>
      </c>
      <c r="H410" s="5">
        <v>154</v>
      </c>
      <c r="I410" s="96">
        <f t="shared" si="24"/>
        <v>78.759740259740255</v>
      </c>
      <c r="J410" s="5" t="s">
        <v>15</v>
      </c>
      <c r="K410" s="5" t="s">
        <v>16</v>
      </c>
      <c r="L410" s="5">
        <v>1466398800</v>
      </c>
      <c r="M410" s="5">
        <v>1468126800</v>
      </c>
      <c r="N410" s="8">
        <f t="shared" si="25"/>
        <v>42541.208333333328</v>
      </c>
      <c r="O410" s="8">
        <f t="shared" si="26"/>
        <v>42561.208333333328</v>
      </c>
      <c r="P410" s="21" t="str">
        <f>TEXT(CrowdfundingTable[[#This Row],[date_created]],"ddd")</f>
        <v>Mon</v>
      </c>
      <c r="Q410" s="21">
        <f>_xlfn.DAYS(CrowdfundingTable[[#This Row],[date_ended]],CrowdfundingTable[[#This Row],[date_created]])</f>
        <v>20</v>
      </c>
      <c r="R410" s="5" t="b">
        <v>0</v>
      </c>
      <c r="S410" s="5" t="b">
        <v>0</v>
      </c>
      <c r="T410" s="5" t="s">
        <v>42</v>
      </c>
      <c r="U410" s="5" t="s">
        <v>2032</v>
      </c>
      <c r="V410" s="5" t="s">
        <v>2044</v>
      </c>
      <c r="W410" s="5"/>
    </row>
    <row r="411" spans="1:23" ht="17" x14ac:dyDescent="0.2">
      <c r="A411" s="5">
        <v>409</v>
      </c>
      <c r="B411" s="5" t="s">
        <v>243</v>
      </c>
      <c r="C411" s="6" t="s">
        <v>869</v>
      </c>
      <c r="D411" s="94">
        <v>135600</v>
      </c>
      <c r="E411" s="94">
        <v>62804</v>
      </c>
      <c r="F411" s="7">
        <f t="shared" si="27"/>
        <v>0.46315634218289087</v>
      </c>
      <c r="G411" s="5" t="s">
        <v>14</v>
      </c>
      <c r="H411" s="5">
        <v>714</v>
      </c>
      <c r="I411" s="96">
        <f t="shared" si="24"/>
        <v>87.960784313725483</v>
      </c>
      <c r="J411" s="5" t="s">
        <v>21</v>
      </c>
      <c r="K411" s="5" t="s">
        <v>22</v>
      </c>
      <c r="L411" s="5">
        <v>1492491600</v>
      </c>
      <c r="M411" s="5">
        <v>1492837200</v>
      </c>
      <c r="N411" s="8">
        <f t="shared" si="25"/>
        <v>42843.208333333328</v>
      </c>
      <c r="O411" s="8">
        <f t="shared" si="26"/>
        <v>42847.208333333328</v>
      </c>
      <c r="P411" s="21" t="str">
        <f>TEXT(CrowdfundingTable[[#This Row],[date_created]],"ddd")</f>
        <v>Tue</v>
      </c>
      <c r="Q411" s="21">
        <f>_xlfn.DAYS(CrowdfundingTable[[#This Row],[date_ended]],CrowdfundingTable[[#This Row],[date_created]])</f>
        <v>4</v>
      </c>
      <c r="R411" s="5" t="b">
        <v>0</v>
      </c>
      <c r="S411" s="5" t="b">
        <v>0</v>
      </c>
      <c r="T411" s="5" t="s">
        <v>23</v>
      </c>
      <c r="U411" s="5" t="s">
        <v>2036</v>
      </c>
      <c r="V411" s="5" t="s">
        <v>2057</v>
      </c>
      <c r="W411" s="5"/>
    </row>
    <row r="412" spans="1:23" ht="17" x14ac:dyDescent="0.2">
      <c r="A412" s="5">
        <v>410</v>
      </c>
      <c r="B412" s="5" t="s">
        <v>870</v>
      </c>
      <c r="C412" s="6" t="s">
        <v>871</v>
      </c>
      <c r="D412" s="94">
        <v>153700</v>
      </c>
      <c r="E412" s="94">
        <v>55536</v>
      </c>
      <c r="F412" s="7">
        <f t="shared" si="27"/>
        <v>0.36132726089785294</v>
      </c>
      <c r="G412" s="5" t="s">
        <v>47</v>
      </c>
      <c r="H412" s="5">
        <v>1111</v>
      </c>
      <c r="I412" s="96">
        <f t="shared" si="24"/>
        <v>49.987398739873989</v>
      </c>
      <c r="J412" s="5" t="s">
        <v>21</v>
      </c>
      <c r="K412" s="5" t="s">
        <v>22</v>
      </c>
      <c r="L412" s="5">
        <v>1430197200</v>
      </c>
      <c r="M412" s="5">
        <v>1430197200</v>
      </c>
      <c r="N412" s="8">
        <f t="shared" si="25"/>
        <v>42122.208333333328</v>
      </c>
      <c r="O412" s="8">
        <f t="shared" si="26"/>
        <v>42122.208333333328</v>
      </c>
      <c r="P412" s="21" t="str">
        <f>TEXT(CrowdfundingTable[[#This Row],[date_created]],"ddd")</f>
        <v>Tue</v>
      </c>
      <c r="Q412" s="21">
        <f>_xlfn.DAYS(CrowdfundingTable[[#This Row],[date_ended]],CrowdfundingTable[[#This Row],[date_created]])</f>
        <v>0</v>
      </c>
      <c r="R412" s="5" t="b">
        <v>0</v>
      </c>
      <c r="S412" s="5" t="b">
        <v>0</v>
      </c>
      <c r="T412" s="5" t="s">
        <v>292</v>
      </c>
      <c r="U412" s="5" t="s">
        <v>2034</v>
      </c>
      <c r="V412" s="5" t="s">
        <v>2052</v>
      </c>
      <c r="W412" s="5"/>
    </row>
    <row r="413" spans="1:23" ht="17" x14ac:dyDescent="0.2">
      <c r="A413" s="5">
        <v>411</v>
      </c>
      <c r="B413" s="5" t="s">
        <v>872</v>
      </c>
      <c r="C413" s="6" t="s">
        <v>873</v>
      </c>
      <c r="D413" s="94">
        <v>7800</v>
      </c>
      <c r="E413" s="94">
        <v>8161</v>
      </c>
      <c r="F413" s="7">
        <f t="shared" si="27"/>
        <v>1.0462820512820512</v>
      </c>
      <c r="G413" s="5" t="s">
        <v>20</v>
      </c>
      <c r="H413" s="5">
        <v>82</v>
      </c>
      <c r="I413" s="96">
        <f t="shared" si="24"/>
        <v>99.524390243902445</v>
      </c>
      <c r="J413" s="5" t="s">
        <v>21</v>
      </c>
      <c r="K413" s="5" t="s">
        <v>22</v>
      </c>
      <c r="L413" s="5">
        <v>1496034000</v>
      </c>
      <c r="M413" s="5">
        <v>1496206800</v>
      </c>
      <c r="N413" s="8">
        <f t="shared" si="25"/>
        <v>42884.208333333328</v>
      </c>
      <c r="O413" s="8">
        <f t="shared" si="26"/>
        <v>42886.208333333328</v>
      </c>
      <c r="P413" s="21" t="str">
        <f>TEXT(CrowdfundingTable[[#This Row],[date_created]],"ddd")</f>
        <v>Mon</v>
      </c>
      <c r="Q413" s="21">
        <f>_xlfn.DAYS(CrowdfundingTable[[#This Row],[date_ended]],CrowdfundingTable[[#This Row],[date_created]])</f>
        <v>2</v>
      </c>
      <c r="R413" s="5" t="b">
        <v>0</v>
      </c>
      <c r="S413" s="5" t="b">
        <v>0</v>
      </c>
      <c r="T413" s="5" t="s">
        <v>33</v>
      </c>
      <c r="U413" s="5" t="s">
        <v>2040</v>
      </c>
      <c r="V413" s="5" t="s">
        <v>2055</v>
      </c>
      <c r="W413" s="5"/>
    </row>
    <row r="414" spans="1:23" ht="17" x14ac:dyDescent="0.2">
      <c r="A414" s="5">
        <v>412</v>
      </c>
      <c r="B414" s="5" t="s">
        <v>874</v>
      </c>
      <c r="C414" s="6" t="s">
        <v>875</v>
      </c>
      <c r="D414" s="94">
        <v>2100</v>
      </c>
      <c r="E414" s="94">
        <v>14046</v>
      </c>
      <c r="F414" s="7">
        <f t="shared" si="27"/>
        <v>6.6885714285714286</v>
      </c>
      <c r="G414" s="5" t="s">
        <v>20</v>
      </c>
      <c r="H414" s="5">
        <v>134</v>
      </c>
      <c r="I414" s="96">
        <f t="shared" si="24"/>
        <v>104.82089552238806</v>
      </c>
      <c r="J414" s="5" t="s">
        <v>21</v>
      </c>
      <c r="K414" s="5" t="s">
        <v>22</v>
      </c>
      <c r="L414" s="5">
        <v>1388728800</v>
      </c>
      <c r="M414" s="5">
        <v>1389592800</v>
      </c>
      <c r="N414" s="8">
        <f t="shared" si="25"/>
        <v>41642.25</v>
      </c>
      <c r="O414" s="8">
        <f t="shared" si="26"/>
        <v>41652.25</v>
      </c>
      <c r="P414" s="21" t="str">
        <f>TEXT(CrowdfundingTable[[#This Row],[date_created]],"ddd")</f>
        <v>Fri</v>
      </c>
      <c r="Q414" s="21">
        <f>_xlfn.DAYS(CrowdfundingTable[[#This Row],[date_ended]],CrowdfundingTable[[#This Row],[date_created]])</f>
        <v>10</v>
      </c>
      <c r="R414" s="5" t="b">
        <v>0</v>
      </c>
      <c r="S414" s="5" t="b">
        <v>0</v>
      </c>
      <c r="T414" s="5" t="s">
        <v>119</v>
      </c>
      <c r="U414" s="5" t="s">
        <v>2038</v>
      </c>
      <c r="V414" s="5" t="s">
        <v>2047</v>
      </c>
      <c r="W414" s="5"/>
    </row>
    <row r="415" spans="1:23" ht="17" x14ac:dyDescent="0.2">
      <c r="A415" s="5">
        <v>413</v>
      </c>
      <c r="B415" s="5" t="s">
        <v>876</v>
      </c>
      <c r="C415" s="6" t="s">
        <v>877</v>
      </c>
      <c r="D415" s="94">
        <v>189500</v>
      </c>
      <c r="E415" s="94">
        <v>117628</v>
      </c>
      <c r="F415" s="7">
        <f t="shared" si="27"/>
        <v>0.62072823218997364</v>
      </c>
      <c r="G415" s="5" t="s">
        <v>47</v>
      </c>
      <c r="H415" s="5">
        <v>1089</v>
      </c>
      <c r="I415" s="96">
        <f t="shared" si="24"/>
        <v>108.01469237832875</v>
      </c>
      <c r="J415" s="5" t="s">
        <v>21</v>
      </c>
      <c r="K415" s="5" t="s">
        <v>22</v>
      </c>
      <c r="L415" s="5">
        <v>1543298400</v>
      </c>
      <c r="M415" s="5">
        <v>1545631200</v>
      </c>
      <c r="N415" s="8">
        <f t="shared" si="25"/>
        <v>43431.25</v>
      </c>
      <c r="O415" s="8">
        <f t="shared" si="26"/>
        <v>43458.25</v>
      </c>
      <c r="P415" s="21" t="str">
        <f>TEXT(CrowdfundingTable[[#This Row],[date_created]],"ddd")</f>
        <v>Tue</v>
      </c>
      <c r="Q415" s="21">
        <f>_xlfn.DAYS(CrowdfundingTable[[#This Row],[date_ended]],CrowdfundingTable[[#This Row],[date_created]])</f>
        <v>27</v>
      </c>
      <c r="R415" s="5" t="b">
        <v>0</v>
      </c>
      <c r="S415" s="5" t="b">
        <v>0</v>
      </c>
      <c r="T415" s="5" t="s">
        <v>71</v>
      </c>
      <c r="U415" s="5" t="s">
        <v>2032</v>
      </c>
      <c r="V415" s="5" t="s">
        <v>2042</v>
      </c>
      <c r="W415" s="5"/>
    </row>
    <row r="416" spans="1:23" ht="17" x14ac:dyDescent="0.2">
      <c r="A416" s="5">
        <v>414</v>
      </c>
      <c r="B416" s="5" t="s">
        <v>878</v>
      </c>
      <c r="C416" s="6" t="s">
        <v>879</v>
      </c>
      <c r="D416" s="94">
        <v>188200</v>
      </c>
      <c r="E416" s="94">
        <v>159405</v>
      </c>
      <c r="F416" s="7">
        <f t="shared" si="27"/>
        <v>0.84699787460148779</v>
      </c>
      <c r="G416" s="5" t="s">
        <v>14</v>
      </c>
      <c r="H416" s="5">
        <v>5497</v>
      </c>
      <c r="I416" s="96">
        <f t="shared" si="24"/>
        <v>28.998544660724033</v>
      </c>
      <c r="J416" s="5" t="s">
        <v>21</v>
      </c>
      <c r="K416" s="5" t="s">
        <v>22</v>
      </c>
      <c r="L416" s="5">
        <v>1271739600</v>
      </c>
      <c r="M416" s="5">
        <v>1272430800</v>
      </c>
      <c r="N416" s="8">
        <f t="shared" si="25"/>
        <v>40288.208333333336</v>
      </c>
      <c r="O416" s="8">
        <f t="shared" si="26"/>
        <v>40296.208333333336</v>
      </c>
      <c r="P416" s="21" t="str">
        <f>TEXT(CrowdfundingTable[[#This Row],[date_created]],"ddd")</f>
        <v>Tue</v>
      </c>
      <c r="Q416" s="21">
        <f>_xlfn.DAYS(CrowdfundingTable[[#This Row],[date_ended]],CrowdfundingTable[[#This Row],[date_created]])</f>
        <v>8</v>
      </c>
      <c r="R416" s="5" t="b">
        <v>0</v>
      </c>
      <c r="S416" s="5" t="b">
        <v>1</v>
      </c>
      <c r="T416" s="5" t="s">
        <v>17</v>
      </c>
      <c r="U416" s="5" t="s">
        <v>2033</v>
      </c>
      <c r="V416" s="5" t="s">
        <v>2048</v>
      </c>
      <c r="W416" s="5"/>
    </row>
    <row r="417" spans="1:23" ht="17" x14ac:dyDescent="0.2">
      <c r="A417" s="5">
        <v>415</v>
      </c>
      <c r="B417" s="5" t="s">
        <v>880</v>
      </c>
      <c r="C417" s="6" t="s">
        <v>881</v>
      </c>
      <c r="D417" s="94">
        <v>113500</v>
      </c>
      <c r="E417" s="94">
        <v>12552</v>
      </c>
      <c r="F417" s="7">
        <f t="shared" si="27"/>
        <v>0.11059030837004405</v>
      </c>
      <c r="G417" s="5" t="s">
        <v>14</v>
      </c>
      <c r="H417" s="5">
        <v>418</v>
      </c>
      <c r="I417" s="96">
        <f t="shared" si="24"/>
        <v>30.028708133971293</v>
      </c>
      <c r="J417" s="5" t="s">
        <v>21</v>
      </c>
      <c r="K417" s="5" t="s">
        <v>22</v>
      </c>
      <c r="L417" s="5">
        <v>1326434400</v>
      </c>
      <c r="M417" s="5">
        <v>1327903200</v>
      </c>
      <c r="N417" s="8">
        <f t="shared" si="25"/>
        <v>40921.25</v>
      </c>
      <c r="O417" s="8">
        <f t="shared" si="26"/>
        <v>40938.25</v>
      </c>
      <c r="P417" s="21" t="str">
        <f>TEXT(CrowdfundingTable[[#This Row],[date_created]],"ddd")</f>
        <v>Fri</v>
      </c>
      <c r="Q417" s="21">
        <f>_xlfn.DAYS(CrowdfundingTable[[#This Row],[date_ended]],CrowdfundingTable[[#This Row],[date_created]])</f>
        <v>17</v>
      </c>
      <c r="R417" s="5" t="b">
        <v>0</v>
      </c>
      <c r="S417" s="5" t="b">
        <v>0</v>
      </c>
      <c r="T417" s="5" t="s">
        <v>33</v>
      </c>
      <c r="U417" s="5" t="s">
        <v>2040</v>
      </c>
      <c r="V417" s="5" t="s">
        <v>2055</v>
      </c>
      <c r="W417" s="5"/>
    </row>
    <row r="418" spans="1:23" ht="34" x14ac:dyDescent="0.2">
      <c r="A418" s="5">
        <v>416</v>
      </c>
      <c r="B418" s="5" t="s">
        <v>882</v>
      </c>
      <c r="C418" s="6" t="s">
        <v>883</v>
      </c>
      <c r="D418" s="94">
        <v>134600</v>
      </c>
      <c r="E418" s="94">
        <v>59007</v>
      </c>
      <c r="F418" s="7">
        <f t="shared" si="27"/>
        <v>0.43838781575037145</v>
      </c>
      <c r="G418" s="5" t="s">
        <v>14</v>
      </c>
      <c r="H418" s="5">
        <v>1439</v>
      </c>
      <c r="I418" s="96">
        <f t="shared" si="24"/>
        <v>41.005559416261292</v>
      </c>
      <c r="J418" s="5" t="s">
        <v>21</v>
      </c>
      <c r="K418" s="5" t="s">
        <v>22</v>
      </c>
      <c r="L418" s="5">
        <v>1295244000</v>
      </c>
      <c r="M418" s="5">
        <v>1296021600</v>
      </c>
      <c r="N418" s="8">
        <f t="shared" si="25"/>
        <v>40560.25</v>
      </c>
      <c r="O418" s="8">
        <f t="shared" si="26"/>
        <v>40569.25</v>
      </c>
      <c r="P418" s="21" t="str">
        <f>TEXT(CrowdfundingTable[[#This Row],[date_created]],"ddd")</f>
        <v>Mon</v>
      </c>
      <c r="Q418" s="21">
        <f>_xlfn.DAYS(CrowdfundingTable[[#This Row],[date_ended]],CrowdfundingTable[[#This Row],[date_created]])</f>
        <v>9</v>
      </c>
      <c r="R418" s="5" t="b">
        <v>0</v>
      </c>
      <c r="S418" s="5" t="b">
        <v>1</v>
      </c>
      <c r="T418" s="5" t="s">
        <v>42</v>
      </c>
      <c r="U418" s="5" t="s">
        <v>2032</v>
      </c>
      <c r="V418" s="5" t="s">
        <v>2044</v>
      </c>
      <c r="W418" s="5"/>
    </row>
    <row r="419" spans="1:23" ht="17" x14ac:dyDescent="0.2">
      <c r="A419" s="5">
        <v>417</v>
      </c>
      <c r="B419" s="5" t="s">
        <v>884</v>
      </c>
      <c r="C419" s="6" t="s">
        <v>885</v>
      </c>
      <c r="D419" s="94">
        <v>1700</v>
      </c>
      <c r="E419" s="94">
        <v>943</v>
      </c>
      <c r="F419" s="7">
        <f t="shared" si="27"/>
        <v>0.55470588235294116</v>
      </c>
      <c r="G419" s="5" t="s">
        <v>14</v>
      </c>
      <c r="H419" s="5">
        <v>15</v>
      </c>
      <c r="I419" s="96">
        <f t="shared" si="24"/>
        <v>62.866666666666667</v>
      </c>
      <c r="J419" s="5" t="s">
        <v>21</v>
      </c>
      <c r="K419" s="5" t="s">
        <v>22</v>
      </c>
      <c r="L419" s="5">
        <v>1541221200</v>
      </c>
      <c r="M419" s="5">
        <v>1543298400</v>
      </c>
      <c r="N419" s="8">
        <f t="shared" si="25"/>
        <v>43407.208333333328</v>
      </c>
      <c r="O419" s="8">
        <f t="shared" si="26"/>
        <v>43431.25</v>
      </c>
      <c r="P419" s="21" t="str">
        <f>TEXT(CrowdfundingTable[[#This Row],[date_created]],"ddd")</f>
        <v>Sat</v>
      </c>
      <c r="Q419" s="21">
        <f>_xlfn.DAYS(CrowdfundingTable[[#This Row],[date_ended]],CrowdfundingTable[[#This Row],[date_created]])</f>
        <v>24</v>
      </c>
      <c r="R419" s="5" t="b">
        <v>0</v>
      </c>
      <c r="S419" s="5" t="b">
        <v>0</v>
      </c>
      <c r="T419" s="5" t="s">
        <v>33</v>
      </c>
      <c r="U419" s="5" t="s">
        <v>2040</v>
      </c>
      <c r="V419" s="5" t="s">
        <v>2055</v>
      </c>
      <c r="W419" s="5"/>
    </row>
    <row r="420" spans="1:23" ht="17" x14ac:dyDescent="0.2">
      <c r="A420" s="5">
        <v>418</v>
      </c>
      <c r="B420" s="5" t="s">
        <v>105</v>
      </c>
      <c r="C420" s="6" t="s">
        <v>886</v>
      </c>
      <c r="D420" s="94">
        <v>163700</v>
      </c>
      <c r="E420" s="94">
        <v>93963</v>
      </c>
      <c r="F420" s="7">
        <f t="shared" si="27"/>
        <v>0.57399511301160655</v>
      </c>
      <c r="G420" s="5" t="s">
        <v>14</v>
      </c>
      <c r="H420" s="5">
        <v>1999</v>
      </c>
      <c r="I420" s="96">
        <f t="shared" si="24"/>
        <v>47.005002501250623</v>
      </c>
      <c r="J420" s="5" t="s">
        <v>15</v>
      </c>
      <c r="K420" s="5" t="s">
        <v>16</v>
      </c>
      <c r="L420" s="5">
        <v>1336280400</v>
      </c>
      <c r="M420" s="5">
        <v>1336366800</v>
      </c>
      <c r="N420" s="8">
        <f t="shared" si="25"/>
        <v>41035.208333333336</v>
      </c>
      <c r="O420" s="8">
        <f t="shared" si="26"/>
        <v>41036.208333333336</v>
      </c>
      <c r="P420" s="21" t="str">
        <f>TEXT(CrowdfundingTable[[#This Row],[date_created]],"ddd")</f>
        <v>Sun</v>
      </c>
      <c r="Q420" s="21">
        <f>_xlfn.DAYS(CrowdfundingTable[[#This Row],[date_ended]],CrowdfundingTable[[#This Row],[date_created]])</f>
        <v>1</v>
      </c>
      <c r="R420" s="5" t="b">
        <v>0</v>
      </c>
      <c r="S420" s="5" t="b">
        <v>0</v>
      </c>
      <c r="T420" s="5" t="s">
        <v>42</v>
      </c>
      <c r="U420" s="5" t="s">
        <v>2032</v>
      </c>
      <c r="V420" s="5" t="s">
        <v>2044</v>
      </c>
      <c r="W420" s="5"/>
    </row>
    <row r="421" spans="1:23" ht="17" x14ac:dyDescent="0.2">
      <c r="A421" s="5">
        <v>419</v>
      </c>
      <c r="B421" s="5" t="s">
        <v>887</v>
      </c>
      <c r="C421" s="6" t="s">
        <v>888</v>
      </c>
      <c r="D421" s="94">
        <v>113800</v>
      </c>
      <c r="E421" s="94">
        <v>140469</v>
      </c>
      <c r="F421" s="7">
        <f t="shared" si="27"/>
        <v>1.2343497363796134</v>
      </c>
      <c r="G421" s="5" t="s">
        <v>20</v>
      </c>
      <c r="H421" s="5">
        <v>5203</v>
      </c>
      <c r="I421" s="96">
        <f t="shared" si="24"/>
        <v>26.997693638285604</v>
      </c>
      <c r="J421" s="5" t="s">
        <v>21</v>
      </c>
      <c r="K421" s="5" t="s">
        <v>22</v>
      </c>
      <c r="L421" s="5">
        <v>1324533600</v>
      </c>
      <c r="M421" s="5">
        <v>1325052000</v>
      </c>
      <c r="N421" s="8">
        <f t="shared" si="25"/>
        <v>40899.25</v>
      </c>
      <c r="O421" s="8">
        <f t="shared" si="26"/>
        <v>40905.25</v>
      </c>
      <c r="P421" s="21" t="str">
        <f>TEXT(CrowdfundingTable[[#This Row],[date_created]],"ddd")</f>
        <v>Thu</v>
      </c>
      <c r="Q421" s="21">
        <f>_xlfn.DAYS(CrowdfundingTable[[#This Row],[date_ended]],CrowdfundingTable[[#This Row],[date_created]])</f>
        <v>6</v>
      </c>
      <c r="R421" s="5" t="b">
        <v>0</v>
      </c>
      <c r="S421" s="5" t="b">
        <v>0</v>
      </c>
      <c r="T421" s="5" t="s">
        <v>28</v>
      </c>
      <c r="U421" s="5" t="s">
        <v>2039</v>
      </c>
      <c r="V421" s="5" t="s">
        <v>2064</v>
      </c>
      <c r="W421" s="5"/>
    </row>
    <row r="422" spans="1:23" ht="17" x14ac:dyDescent="0.2">
      <c r="A422" s="5">
        <v>420</v>
      </c>
      <c r="B422" s="5" t="s">
        <v>889</v>
      </c>
      <c r="C422" s="6" t="s">
        <v>890</v>
      </c>
      <c r="D422" s="94">
        <v>5000</v>
      </c>
      <c r="E422" s="94">
        <v>6423</v>
      </c>
      <c r="F422" s="7">
        <f t="shared" si="27"/>
        <v>1.2846</v>
      </c>
      <c r="G422" s="5" t="s">
        <v>20</v>
      </c>
      <c r="H422" s="5">
        <v>94</v>
      </c>
      <c r="I422" s="96">
        <f t="shared" si="24"/>
        <v>68.329787234042556</v>
      </c>
      <c r="J422" s="5" t="s">
        <v>21</v>
      </c>
      <c r="K422" s="5" t="s">
        <v>22</v>
      </c>
      <c r="L422" s="5">
        <v>1498366800</v>
      </c>
      <c r="M422" s="5">
        <v>1499576400</v>
      </c>
      <c r="N422" s="8">
        <f t="shared" si="25"/>
        <v>42911.208333333328</v>
      </c>
      <c r="O422" s="8">
        <f t="shared" si="26"/>
        <v>42925.208333333328</v>
      </c>
      <c r="P422" s="21" t="str">
        <f>TEXT(CrowdfundingTable[[#This Row],[date_created]],"ddd")</f>
        <v>Sun</v>
      </c>
      <c r="Q422" s="21">
        <f>_xlfn.DAYS(CrowdfundingTable[[#This Row],[date_ended]],CrowdfundingTable[[#This Row],[date_created]])</f>
        <v>14</v>
      </c>
      <c r="R422" s="5" t="b">
        <v>0</v>
      </c>
      <c r="S422" s="5" t="b">
        <v>0</v>
      </c>
      <c r="T422" s="5" t="s">
        <v>33</v>
      </c>
      <c r="U422" s="5" t="s">
        <v>2040</v>
      </c>
      <c r="V422" s="5" t="s">
        <v>2055</v>
      </c>
      <c r="W422" s="5"/>
    </row>
    <row r="423" spans="1:23" ht="17" x14ac:dyDescent="0.2">
      <c r="A423" s="5">
        <v>421</v>
      </c>
      <c r="B423" s="5" t="s">
        <v>891</v>
      </c>
      <c r="C423" s="6" t="s">
        <v>892</v>
      </c>
      <c r="D423" s="94">
        <v>9400</v>
      </c>
      <c r="E423" s="94">
        <v>6015</v>
      </c>
      <c r="F423" s="7">
        <f t="shared" si="27"/>
        <v>0.63989361702127656</v>
      </c>
      <c r="G423" s="5" t="s">
        <v>14</v>
      </c>
      <c r="H423" s="5">
        <v>118</v>
      </c>
      <c r="I423" s="96">
        <f t="shared" si="24"/>
        <v>50.974576271186443</v>
      </c>
      <c r="J423" s="5" t="s">
        <v>21</v>
      </c>
      <c r="K423" s="5" t="s">
        <v>22</v>
      </c>
      <c r="L423" s="5">
        <v>1498712400</v>
      </c>
      <c r="M423" s="5">
        <v>1501304400</v>
      </c>
      <c r="N423" s="8">
        <f t="shared" si="25"/>
        <v>42915.208333333328</v>
      </c>
      <c r="O423" s="8">
        <f t="shared" si="26"/>
        <v>42945.208333333328</v>
      </c>
      <c r="P423" s="21" t="str">
        <f>TEXT(CrowdfundingTable[[#This Row],[date_created]],"ddd")</f>
        <v>Thu</v>
      </c>
      <c r="Q423" s="21">
        <f>_xlfn.DAYS(CrowdfundingTable[[#This Row],[date_ended]],CrowdfundingTable[[#This Row],[date_created]])</f>
        <v>30</v>
      </c>
      <c r="R423" s="5" t="b">
        <v>0</v>
      </c>
      <c r="S423" s="5" t="b">
        <v>1</v>
      </c>
      <c r="T423" s="5" t="s">
        <v>65</v>
      </c>
      <c r="U423" s="5" t="s">
        <v>2039</v>
      </c>
      <c r="V423" s="5" t="s">
        <v>2063</v>
      </c>
      <c r="W423" s="5"/>
    </row>
    <row r="424" spans="1:23" ht="34" x14ac:dyDescent="0.2">
      <c r="A424" s="5">
        <v>422</v>
      </c>
      <c r="B424" s="5" t="s">
        <v>893</v>
      </c>
      <c r="C424" s="6" t="s">
        <v>894</v>
      </c>
      <c r="D424" s="94">
        <v>8700</v>
      </c>
      <c r="E424" s="94">
        <v>11075</v>
      </c>
      <c r="F424" s="7">
        <f t="shared" si="27"/>
        <v>1.2729885057471264</v>
      </c>
      <c r="G424" s="5" t="s">
        <v>20</v>
      </c>
      <c r="H424" s="5">
        <v>205</v>
      </c>
      <c r="I424" s="96">
        <f t="shared" si="24"/>
        <v>54.024390243902438</v>
      </c>
      <c r="J424" s="5" t="s">
        <v>21</v>
      </c>
      <c r="K424" s="5" t="s">
        <v>22</v>
      </c>
      <c r="L424" s="5">
        <v>1271480400</v>
      </c>
      <c r="M424" s="5">
        <v>1273208400</v>
      </c>
      <c r="N424" s="8">
        <f t="shared" si="25"/>
        <v>40285.208333333336</v>
      </c>
      <c r="O424" s="8">
        <f t="shared" si="26"/>
        <v>40305.208333333336</v>
      </c>
      <c r="P424" s="21" t="str">
        <f>TEXT(CrowdfundingTable[[#This Row],[date_created]],"ddd")</f>
        <v>Sat</v>
      </c>
      <c r="Q424" s="21">
        <f>_xlfn.DAYS(CrowdfundingTable[[#This Row],[date_ended]],CrowdfundingTable[[#This Row],[date_created]])</f>
        <v>20</v>
      </c>
      <c r="R424" s="5" t="b">
        <v>0</v>
      </c>
      <c r="S424" s="5" t="b">
        <v>1</v>
      </c>
      <c r="T424" s="5" t="s">
        <v>33</v>
      </c>
      <c r="U424" s="5" t="s">
        <v>2040</v>
      </c>
      <c r="V424" s="5" t="s">
        <v>2055</v>
      </c>
      <c r="W424" s="5"/>
    </row>
    <row r="425" spans="1:23" ht="17" x14ac:dyDescent="0.2">
      <c r="A425" s="5">
        <v>423</v>
      </c>
      <c r="B425" s="5" t="s">
        <v>895</v>
      </c>
      <c r="C425" s="6" t="s">
        <v>896</v>
      </c>
      <c r="D425" s="94">
        <v>147800</v>
      </c>
      <c r="E425" s="94">
        <v>15723</v>
      </c>
      <c r="F425" s="7">
        <f t="shared" si="27"/>
        <v>0.10638024357239513</v>
      </c>
      <c r="G425" s="5" t="s">
        <v>14</v>
      </c>
      <c r="H425" s="5">
        <v>162</v>
      </c>
      <c r="I425" s="96">
        <f t="shared" si="24"/>
        <v>97.055555555555557</v>
      </c>
      <c r="J425" s="5" t="s">
        <v>21</v>
      </c>
      <c r="K425" s="5" t="s">
        <v>22</v>
      </c>
      <c r="L425" s="5">
        <v>1316667600</v>
      </c>
      <c r="M425" s="5">
        <v>1316840400</v>
      </c>
      <c r="N425" s="8">
        <f t="shared" si="25"/>
        <v>40808.208333333336</v>
      </c>
      <c r="O425" s="8">
        <f t="shared" si="26"/>
        <v>40810.208333333336</v>
      </c>
      <c r="P425" s="21" t="str">
        <f>TEXT(CrowdfundingTable[[#This Row],[date_created]],"ddd")</f>
        <v>Thu</v>
      </c>
      <c r="Q425" s="21">
        <f>_xlfn.DAYS(CrowdfundingTable[[#This Row],[date_ended]],CrowdfundingTable[[#This Row],[date_created]])</f>
        <v>2</v>
      </c>
      <c r="R425" s="5" t="b">
        <v>0</v>
      </c>
      <c r="S425" s="5" t="b">
        <v>1</v>
      </c>
      <c r="T425" s="5" t="s">
        <v>17</v>
      </c>
      <c r="U425" s="5" t="s">
        <v>2033</v>
      </c>
      <c r="V425" s="5" t="s">
        <v>2048</v>
      </c>
      <c r="W425" s="5"/>
    </row>
    <row r="426" spans="1:23" ht="17" x14ac:dyDescent="0.2">
      <c r="A426" s="5">
        <v>424</v>
      </c>
      <c r="B426" s="5" t="s">
        <v>897</v>
      </c>
      <c r="C426" s="6" t="s">
        <v>898</v>
      </c>
      <c r="D426" s="94">
        <v>5100</v>
      </c>
      <c r="E426" s="94">
        <v>2064</v>
      </c>
      <c r="F426" s="7">
        <f t="shared" si="27"/>
        <v>0.40470588235294119</v>
      </c>
      <c r="G426" s="5" t="s">
        <v>14</v>
      </c>
      <c r="H426" s="5">
        <v>83</v>
      </c>
      <c r="I426" s="96">
        <f t="shared" si="24"/>
        <v>24.867469879518072</v>
      </c>
      <c r="J426" s="5" t="s">
        <v>21</v>
      </c>
      <c r="K426" s="5" t="s">
        <v>22</v>
      </c>
      <c r="L426" s="5">
        <v>1524027600</v>
      </c>
      <c r="M426" s="5">
        <v>1524546000</v>
      </c>
      <c r="N426" s="8">
        <f t="shared" si="25"/>
        <v>43208.208333333328</v>
      </c>
      <c r="O426" s="8">
        <f t="shared" si="26"/>
        <v>43214.208333333328</v>
      </c>
      <c r="P426" s="21" t="str">
        <f>TEXT(CrowdfundingTable[[#This Row],[date_created]],"ddd")</f>
        <v>Wed</v>
      </c>
      <c r="Q426" s="21">
        <f>_xlfn.DAYS(CrowdfundingTable[[#This Row],[date_ended]],CrowdfundingTable[[#This Row],[date_created]])</f>
        <v>6</v>
      </c>
      <c r="R426" s="5" t="b">
        <v>0</v>
      </c>
      <c r="S426" s="5" t="b">
        <v>0</v>
      </c>
      <c r="T426" s="5" t="s">
        <v>60</v>
      </c>
      <c r="U426" s="5" t="s">
        <v>2036</v>
      </c>
      <c r="V426" s="5" t="s">
        <v>2049</v>
      </c>
      <c r="W426" s="5"/>
    </row>
    <row r="427" spans="1:23" ht="17" x14ac:dyDescent="0.2">
      <c r="A427" s="5">
        <v>425</v>
      </c>
      <c r="B427" s="5" t="s">
        <v>899</v>
      </c>
      <c r="C427" s="6" t="s">
        <v>900</v>
      </c>
      <c r="D427" s="94">
        <v>2700</v>
      </c>
      <c r="E427" s="94">
        <v>7767</v>
      </c>
      <c r="F427" s="7">
        <f t="shared" si="27"/>
        <v>2.8766666666666665</v>
      </c>
      <c r="G427" s="5" t="s">
        <v>20</v>
      </c>
      <c r="H427" s="5">
        <v>92</v>
      </c>
      <c r="I427" s="96">
        <f t="shared" si="24"/>
        <v>84.423913043478265</v>
      </c>
      <c r="J427" s="5" t="s">
        <v>21</v>
      </c>
      <c r="K427" s="5" t="s">
        <v>22</v>
      </c>
      <c r="L427" s="5">
        <v>1438059600</v>
      </c>
      <c r="M427" s="5">
        <v>1438578000</v>
      </c>
      <c r="N427" s="8">
        <f t="shared" si="25"/>
        <v>42213.208333333328</v>
      </c>
      <c r="O427" s="8">
        <f t="shared" si="26"/>
        <v>42219.208333333328</v>
      </c>
      <c r="P427" s="21" t="str">
        <f>TEXT(CrowdfundingTable[[#This Row],[date_created]],"ddd")</f>
        <v>Tue</v>
      </c>
      <c r="Q427" s="21">
        <f>_xlfn.DAYS(CrowdfundingTable[[#This Row],[date_ended]],CrowdfundingTable[[#This Row],[date_created]])</f>
        <v>6</v>
      </c>
      <c r="R427" s="5" t="b">
        <v>0</v>
      </c>
      <c r="S427" s="5" t="b">
        <v>0</v>
      </c>
      <c r="T427" s="5" t="s">
        <v>122</v>
      </c>
      <c r="U427" s="5" t="s">
        <v>2037</v>
      </c>
      <c r="V427" s="5" t="s">
        <v>2054</v>
      </c>
      <c r="W427" s="5"/>
    </row>
    <row r="428" spans="1:23" ht="17" x14ac:dyDescent="0.2">
      <c r="A428" s="5">
        <v>426</v>
      </c>
      <c r="B428" s="5" t="s">
        <v>901</v>
      </c>
      <c r="C428" s="6" t="s">
        <v>902</v>
      </c>
      <c r="D428" s="94">
        <v>1800</v>
      </c>
      <c r="E428" s="94">
        <v>10313</v>
      </c>
      <c r="F428" s="7">
        <f t="shared" si="27"/>
        <v>5.7294444444444448</v>
      </c>
      <c r="G428" s="5" t="s">
        <v>20</v>
      </c>
      <c r="H428" s="5">
        <v>219</v>
      </c>
      <c r="I428" s="96">
        <f t="shared" si="24"/>
        <v>47.091324200913242</v>
      </c>
      <c r="J428" s="5" t="s">
        <v>21</v>
      </c>
      <c r="K428" s="5" t="s">
        <v>22</v>
      </c>
      <c r="L428" s="5">
        <v>1361944800</v>
      </c>
      <c r="M428" s="5">
        <v>1362549600</v>
      </c>
      <c r="N428" s="8">
        <f t="shared" si="25"/>
        <v>41332.25</v>
      </c>
      <c r="O428" s="8">
        <f t="shared" si="26"/>
        <v>41339.25</v>
      </c>
      <c r="P428" s="21" t="str">
        <f>TEXT(CrowdfundingTable[[#This Row],[date_created]],"ddd")</f>
        <v>Wed</v>
      </c>
      <c r="Q428" s="21">
        <f>_xlfn.DAYS(CrowdfundingTable[[#This Row],[date_ended]],CrowdfundingTable[[#This Row],[date_created]])</f>
        <v>7</v>
      </c>
      <c r="R428" s="5" t="b">
        <v>0</v>
      </c>
      <c r="S428" s="5" t="b">
        <v>0</v>
      </c>
      <c r="T428" s="5" t="s">
        <v>33</v>
      </c>
      <c r="U428" s="5" t="s">
        <v>2040</v>
      </c>
      <c r="V428" s="5" t="s">
        <v>2055</v>
      </c>
      <c r="W428" s="5"/>
    </row>
    <row r="429" spans="1:23" ht="17" x14ac:dyDescent="0.2">
      <c r="A429" s="5">
        <v>427</v>
      </c>
      <c r="B429" s="5" t="s">
        <v>903</v>
      </c>
      <c r="C429" s="6" t="s">
        <v>904</v>
      </c>
      <c r="D429" s="94">
        <v>174500</v>
      </c>
      <c r="E429" s="94">
        <v>197018</v>
      </c>
      <c r="F429" s="7">
        <f t="shared" si="27"/>
        <v>1.1290429799426933</v>
      </c>
      <c r="G429" s="5" t="s">
        <v>20</v>
      </c>
      <c r="H429" s="5">
        <v>2526</v>
      </c>
      <c r="I429" s="96">
        <f t="shared" si="24"/>
        <v>77.996041171813147</v>
      </c>
      <c r="J429" s="5" t="s">
        <v>21</v>
      </c>
      <c r="K429" s="5" t="s">
        <v>22</v>
      </c>
      <c r="L429" s="5">
        <v>1410584400</v>
      </c>
      <c r="M429" s="5">
        <v>1413349200</v>
      </c>
      <c r="N429" s="8">
        <f t="shared" si="25"/>
        <v>41895.208333333336</v>
      </c>
      <c r="O429" s="8">
        <f t="shared" si="26"/>
        <v>41927.208333333336</v>
      </c>
      <c r="P429" s="21" t="str">
        <f>TEXT(CrowdfundingTable[[#This Row],[date_created]],"ddd")</f>
        <v>Sat</v>
      </c>
      <c r="Q429" s="21">
        <f>_xlfn.DAYS(CrowdfundingTable[[#This Row],[date_ended]],CrowdfundingTable[[#This Row],[date_created]])</f>
        <v>32</v>
      </c>
      <c r="R429" s="5" t="b">
        <v>0</v>
      </c>
      <c r="S429" s="5" t="b">
        <v>1</v>
      </c>
      <c r="T429" s="5" t="s">
        <v>33</v>
      </c>
      <c r="U429" s="5" t="s">
        <v>2040</v>
      </c>
      <c r="V429" s="5" t="s">
        <v>2055</v>
      </c>
      <c r="W429" s="5"/>
    </row>
    <row r="430" spans="1:23" ht="17" x14ac:dyDescent="0.2">
      <c r="A430" s="5">
        <v>428</v>
      </c>
      <c r="B430" s="5" t="s">
        <v>905</v>
      </c>
      <c r="C430" s="6" t="s">
        <v>906</v>
      </c>
      <c r="D430" s="94">
        <v>101400</v>
      </c>
      <c r="E430" s="94">
        <v>47037</v>
      </c>
      <c r="F430" s="7">
        <f t="shared" si="27"/>
        <v>0.46387573964497042</v>
      </c>
      <c r="G430" s="5" t="s">
        <v>14</v>
      </c>
      <c r="H430" s="5">
        <v>747</v>
      </c>
      <c r="I430" s="96">
        <f t="shared" si="24"/>
        <v>62.967871485943775</v>
      </c>
      <c r="J430" s="5" t="s">
        <v>21</v>
      </c>
      <c r="K430" s="5" t="s">
        <v>22</v>
      </c>
      <c r="L430" s="5">
        <v>1297404000</v>
      </c>
      <c r="M430" s="5">
        <v>1298008800</v>
      </c>
      <c r="N430" s="8">
        <f t="shared" si="25"/>
        <v>40585.25</v>
      </c>
      <c r="O430" s="8">
        <f t="shared" si="26"/>
        <v>40592.25</v>
      </c>
      <c r="P430" s="21" t="str">
        <f>TEXT(CrowdfundingTable[[#This Row],[date_created]],"ddd")</f>
        <v>Fri</v>
      </c>
      <c r="Q430" s="21">
        <f>_xlfn.DAYS(CrowdfundingTable[[#This Row],[date_ended]],CrowdfundingTable[[#This Row],[date_created]])</f>
        <v>7</v>
      </c>
      <c r="R430" s="5" t="b">
        <v>0</v>
      </c>
      <c r="S430" s="5" t="b">
        <v>0</v>
      </c>
      <c r="T430" s="5" t="s">
        <v>71</v>
      </c>
      <c r="U430" s="5" t="s">
        <v>2032</v>
      </c>
      <c r="V430" s="5" t="s">
        <v>2042</v>
      </c>
      <c r="W430" s="5"/>
    </row>
    <row r="431" spans="1:23" ht="17" x14ac:dyDescent="0.2">
      <c r="A431" s="5">
        <v>429</v>
      </c>
      <c r="B431" s="5" t="s">
        <v>907</v>
      </c>
      <c r="C431" s="6" t="s">
        <v>908</v>
      </c>
      <c r="D431" s="94">
        <v>191000</v>
      </c>
      <c r="E431" s="94">
        <v>173191</v>
      </c>
      <c r="F431" s="7">
        <f t="shared" si="27"/>
        <v>0.90675916230366493</v>
      </c>
      <c r="G431" s="5" t="s">
        <v>74</v>
      </c>
      <c r="H431" s="5">
        <v>2138</v>
      </c>
      <c r="I431" s="96">
        <f t="shared" si="24"/>
        <v>81.006080449017773</v>
      </c>
      <c r="J431" s="5" t="s">
        <v>21</v>
      </c>
      <c r="K431" s="5" t="s">
        <v>22</v>
      </c>
      <c r="L431" s="5">
        <v>1392012000</v>
      </c>
      <c r="M431" s="5">
        <v>1394427600</v>
      </c>
      <c r="N431" s="8">
        <f t="shared" si="25"/>
        <v>41680.25</v>
      </c>
      <c r="O431" s="8">
        <f t="shared" si="26"/>
        <v>41708.208333333336</v>
      </c>
      <c r="P431" s="21" t="str">
        <f>TEXT(CrowdfundingTable[[#This Row],[date_created]],"ddd")</f>
        <v>Mon</v>
      </c>
      <c r="Q431" s="21">
        <f>_xlfn.DAYS(CrowdfundingTable[[#This Row],[date_ended]],CrowdfundingTable[[#This Row],[date_created]])</f>
        <v>28</v>
      </c>
      <c r="R431" s="5" t="b">
        <v>0</v>
      </c>
      <c r="S431" s="5" t="b">
        <v>1</v>
      </c>
      <c r="T431" s="5" t="s">
        <v>122</v>
      </c>
      <c r="U431" s="5" t="s">
        <v>2037</v>
      </c>
      <c r="V431" s="5" t="s">
        <v>2054</v>
      </c>
      <c r="W431" s="5"/>
    </row>
    <row r="432" spans="1:23" ht="17" x14ac:dyDescent="0.2">
      <c r="A432" s="5">
        <v>430</v>
      </c>
      <c r="B432" s="5" t="s">
        <v>909</v>
      </c>
      <c r="C432" s="6" t="s">
        <v>910</v>
      </c>
      <c r="D432" s="94">
        <v>8100</v>
      </c>
      <c r="E432" s="94">
        <v>5487</v>
      </c>
      <c r="F432" s="7">
        <f t="shared" si="27"/>
        <v>0.67740740740740746</v>
      </c>
      <c r="G432" s="5" t="s">
        <v>14</v>
      </c>
      <c r="H432" s="5">
        <v>84</v>
      </c>
      <c r="I432" s="96">
        <f t="shared" si="24"/>
        <v>65.321428571428569</v>
      </c>
      <c r="J432" s="5" t="s">
        <v>21</v>
      </c>
      <c r="K432" s="5" t="s">
        <v>22</v>
      </c>
      <c r="L432" s="5">
        <v>1569733200</v>
      </c>
      <c r="M432" s="5">
        <v>1572670800</v>
      </c>
      <c r="N432" s="8">
        <f t="shared" si="25"/>
        <v>43737.208333333328</v>
      </c>
      <c r="O432" s="8">
        <f t="shared" si="26"/>
        <v>43771.208333333328</v>
      </c>
      <c r="P432" s="21" t="str">
        <f>TEXT(CrowdfundingTable[[#This Row],[date_created]],"ddd")</f>
        <v>Sun</v>
      </c>
      <c r="Q432" s="21">
        <f>_xlfn.DAYS(CrowdfundingTable[[#This Row],[date_ended]],CrowdfundingTable[[#This Row],[date_created]])</f>
        <v>34</v>
      </c>
      <c r="R432" s="5" t="b">
        <v>0</v>
      </c>
      <c r="S432" s="5" t="b">
        <v>0</v>
      </c>
      <c r="T432" s="5" t="s">
        <v>33</v>
      </c>
      <c r="U432" s="5" t="s">
        <v>2040</v>
      </c>
      <c r="V432" s="5" t="s">
        <v>2055</v>
      </c>
      <c r="W432" s="5"/>
    </row>
    <row r="433" spans="1:23" ht="17" x14ac:dyDescent="0.2">
      <c r="A433" s="5">
        <v>431</v>
      </c>
      <c r="B433" s="5" t="s">
        <v>911</v>
      </c>
      <c r="C433" s="6" t="s">
        <v>912</v>
      </c>
      <c r="D433" s="94">
        <v>5100</v>
      </c>
      <c r="E433" s="94">
        <v>9817</v>
      </c>
      <c r="F433" s="7">
        <f t="shared" si="27"/>
        <v>1.9249019607843136</v>
      </c>
      <c r="G433" s="5" t="s">
        <v>20</v>
      </c>
      <c r="H433" s="5">
        <v>94</v>
      </c>
      <c r="I433" s="96">
        <f t="shared" si="24"/>
        <v>104.43617021276596</v>
      </c>
      <c r="J433" s="5" t="s">
        <v>21</v>
      </c>
      <c r="K433" s="5" t="s">
        <v>22</v>
      </c>
      <c r="L433" s="5">
        <v>1529643600</v>
      </c>
      <c r="M433" s="5">
        <v>1531112400</v>
      </c>
      <c r="N433" s="8">
        <f t="shared" si="25"/>
        <v>43273.208333333328</v>
      </c>
      <c r="O433" s="8">
        <f t="shared" si="26"/>
        <v>43290.208333333328</v>
      </c>
      <c r="P433" s="21" t="str">
        <f>TEXT(CrowdfundingTable[[#This Row],[date_created]],"ddd")</f>
        <v>Fri</v>
      </c>
      <c r="Q433" s="21">
        <f>_xlfn.DAYS(CrowdfundingTable[[#This Row],[date_ended]],CrowdfundingTable[[#This Row],[date_created]])</f>
        <v>17</v>
      </c>
      <c r="R433" s="5" t="b">
        <v>1</v>
      </c>
      <c r="S433" s="5" t="b">
        <v>0</v>
      </c>
      <c r="T433" s="5" t="s">
        <v>33</v>
      </c>
      <c r="U433" s="5" t="s">
        <v>2040</v>
      </c>
      <c r="V433" s="5" t="s">
        <v>2055</v>
      </c>
      <c r="W433" s="5"/>
    </row>
    <row r="434" spans="1:23" ht="17" x14ac:dyDescent="0.2">
      <c r="A434" s="5">
        <v>432</v>
      </c>
      <c r="B434" s="5" t="s">
        <v>913</v>
      </c>
      <c r="C434" s="6" t="s">
        <v>914</v>
      </c>
      <c r="D434" s="94">
        <v>7700</v>
      </c>
      <c r="E434" s="94">
        <v>6369</v>
      </c>
      <c r="F434" s="7">
        <f t="shared" si="27"/>
        <v>0.82714285714285718</v>
      </c>
      <c r="G434" s="5" t="s">
        <v>14</v>
      </c>
      <c r="H434" s="5">
        <v>91</v>
      </c>
      <c r="I434" s="96">
        <f t="shared" si="24"/>
        <v>69.989010989010993</v>
      </c>
      <c r="J434" s="5" t="s">
        <v>21</v>
      </c>
      <c r="K434" s="5" t="s">
        <v>22</v>
      </c>
      <c r="L434" s="5">
        <v>1399006800</v>
      </c>
      <c r="M434" s="5">
        <v>1400734800</v>
      </c>
      <c r="N434" s="8">
        <f t="shared" si="25"/>
        <v>41761.208333333336</v>
      </c>
      <c r="O434" s="8">
        <f t="shared" si="26"/>
        <v>41781.208333333336</v>
      </c>
      <c r="P434" s="21" t="str">
        <f>TEXT(CrowdfundingTable[[#This Row],[date_created]],"ddd")</f>
        <v>Fri</v>
      </c>
      <c r="Q434" s="21">
        <f>_xlfn.DAYS(CrowdfundingTable[[#This Row],[date_ended]],CrowdfundingTable[[#This Row],[date_created]])</f>
        <v>20</v>
      </c>
      <c r="R434" s="5" t="b">
        <v>0</v>
      </c>
      <c r="S434" s="5" t="b">
        <v>0</v>
      </c>
      <c r="T434" s="5" t="s">
        <v>33</v>
      </c>
      <c r="U434" s="5" t="s">
        <v>2040</v>
      </c>
      <c r="V434" s="5" t="s">
        <v>2055</v>
      </c>
      <c r="W434" s="5"/>
    </row>
    <row r="435" spans="1:23" ht="17" x14ac:dyDescent="0.2">
      <c r="A435" s="5">
        <v>433</v>
      </c>
      <c r="B435" s="5" t="s">
        <v>915</v>
      </c>
      <c r="C435" s="6" t="s">
        <v>916</v>
      </c>
      <c r="D435" s="94">
        <v>121400</v>
      </c>
      <c r="E435" s="94">
        <v>65755</v>
      </c>
      <c r="F435" s="7">
        <f t="shared" si="27"/>
        <v>0.54163920922570019</v>
      </c>
      <c r="G435" s="5" t="s">
        <v>14</v>
      </c>
      <c r="H435" s="5">
        <v>792</v>
      </c>
      <c r="I435" s="96">
        <f t="shared" si="24"/>
        <v>83.023989898989896</v>
      </c>
      <c r="J435" s="5" t="s">
        <v>21</v>
      </c>
      <c r="K435" s="5" t="s">
        <v>22</v>
      </c>
      <c r="L435" s="5">
        <v>1385359200</v>
      </c>
      <c r="M435" s="5">
        <v>1386741600</v>
      </c>
      <c r="N435" s="8">
        <f t="shared" si="25"/>
        <v>41603.25</v>
      </c>
      <c r="O435" s="8">
        <f t="shared" si="26"/>
        <v>41619.25</v>
      </c>
      <c r="P435" s="21" t="str">
        <f>TEXT(CrowdfundingTable[[#This Row],[date_created]],"ddd")</f>
        <v>Mon</v>
      </c>
      <c r="Q435" s="21">
        <f>_xlfn.DAYS(CrowdfundingTable[[#This Row],[date_ended]],CrowdfundingTable[[#This Row],[date_created]])</f>
        <v>16</v>
      </c>
      <c r="R435" s="5" t="b">
        <v>0</v>
      </c>
      <c r="S435" s="5" t="b">
        <v>1</v>
      </c>
      <c r="T435" s="5" t="s">
        <v>42</v>
      </c>
      <c r="U435" s="5" t="s">
        <v>2032</v>
      </c>
      <c r="V435" s="5" t="s">
        <v>2044</v>
      </c>
      <c r="W435" s="5"/>
    </row>
    <row r="436" spans="1:23" ht="17" x14ac:dyDescent="0.2">
      <c r="A436" s="5">
        <v>434</v>
      </c>
      <c r="B436" s="5" t="s">
        <v>917</v>
      </c>
      <c r="C436" s="6" t="s">
        <v>918</v>
      </c>
      <c r="D436" s="94">
        <v>5400</v>
      </c>
      <c r="E436" s="94">
        <v>903</v>
      </c>
      <c r="F436" s="7">
        <f t="shared" si="27"/>
        <v>0.16722222222222222</v>
      </c>
      <c r="G436" s="5" t="s">
        <v>74</v>
      </c>
      <c r="H436" s="5">
        <v>10</v>
      </c>
      <c r="I436" s="96">
        <f t="shared" si="24"/>
        <v>90.3</v>
      </c>
      <c r="J436" s="5" t="s">
        <v>15</v>
      </c>
      <c r="K436" s="5" t="s">
        <v>16</v>
      </c>
      <c r="L436" s="5">
        <v>1480572000</v>
      </c>
      <c r="M436" s="5">
        <v>1481781600</v>
      </c>
      <c r="N436" s="8">
        <f t="shared" si="25"/>
        <v>42705.25</v>
      </c>
      <c r="O436" s="8">
        <f t="shared" si="26"/>
        <v>42719.25</v>
      </c>
      <c r="P436" s="21" t="str">
        <f>TEXT(CrowdfundingTable[[#This Row],[date_created]],"ddd")</f>
        <v>Thu</v>
      </c>
      <c r="Q436" s="21">
        <f>_xlfn.DAYS(CrowdfundingTable[[#This Row],[date_ended]],CrowdfundingTable[[#This Row],[date_created]])</f>
        <v>14</v>
      </c>
      <c r="R436" s="5" t="b">
        <v>1</v>
      </c>
      <c r="S436" s="5" t="b">
        <v>0</v>
      </c>
      <c r="T436" s="5" t="s">
        <v>33</v>
      </c>
      <c r="U436" s="5" t="s">
        <v>2040</v>
      </c>
      <c r="V436" s="5" t="s">
        <v>2055</v>
      </c>
      <c r="W436" s="5"/>
    </row>
    <row r="437" spans="1:23" ht="17" x14ac:dyDescent="0.2">
      <c r="A437" s="5">
        <v>435</v>
      </c>
      <c r="B437" s="5" t="s">
        <v>919</v>
      </c>
      <c r="C437" s="6" t="s">
        <v>920</v>
      </c>
      <c r="D437" s="94">
        <v>152400</v>
      </c>
      <c r="E437" s="94">
        <v>178120</v>
      </c>
      <c r="F437" s="7">
        <f t="shared" si="27"/>
        <v>1.168766404199475</v>
      </c>
      <c r="G437" s="5" t="s">
        <v>20</v>
      </c>
      <c r="H437" s="5">
        <v>1713</v>
      </c>
      <c r="I437" s="96">
        <f t="shared" si="24"/>
        <v>103.98131932282546</v>
      </c>
      <c r="J437" s="5" t="s">
        <v>107</v>
      </c>
      <c r="K437" s="5" t="s">
        <v>108</v>
      </c>
      <c r="L437" s="5">
        <v>1418623200</v>
      </c>
      <c r="M437" s="5">
        <v>1419660000</v>
      </c>
      <c r="N437" s="8">
        <f t="shared" si="25"/>
        <v>41988.25</v>
      </c>
      <c r="O437" s="8">
        <f t="shared" si="26"/>
        <v>42000.25</v>
      </c>
      <c r="P437" s="21" t="str">
        <f>TEXT(CrowdfundingTable[[#This Row],[date_created]],"ddd")</f>
        <v>Mon</v>
      </c>
      <c r="Q437" s="21">
        <f>_xlfn.DAYS(CrowdfundingTable[[#This Row],[date_ended]],CrowdfundingTable[[#This Row],[date_created]])</f>
        <v>12</v>
      </c>
      <c r="R437" s="5" t="b">
        <v>0</v>
      </c>
      <c r="S437" s="5" t="b">
        <v>1</v>
      </c>
      <c r="T437" s="5" t="s">
        <v>33</v>
      </c>
      <c r="U437" s="5" t="s">
        <v>2040</v>
      </c>
      <c r="V437" s="5" t="s">
        <v>2055</v>
      </c>
      <c r="W437" s="5"/>
    </row>
    <row r="438" spans="1:23" ht="17" x14ac:dyDescent="0.2">
      <c r="A438" s="5">
        <v>436</v>
      </c>
      <c r="B438" s="5" t="s">
        <v>921</v>
      </c>
      <c r="C438" s="6" t="s">
        <v>922</v>
      </c>
      <c r="D438" s="94">
        <v>1300</v>
      </c>
      <c r="E438" s="94">
        <v>13678</v>
      </c>
      <c r="F438" s="7">
        <f t="shared" si="27"/>
        <v>10.521538461538462</v>
      </c>
      <c r="G438" s="5" t="s">
        <v>20</v>
      </c>
      <c r="H438" s="5">
        <v>249</v>
      </c>
      <c r="I438" s="96">
        <f t="shared" si="24"/>
        <v>54.931726907630519</v>
      </c>
      <c r="J438" s="5" t="s">
        <v>21</v>
      </c>
      <c r="K438" s="5" t="s">
        <v>22</v>
      </c>
      <c r="L438" s="5">
        <v>1555736400</v>
      </c>
      <c r="M438" s="5">
        <v>1555822800</v>
      </c>
      <c r="N438" s="8">
        <f t="shared" si="25"/>
        <v>43575.208333333328</v>
      </c>
      <c r="O438" s="8">
        <f t="shared" si="26"/>
        <v>43576.208333333328</v>
      </c>
      <c r="P438" s="21" t="str">
        <f>TEXT(CrowdfundingTable[[#This Row],[date_created]],"ddd")</f>
        <v>Sat</v>
      </c>
      <c r="Q438" s="21">
        <f>_xlfn.DAYS(CrowdfundingTable[[#This Row],[date_ended]],CrowdfundingTable[[#This Row],[date_created]])</f>
        <v>1</v>
      </c>
      <c r="R438" s="5" t="b">
        <v>0</v>
      </c>
      <c r="S438" s="5" t="b">
        <v>0</v>
      </c>
      <c r="T438" s="5" t="s">
        <v>159</v>
      </c>
      <c r="U438" s="5" t="s">
        <v>2036</v>
      </c>
      <c r="V438" s="5" t="s">
        <v>2050</v>
      </c>
      <c r="W438" s="5"/>
    </row>
    <row r="439" spans="1:23" ht="17" x14ac:dyDescent="0.2">
      <c r="A439" s="5">
        <v>437</v>
      </c>
      <c r="B439" s="5" t="s">
        <v>923</v>
      </c>
      <c r="C439" s="6" t="s">
        <v>924</v>
      </c>
      <c r="D439" s="94">
        <v>8100</v>
      </c>
      <c r="E439" s="94">
        <v>9969</v>
      </c>
      <c r="F439" s="7">
        <f t="shared" si="27"/>
        <v>1.2307407407407407</v>
      </c>
      <c r="G439" s="5" t="s">
        <v>20</v>
      </c>
      <c r="H439" s="5">
        <v>192</v>
      </c>
      <c r="I439" s="96">
        <f t="shared" si="24"/>
        <v>51.921875</v>
      </c>
      <c r="J439" s="5" t="s">
        <v>21</v>
      </c>
      <c r="K439" s="5" t="s">
        <v>22</v>
      </c>
      <c r="L439" s="5">
        <v>1442120400</v>
      </c>
      <c r="M439" s="5">
        <v>1442379600</v>
      </c>
      <c r="N439" s="8">
        <f t="shared" si="25"/>
        <v>42260.208333333328</v>
      </c>
      <c r="O439" s="8">
        <f t="shared" si="26"/>
        <v>42263.208333333328</v>
      </c>
      <c r="P439" s="21" t="str">
        <f>TEXT(CrowdfundingTable[[#This Row],[date_created]],"ddd")</f>
        <v>Sun</v>
      </c>
      <c r="Q439" s="21">
        <f>_xlfn.DAYS(CrowdfundingTable[[#This Row],[date_ended]],CrowdfundingTable[[#This Row],[date_created]])</f>
        <v>3</v>
      </c>
      <c r="R439" s="5" t="b">
        <v>0</v>
      </c>
      <c r="S439" s="5" t="b">
        <v>1</v>
      </c>
      <c r="T439" s="5" t="s">
        <v>71</v>
      </c>
      <c r="U439" s="5" t="s">
        <v>2032</v>
      </c>
      <c r="V439" s="5" t="s">
        <v>2042</v>
      </c>
      <c r="W439" s="5"/>
    </row>
    <row r="440" spans="1:23" ht="17" x14ac:dyDescent="0.2">
      <c r="A440" s="5">
        <v>438</v>
      </c>
      <c r="B440" s="5" t="s">
        <v>925</v>
      </c>
      <c r="C440" s="6" t="s">
        <v>926</v>
      </c>
      <c r="D440" s="94">
        <v>8300</v>
      </c>
      <c r="E440" s="94">
        <v>14827</v>
      </c>
      <c r="F440" s="7">
        <f t="shared" si="27"/>
        <v>1.7863855421686747</v>
      </c>
      <c r="G440" s="5" t="s">
        <v>20</v>
      </c>
      <c r="H440" s="5">
        <v>247</v>
      </c>
      <c r="I440" s="96">
        <f t="shared" si="24"/>
        <v>60.02834008097166</v>
      </c>
      <c r="J440" s="5" t="s">
        <v>21</v>
      </c>
      <c r="K440" s="5" t="s">
        <v>22</v>
      </c>
      <c r="L440" s="5">
        <v>1362376800</v>
      </c>
      <c r="M440" s="5">
        <v>1364965200</v>
      </c>
      <c r="N440" s="8">
        <f t="shared" si="25"/>
        <v>41337.25</v>
      </c>
      <c r="O440" s="8">
        <f t="shared" si="26"/>
        <v>41367.208333333336</v>
      </c>
      <c r="P440" s="21" t="str">
        <f>TEXT(CrowdfundingTable[[#This Row],[date_created]],"ddd")</f>
        <v>Mon</v>
      </c>
      <c r="Q440" s="21">
        <f>_xlfn.DAYS(CrowdfundingTable[[#This Row],[date_ended]],CrowdfundingTable[[#This Row],[date_created]])</f>
        <v>30</v>
      </c>
      <c r="R440" s="5" t="b">
        <v>0</v>
      </c>
      <c r="S440" s="5" t="b">
        <v>0</v>
      </c>
      <c r="T440" s="5" t="s">
        <v>33</v>
      </c>
      <c r="U440" s="5" t="s">
        <v>2040</v>
      </c>
      <c r="V440" s="5" t="s">
        <v>2055</v>
      </c>
      <c r="W440" s="5"/>
    </row>
    <row r="441" spans="1:23" ht="17" x14ac:dyDescent="0.2">
      <c r="A441" s="5">
        <v>439</v>
      </c>
      <c r="B441" s="5" t="s">
        <v>927</v>
      </c>
      <c r="C441" s="6" t="s">
        <v>928</v>
      </c>
      <c r="D441" s="94">
        <v>28400</v>
      </c>
      <c r="E441" s="94">
        <v>100900</v>
      </c>
      <c r="F441" s="7">
        <f t="shared" si="27"/>
        <v>3.5528169014084505</v>
      </c>
      <c r="G441" s="5" t="s">
        <v>20</v>
      </c>
      <c r="H441" s="5">
        <v>2293</v>
      </c>
      <c r="I441" s="96">
        <f t="shared" si="24"/>
        <v>44.003488879197555</v>
      </c>
      <c r="J441" s="5" t="s">
        <v>21</v>
      </c>
      <c r="K441" s="5" t="s">
        <v>22</v>
      </c>
      <c r="L441" s="5">
        <v>1478408400</v>
      </c>
      <c r="M441" s="5">
        <v>1479016800</v>
      </c>
      <c r="N441" s="8">
        <f t="shared" si="25"/>
        <v>42680.208333333328</v>
      </c>
      <c r="O441" s="8">
        <f t="shared" si="26"/>
        <v>42687.25</v>
      </c>
      <c r="P441" s="21" t="str">
        <f>TEXT(CrowdfundingTable[[#This Row],[date_created]],"ddd")</f>
        <v>Sun</v>
      </c>
      <c r="Q441" s="21">
        <f>_xlfn.DAYS(CrowdfundingTable[[#This Row],[date_ended]],CrowdfundingTable[[#This Row],[date_created]])</f>
        <v>7</v>
      </c>
      <c r="R441" s="5" t="b">
        <v>0</v>
      </c>
      <c r="S441" s="5" t="b">
        <v>0</v>
      </c>
      <c r="T441" s="5" t="s">
        <v>474</v>
      </c>
      <c r="U441" s="5" t="s">
        <v>2032</v>
      </c>
      <c r="V441" s="5" t="s">
        <v>2058</v>
      </c>
      <c r="W441" s="5"/>
    </row>
    <row r="442" spans="1:23" ht="17" x14ac:dyDescent="0.2">
      <c r="A442" s="5">
        <v>440</v>
      </c>
      <c r="B442" s="5" t="s">
        <v>929</v>
      </c>
      <c r="C442" s="6" t="s">
        <v>930</v>
      </c>
      <c r="D442" s="94">
        <v>102500</v>
      </c>
      <c r="E442" s="94">
        <v>165954</v>
      </c>
      <c r="F442" s="7">
        <f t="shared" si="27"/>
        <v>1.6190634146341463</v>
      </c>
      <c r="G442" s="5" t="s">
        <v>20</v>
      </c>
      <c r="H442" s="5">
        <v>3131</v>
      </c>
      <c r="I442" s="96">
        <f t="shared" si="24"/>
        <v>53.003513254551258</v>
      </c>
      <c r="J442" s="5" t="s">
        <v>21</v>
      </c>
      <c r="K442" s="5" t="s">
        <v>22</v>
      </c>
      <c r="L442" s="5">
        <v>1498798800</v>
      </c>
      <c r="M442" s="5">
        <v>1499662800</v>
      </c>
      <c r="N442" s="8">
        <f t="shared" si="25"/>
        <v>42916.208333333328</v>
      </c>
      <c r="O442" s="8">
        <f t="shared" si="26"/>
        <v>42926.208333333328</v>
      </c>
      <c r="P442" s="21" t="str">
        <f>TEXT(CrowdfundingTable[[#This Row],[date_created]],"ddd")</f>
        <v>Fri</v>
      </c>
      <c r="Q442" s="21">
        <f>_xlfn.DAYS(CrowdfundingTable[[#This Row],[date_ended]],CrowdfundingTable[[#This Row],[date_created]])</f>
        <v>10</v>
      </c>
      <c r="R442" s="5" t="b">
        <v>0</v>
      </c>
      <c r="S442" s="5" t="b">
        <v>0</v>
      </c>
      <c r="T442" s="5" t="s">
        <v>269</v>
      </c>
      <c r="U442" s="5" t="s">
        <v>2032</v>
      </c>
      <c r="V442" s="5" t="s">
        <v>2060</v>
      </c>
      <c r="W442" s="5"/>
    </row>
    <row r="443" spans="1:23" ht="17" x14ac:dyDescent="0.2">
      <c r="A443" s="5">
        <v>441</v>
      </c>
      <c r="B443" s="5" t="s">
        <v>931</v>
      </c>
      <c r="C443" s="6" t="s">
        <v>932</v>
      </c>
      <c r="D443" s="94">
        <v>7000</v>
      </c>
      <c r="E443" s="94">
        <v>1744</v>
      </c>
      <c r="F443" s="7">
        <f t="shared" si="27"/>
        <v>0.24914285714285714</v>
      </c>
      <c r="G443" s="5" t="s">
        <v>14</v>
      </c>
      <c r="H443" s="5">
        <v>32</v>
      </c>
      <c r="I443" s="96">
        <f t="shared" si="24"/>
        <v>54.5</v>
      </c>
      <c r="J443" s="5" t="s">
        <v>21</v>
      </c>
      <c r="K443" s="5" t="s">
        <v>22</v>
      </c>
      <c r="L443" s="5">
        <v>1335416400</v>
      </c>
      <c r="M443" s="5">
        <v>1337835600</v>
      </c>
      <c r="N443" s="8">
        <f t="shared" si="25"/>
        <v>41025.208333333336</v>
      </c>
      <c r="O443" s="8">
        <f t="shared" si="26"/>
        <v>41053.208333333336</v>
      </c>
      <c r="P443" s="21" t="str">
        <f>TEXT(CrowdfundingTable[[#This Row],[date_created]],"ddd")</f>
        <v>Thu</v>
      </c>
      <c r="Q443" s="21">
        <f>_xlfn.DAYS(CrowdfundingTable[[#This Row],[date_ended]],CrowdfundingTable[[#This Row],[date_created]])</f>
        <v>28</v>
      </c>
      <c r="R443" s="5" t="b">
        <v>0</v>
      </c>
      <c r="S443" s="5" t="b">
        <v>0</v>
      </c>
      <c r="T443" s="5" t="s">
        <v>65</v>
      </c>
      <c r="U443" s="5" t="s">
        <v>2039</v>
      </c>
      <c r="V443" s="5" t="s">
        <v>2063</v>
      </c>
      <c r="W443" s="5"/>
    </row>
    <row r="444" spans="1:23" ht="17" x14ac:dyDescent="0.2">
      <c r="A444" s="5">
        <v>442</v>
      </c>
      <c r="B444" s="5" t="s">
        <v>933</v>
      </c>
      <c r="C444" s="6" t="s">
        <v>934</v>
      </c>
      <c r="D444" s="94">
        <v>5400</v>
      </c>
      <c r="E444" s="94">
        <v>10731</v>
      </c>
      <c r="F444" s="7">
        <f t="shared" si="27"/>
        <v>1.9872222222222222</v>
      </c>
      <c r="G444" s="5" t="s">
        <v>20</v>
      </c>
      <c r="H444" s="5">
        <v>143</v>
      </c>
      <c r="I444" s="96">
        <f t="shared" si="24"/>
        <v>75.04195804195804</v>
      </c>
      <c r="J444" s="5" t="s">
        <v>107</v>
      </c>
      <c r="K444" s="5" t="s">
        <v>108</v>
      </c>
      <c r="L444" s="5">
        <v>1504328400</v>
      </c>
      <c r="M444" s="5">
        <v>1505710800</v>
      </c>
      <c r="N444" s="8">
        <f t="shared" si="25"/>
        <v>42980.208333333328</v>
      </c>
      <c r="O444" s="8">
        <f t="shared" si="26"/>
        <v>42996.208333333328</v>
      </c>
      <c r="P444" s="21" t="str">
        <f>TEXT(CrowdfundingTable[[#This Row],[date_created]],"ddd")</f>
        <v>Sat</v>
      </c>
      <c r="Q444" s="21">
        <f>_xlfn.DAYS(CrowdfundingTable[[#This Row],[date_ended]],CrowdfundingTable[[#This Row],[date_created]])</f>
        <v>16</v>
      </c>
      <c r="R444" s="5" t="b">
        <v>0</v>
      </c>
      <c r="S444" s="5" t="b">
        <v>0</v>
      </c>
      <c r="T444" s="5" t="s">
        <v>33</v>
      </c>
      <c r="U444" s="5" t="s">
        <v>2040</v>
      </c>
      <c r="V444" s="5" t="s">
        <v>2055</v>
      </c>
      <c r="W444" s="5"/>
    </row>
    <row r="445" spans="1:23" ht="17" x14ac:dyDescent="0.2">
      <c r="A445" s="5">
        <v>443</v>
      </c>
      <c r="B445" s="5" t="s">
        <v>935</v>
      </c>
      <c r="C445" s="6" t="s">
        <v>936</v>
      </c>
      <c r="D445" s="94">
        <v>9300</v>
      </c>
      <c r="E445" s="94">
        <v>3232</v>
      </c>
      <c r="F445" s="7">
        <f t="shared" si="27"/>
        <v>0.34752688172043011</v>
      </c>
      <c r="G445" s="5" t="s">
        <v>74</v>
      </c>
      <c r="H445" s="5">
        <v>90</v>
      </c>
      <c r="I445" s="96">
        <f t="shared" si="24"/>
        <v>35.911111111111111</v>
      </c>
      <c r="J445" s="5" t="s">
        <v>21</v>
      </c>
      <c r="K445" s="5" t="s">
        <v>22</v>
      </c>
      <c r="L445" s="5">
        <v>1285822800</v>
      </c>
      <c r="M445" s="5">
        <v>1287464400</v>
      </c>
      <c r="N445" s="8">
        <f t="shared" si="25"/>
        <v>40451.208333333336</v>
      </c>
      <c r="O445" s="8">
        <f t="shared" si="26"/>
        <v>40470.208333333336</v>
      </c>
      <c r="P445" s="21" t="str">
        <f>TEXT(CrowdfundingTable[[#This Row],[date_created]],"ddd")</f>
        <v>Thu</v>
      </c>
      <c r="Q445" s="21">
        <f>_xlfn.DAYS(CrowdfundingTable[[#This Row],[date_ended]],CrowdfundingTable[[#This Row],[date_created]])</f>
        <v>19</v>
      </c>
      <c r="R445" s="5" t="b">
        <v>0</v>
      </c>
      <c r="S445" s="5" t="b">
        <v>0</v>
      </c>
      <c r="T445" s="5" t="s">
        <v>33</v>
      </c>
      <c r="U445" s="5" t="s">
        <v>2040</v>
      </c>
      <c r="V445" s="5" t="s">
        <v>2055</v>
      </c>
      <c r="W445" s="5"/>
    </row>
    <row r="446" spans="1:23" ht="17" x14ac:dyDescent="0.2">
      <c r="A446" s="5">
        <v>444</v>
      </c>
      <c r="B446" s="5" t="s">
        <v>748</v>
      </c>
      <c r="C446" s="6" t="s">
        <v>937</v>
      </c>
      <c r="D446" s="94">
        <v>6200</v>
      </c>
      <c r="E446" s="94">
        <v>10938</v>
      </c>
      <c r="F446" s="7">
        <f t="shared" si="27"/>
        <v>1.7641935483870967</v>
      </c>
      <c r="G446" s="5" t="s">
        <v>20</v>
      </c>
      <c r="H446" s="5">
        <v>296</v>
      </c>
      <c r="I446" s="96">
        <f t="shared" si="24"/>
        <v>36.952702702702702</v>
      </c>
      <c r="J446" s="5" t="s">
        <v>21</v>
      </c>
      <c r="K446" s="5" t="s">
        <v>22</v>
      </c>
      <c r="L446" s="5">
        <v>1311483600</v>
      </c>
      <c r="M446" s="5">
        <v>1311656400</v>
      </c>
      <c r="N446" s="8">
        <f t="shared" si="25"/>
        <v>40748.208333333336</v>
      </c>
      <c r="O446" s="8">
        <f t="shared" si="26"/>
        <v>40750.208333333336</v>
      </c>
      <c r="P446" s="21" t="str">
        <f>TEXT(CrowdfundingTable[[#This Row],[date_created]],"ddd")</f>
        <v>Sun</v>
      </c>
      <c r="Q446" s="21">
        <f>_xlfn.DAYS(CrowdfundingTable[[#This Row],[date_ended]],CrowdfundingTable[[#This Row],[date_created]])</f>
        <v>2</v>
      </c>
      <c r="R446" s="5" t="b">
        <v>0</v>
      </c>
      <c r="S446" s="5" t="b">
        <v>1</v>
      </c>
      <c r="T446" s="5" t="s">
        <v>60</v>
      </c>
      <c r="U446" s="5" t="s">
        <v>2036</v>
      </c>
      <c r="V446" s="5" t="s">
        <v>2049</v>
      </c>
      <c r="W446" s="5"/>
    </row>
    <row r="447" spans="1:23" ht="34" x14ac:dyDescent="0.2">
      <c r="A447" s="5">
        <v>445</v>
      </c>
      <c r="B447" s="5" t="s">
        <v>938</v>
      </c>
      <c r="C447" s="6" t="s">
        <v>939</v>
      </c>
      <c r="D447" s="94">
        <v>2100</v>
      </c>
      <c r="E447" s="94">
        <v>10739</v>
      </c>
      <c r="F447" s="7">
        <f t="shared" si="27"/>
        <v>5.1138095238095236</v>
      </c>
      <c r="G447" s="5" t="s">
        <v>20</v>
      </c>
      <c r="H447" s="5">
        <v>170</v>
      </c>
      <c r="I447" s="96">
        <f t="shared" si="24"/>
        <v>63.170588235294119</v>
      </c>
      <c r="J447" s="5" t="s">
        <v>21</v>
      </c>
      <c r="K447" s="5" t="s">
        <v>22</v>
      </c>
      <c r="L447" s="5">
        <v>1291356000</v>
      </c>
      <c r="M447" s="5">
        <v>1293170400</v>
      </c>
      <c r="N447" s="8">
        <f t="shared" si="25"/>
        <v>40515.25</v>
      </c>
      <c r="O447" s="8">
        <f t="shared" si="26"/>
        <v>40536.25</v>
      </c>
      <c r="P447" s="21" t="str">
        <f>TEXT(CrowdfundingTable[[#This Row],[date_created]],"ddd")</f>
        <v>Fri</v>
      </c>
      <c r="Q447" s="21">
        <f>_xlfn.DAYS(CrowdfundingTable[[#This Row],[date_ended]],CrowdfundingTable[[#This Row],[date_created]])</f>
        <v>21</v>
      </c>
      <c r="R447" s="5" t="b">
        <v>0</v>
      </c>
      <c r="S447" s="5" t="b">
        <v>1</v>
      </c>
      <c r="T447" s="5" t="s">
        <v>33</v>
      </c>
      <c r="U447" s="5" t="s">
        <v>2040</v>
      </c>
      <c r="V447" s="5" t="s">
        <v>2055</v>
      </c>
      <c r="W447" s="5"/>
    </row>
    <row r="448" spans="1:23" ht="17" x14ac:dyDescent="0.2">
      <c r="A448" s="5">
        <v>446</v>
      </c>
      <c r="B448" s="5" t="s">
        <v>940</v>
      </c>
      <c r="C448" s="6" t="s">
        <v>941</v>
      </c>
      <c r="D448" s="94">
        <v>6800</v>
      </c>
      <c r="E448" s="94">
        <v>5579</v>
      </c>
      <c r="F448" s="7">
        <f t="shared" si="27"/>
        <v>0.82044117647058823</v>
      </c>
      <c r="G448" s="5" t="s">
        <v>14</v>
      </c>
      <c r="H448" s="5">
        <v>186</v>
      </c>
      <c r="I448" s="96">
        <f t="shared" si="24"/>
        <v>29.99462365591398</v>
      </c>
      <c r="J448" s="5" t="s">
        <v>21</v>
      </c>
      <c r="K448" s="5" t="s">
        <v>22</v>
      </c>
      <c r="L448" s="5">
        <v>1355810400</v>
      </c>
      <c r="M448" s="5">
        <v>1355983200</v>
      </c>
      <c r="N448" s="8">
        <f t="shared" si="25"/>
        <v>41261.25</v>
      </c>
      <c r="O448" s="8">
        <f t="shared" si="26"/>
        <v>41263.25</v>
      </c>
      <c r="P448" s="21" t="str">
        <f>TEXT(CrowdfundingTable[[#This Row],[date_created]],"ddd")</f>
        <v>Tue</v>
      </c>
      <c r="Q448" s="21">
        <f>_xlfn.DAYS(CrowdfundingTable[[#This Row],[date_ended]],CrowdfundingTable[[#This Row],[date_created]])</f>
        <v>2</v>
      </c>
      <c r="R448" s="5" t="b">
        <v>0</v>
      </c>
      <c r="S448" s="5" t="b">
        <v>0</v>
      </c>
      <c r="T448" s="5" t="s">
        <v>65</v>
      </c>
      <c r="U448" s="5" t="s">
        <v>2039</v>
      </c>
      <c r="V448" s="5" t="s">
        <v>2063</v>
      </c>
      <c r="W448" s="5"/>
    </row>
    <row r="449" spans="1:23" ht="17" x14ac:dyDescent="0.2">
      <c r="A449" s="5">
        <v>447</v>
      </c>
      <c r="B449" s="5" t="s">
        <v>942</v>
      </c>
      <c r="C449" s="6" t="s">
        <v>943</v>
      </c>
      <c r="D449" s="94">
        <v>155200</v>
      </c>
      <c r="E449" s="94">
        <v>37754</v>
      </c>
      <c r="F449" s="7">
        <f t="shared" si="27"/>
        <v>0.24326030927835052</v>
      </c>
      <c r="G449" s="5" t="s">
        <v>74</v>
      </c>
      <c r="H449" s="5">
        <v>439</v>
      </c>
      <c r="I449" s="96">
        <f t="shared" si="24"/>
        <v>86</v>
      </c>
      <c r="J449" s="5" t="s">
        <v>40</v>
      </c>
      <c r="K449" s="5" t="s">
        <v>41</v>
      </c>
      <c r="L449" s="5">
        <v>1513663200</v>
      </c>
      <c r="M449" s="5">
        <v>1515045600</v>
      </c>
      <c r="N449" s="8">
        <f t="shared" si="25"/>
        <v>43088.25</v>
      </c>
      <c r="O449" s="8">
        <f t="shared" si="26"/>
        <v>43104.25</v>
      </c>
      <c r="P449" s="21" t="str">
        <f>TEXT(CrowdfundingTable[[#This Row],[date_created]],"ddd")</f>
        <v>Tue</v>
      </c>
      <c r="Q449" s="21">
        <f>_xlfn.DAYS(CrowdfundingTable[[#This Row],[date_ended]],CrowdfundingTable[[#This Row],[date_created]])</f>
        <v>16</v>
      </c>
      <c r="R449" s="5" t="b">
        <v>0</v>
      </c>
      <c r="S449" s="5" t="b">
        <v>0</v>
      </c>
      <c r="T449" s="5" t="s">
        <v>269</v>
      </c>
      <c r="U449" s="5" t="s">
        <v>2032</v>
      </c>
      <c r="V449" s="5" t="s">
        <v>2060</v>
      </c>
      <c r="W449" s="5"/>
    </row>
    <row r="450" spans="1:23" ht="17" x14ac:dyDescent="0.2">
      <c r="A450" s="5">
        <v>448</v>
      </c>
      <c r="B450" s="5" t="s">
        <v>944</v>
      </c>
      <c r="C450" s="6" t="s">
        <v>945</v>
      </c>
      <c r="D450" s="94">
        <v>89900</v>
      </c>
      <c r="E450" s="94">
        <v>45384</v>
      </c>
      <c r="F450" s="7">
        <f t="shared" si="27"/>
        <v>0.50482758620689661</v>
      </c>
      <c r="G450" s="5" t="s">
        <v>14</v>
      </c>
      <c r="H450" s="5">
        <v>605</v>
      </c>
      <c r="I450" s="96">
        <f t="shared" ref="I450:I513" si="28">IF(H450&lt;&gt;0,E450/H450,0)</f>
        <v>75.014876033057845</v>
      </c>
      <c r="J450" s="5" t="s">
        <v>21</v>
      </c>
      <c r="K450" s="5" t="s">
        <v>22</v>
      </c>
      <c r="L450" s="5">
        <v>1365915600</v>
      </c>
      <c r="M450" s="5">
        <v>1366088400</v>
      </c>
      <c r="N450" s="8">
        <f t="shared" si="25"/>
        <v>41378.208333333336</v>
      </c>
      <c r="O450" s="8">
        <f t="shared" si="26"/>
        <v>41380.208333333336</v>
      </c>
      <c r="P450" s="21" t="str">
        <f>TEXT(CrowdfundingTable[[#This Row],[date_created]],"ddd")</f>
        <v>Sun</v>
      </c>
      <c r="Q450" s="21">
        <f>_xlfn.DAYS(CrowdfundingTable[[#This Row],[date_ended]],CrowdfundingTable[[#This Row],[date_created]])</f>
        <v>2</v>
      </c>
      <c r="R450" s="5" t="b">
        <v>0</v>
      </c>
      <c r="S450" s="5" t="b">
        <v>1</v>
      </c>
      <c r="T450" s="5" t="s">
        <v>89</v>
      </c>
      <c r="U450" s="5" t="s">
        <v>2034</v>
      </c>
      <c r="V450" s="5" t="s">
        <v>2062</v>
      </c>
      <c r="W450" s="5"/>
    </row>
    <row r="451" spans="1:23" ht="17" x14ac:dyDescent="0.2">
      <c r="A451" s="5">
        <v>449</v>
      </c>
      <c r="B451" s="5" t="s">
        <v>946</v>
      </c>
      <c r="C451" s="6" t="s">
        <v>947</v>
      </c>
      <c r="D451" s="94">
        <v>900</v>
      </c>
      <c r="E451" s="94">
        <v>8703</v>
      </c>
      <c r="F451" s="7">
        <f t="shared" si="27"/>
        <v>9.67</v>
      </c>
      <c r="G451" s="5" t="s">
        <v>20</v>
      </c>
      <c r="H451" s="5">
        <v>86</v>
      </c>
      <c r="I451" s="96">
        <f t="shared" si="28"/>
        <v>101.19767441860465</v>
      </c>
      <c r="J451" s="5" t="s">
        <v>36</v>
      </c>
      <c r="K451" s="5" t="s">
        <v>37</v>
      </c>
      <c r="L451" s="5">
        <v>1551852000</v>
      </c>
      <c r="M451" s="5">
        <v>1553317200</v>
      </c>
      <c r="N451" s="8">
        <f t="shared" ref="N451:N514" si="29">(((L451/60)/60)/24)+DATE(1970,1,1)</f>
        <v>43530.25</v>
      </c>
      <c r="O451" s="8">
        <f t="shared" ref="O451:O514" si="30">(((M451/60)/60)/24)+DATE(1970,1,1)</f>
        <v>43547.208333333328</v>
      </c>
      <c r="P451" s="21" t="str">
        <f>TEXT(CrowdfundingTable[[#This Row],[date_created]],"ddd")</f>
        <v>Wed</v>
      </c>
      <c r="Q451" s="21">
        <f>_xlfn.DAYS(CrowdfundingTable[[#This Row],[date_ended]],CrowdfundingTable[[#This Row],[date_created]])</f>
        <v>17</v>
      </c>
      <c r="R451" s="5" t="b">
        <v>0</v>
      </c>
      <c r="S451" s="5" t="b">
        <v>0</v>
      </c>
      <c r="T451" s="5" t="s">
        <v>89</v>
      </c>
      <c r="U451" s="5" t="s">
        <v>2034</v>
      </c>
      <c r="V451" s="5" t="s">
        <v>2062</v>
      </c>
      <c r="W451" s="5"/>
    </row>
    <row r="452" spans="1:23" ht="17" x14ac:dyDescent="0.2">
      <c r="A452" s="5">
        <v>450</v>
      </c>
      <c r="B452" s="5" t="s">
        <v>948</v>
      </c>
      <c r="C452" s="6" t="s">
        <v>949</v>
      </c>
      <c r="D452" s="94">
        <v>100</v>
      </c>
      <c r="E452" s="94">
        <v>4</v>
      </c>
      <c r="F452" s="7">
        <f t="shared" ref="F452:F515" si="31">E452/D452</f>
        <v>0.04</v>
      </c>
      <c r="G452" s="5" t="s">
        <v>14</v>
      </c>
      <c r="H452" s="5">
        <v>1</v>
      </c>
      <c r="I452" s="96">
        <f t="shared" si="28"/>
        <v>4</v>
      </c>
      <c r="J452" s="5" t="s">
        <v>15</v>
      </c>
      <c r="K452" s="5" t="s">
        <v>16</v>
      </c>
      <c r="L452" s="5">
        <v>1540098000</v>
      </c>
      <c r="M452" s="5">
        <v>1542088800</v>
      </c>
      <c r="N452" s="8">
        <f t="shared" si="29"/>
        <v>43394.208333333328</v>
      </c>
      <c r="O452" s="8">
        <f t="shared" si="30"/>
        <v>43417.25</v>
      </c>
      <c r="P452" s="21" t="str">
        <f>TEXT(CrowdfundingTable[[#This Row],[date_created]],"ddd")</f>
        <v>Sun</v>
      </c>
      <c r="Q452" s="21">
        <f>_xlfn.DAYS(CrowdfundingTable[[#This Row],[date_ended]],CrowdfundingTable[[#This Row],[date_created]])</f>
        <v>23</v>
      </c>
      <c r="R452" s="5" t="b">
        <v>0</v>
      </c>
      <c r="S452" s="5" t="b">
        <v>0</v>
      </c>
      <c r="T452" s="5" t="s">
        <v>71</v>
      </c>
      <c r="U452" s="5" t="s">
        <v>2032</v>
      </c>
      <c r="V452" s="5" t="s">
        <v>2042</v>
      </c>
      <c r="W452" s="5"/>
    </row>
    <row r="453" spans="1:23" ht="17" x14ac:dyDescent="0.2">
      <c r="A453" s="5">
        <v>451</v>
      </c>
      <c r="B453" s="5" t="s">
        <v>950</v>
      </c>
      <c r="C453" s="6" t="s">
        <v>951</v>
      </c>
      <c r="D453" s="94">
        <v>148400</v>
      </c>
      <c r="E453" s="94">
        <v>182302</v>
      </c>
      <c r="F453" s="7">
        <f t="shared" si="31"/>
        <v>1.2284501347708894</v>
      </c>
      <c r="G453" s="5" t="s">
        <v>20</v>
      </c>
      <c r="H453" s="5">
        <v>6286</v>
      </c>
      <c r="I453" s="96">
        <f t="shared" si="28"/>
        <v>29.001272669424118</v>
      </c>
      <c r="J453" s="5" t="s">
        <v>21</v>
      </c>
      <c r="K453" s="5" t="s">
        <v>22</v>
      </c>
      <c r="L453" s="5">
        <v>1500440400</v>
      </c>
      <c r="M453" s="5">
        <v>1503118800</v>
      </c>
      <c r="N453" s="8">
        <f t="shared" si="29"/>
        <v>42935.208333333328</v>
      </c>
      <c r="O453" s="8">
        <f t="shared" si="30"/>
        <v>42966.208333333328</v>
      </c>
      <c r="P453" s="21" t="str">
        <f>TEXT(CrowdfundingTable[[#This Row],[date_created]],"ddd")</f>
        <v>Wed</v>
      </c>
      <c r="Q453" s="21">
        <f>_xlfn.DAYS(CrowdfundingTable[[#This Row],[date_ended]],CrowdfundingTable[[#This Row],[date_created]])</f>
        <v>31</v>
      </c>
      <c r="R453" s="5" t="b">
        <v>0</v>
      </c>
      <c r="S453" s="5" t="b">
        <v>0</v>
      </c>
      <c r="T453" s="5" t="s">
        <v>23</v>
      </c>
      <c r="U453" s="5" t="s">
        <v>2036</v>
      </c>
      <c r="V453" s="5" t="s">
        <v>2057</v>
      </c>
      <c r="W453" s="5"/>
    </row>
    <row r="454" spans="1:23" ht="17" x14ac:dyDescent="0.2">
      <c r="A454" s="5">
        <v>452</v>
      </c>
      <c r="B454" s="5" t="s">
        <v>952</v>
      </c>
      <c r="C454" s="6" t="s">
        <v>953</v>
      </c>
      <c r="D454" s="94">
        <v>4800</v>
      </c>
      <c r="E454" s="94">
        <v>3045</v>
      </c>
      <c r="F454" s="7">
        <f t="shared" si="31"/>
        <v>0.63437500000000002</v>
      </c>
      <c r="G454" s="5" t="s">
        <v>14</v>
      </c>
      <c r="H454" s="5">
        <v>31</v>
      </c>
      <c r="I454" s="96">
        <f t="shared" si="28"/>
        <v>98.225806451612897</v>
      </c>
      <c r="J454" s="5" t="s">
        <v>21</v>
      </c>
      <c r="K454" s="5" t="s">
        <v>22</v>
      </c>
      <c r="L454" s="5">
        <v>1278392400</v>
      </c>
      <c r="M454" s="5">
        <v>1278478800</v>
      </c>
      <c r="N454" s="8">
        <f t="shared" si="29"/>
        <v>40365.208333333336</v>
      </c>
      <c r="O454" s="8">
        <f t="shared" si="30"/>
        <v>40366.208333333336</v>
      </c>
      <c r="P454" s="21" t="str">
        <f>TEXT(CrowdfundingTable[[#This Row],[date_created]],"ddd")</f>
        <v>Tue</v>
      </c>
      <c r="Q454" s="21">
        <f>_xlfn.DAYS(CrowdfundingTable[[#This Row],[date_ended]],CrowdfundingTable[[#This Row],[date_created]])</f>
        <v>1</v>
      </c>
      <c r="R454" s="5" t="b">
        <v>0</v>
      </c>
      <c r="S454" s="5" t="b">
        <v>0</v>
      </c>
      <c r="T454" s="5" t="s">
        <v>53</v>
      </c>
      <c r="U454" s="5" t="s">
        <v>2032</v>
      </c>
      <c r="V454" s="5" t="s">
        <v>2045</v>
      </c>
      <c r="W454" s="5"/>
    </row>
    <row r="455" spans="1:23" ht="17" x14ac:dyDescent="0.2">
      <c r="A455" s="5">
        <v>453</v>
      </c>
      <c r="B455" s="5" t="s">
        <v>954</v>
      </c>
      <c r="C455" s="6" t="s">
        <v>955</v>
      </c>
      <c r="D455" s="94">
        <v>182400</v>
      </c>
      <c r="E455" s="94">
        <v>102749</v>
      </c>
      <c r="F455" s="7">
        <f t="shared" si="31"/>
        <v>0.56331688596491225</v>
      </c>
      <c r="G455" s="5" t="s">
        <v>14</v>
      </c>
      <c r="H455" s="5">
        <v>1181</v>
      </c>
      <c r="I455" s="96">
        <f t="shared" si="28"/>
        <v>87.001693480101608</v>
      </c>
      <c r="J455" s="5" t="s">
        <v>21</v>
      </c>
      <c r="K455" s="5" t="s">
        <v>22</v>
      </c>
      <c r="L455" s="5">
        <v>1480572000</v>
      </c>
      <c r="M455" s="5">
        <v>1484114400</v>
      </c>
      <c r="N455" s="8">
        <f t="shared" si="29"/>
        <v>42705.25</v>
      </c>
      <c r="O455" s="8">
        <f t="shared" si="30"/>
        <v>42746.25</v>
      </c>
      <c r="P455" s="21" t="str">
        <f>TEXT(CrowdfundingTable[[#This Row],[date_created]],"ddd")</f>
        <v>Thu</v>
      </c>
      <c r="Q455" s="21">
        <f>_xlfn.DAYS(CrowdfundingTable[[#This Row],[date_ended]],CrowdfundingTable[[#This Row],[date_created]])</f>
        <v>41</v>
      </c>
      <c r="R455" s="5" t="b">
        <v>0</v>
      </c>
      <c r="S455" s="5" t="b">
        <v>0</v>
      </c>
      <c r="T455" s="5" t="s">
        <v>474</v>
      </c>
      <c r="U455" s="5" t="s">
        <v>2032</v>
      </c>
      <c r="V455" s="5" t="s">
        <v>2058</v>
      </c>
      <c r="W455" s="5"/>
    </row>
    <row r="456" spans="1:23" ht="17" x14ac:dyDescent="0.2">
      <c r="A456" s="5">
        <v>454</v>
      </c>
      <c r="B456" s="5" t="s">
        <v>956</v>
      </c>
      <c r="C456" s="6" t="s">
        <v>957</v>
      </c>
      <c r="D456" s="94">
        <v>4000</v>
      </c>
      <c r="E456" s="94">
        <v>1763</v>
      </c>
      <c r="F456" s="7">
        <f t="shared" si="31"/>
        <v>0.44074999999999998</v>
      </c>
      <c r="G456" s="5" t="s">
        <v>14</v>
      </c>
      <c r="H456" s="5">
        <v>39</v>
      </c>
      <c r="I456" s="96">
        <f t="shared" si="28"/>
        <v>45.205128205128204</v>
      </c>
      <c r="J456" s="5" t="s">
        <v>21</v>
      </c>
      <c r="K456" s="5" t="s">
        <v>22</v>
      </c>
      <c r="L456" s="5">
        <v>1382331600</v>
      </c>
      <c r="M456" s="5">
        <v>1385445600</v>
      </c>
      <c r="N456" s="8">
        <f t="shared" si="29"/>
        <v>41568.208333333336</v>
      </c>
      <c r="O456" s="8">
        <f t="shared" si="30"/>
        <v>41604.25</v>
      </c>
      <c r="P456" s="21" t="str">
        <f>TEXT(CrowdfundingTable[[#This Row],[date_created]],"ddd")</f>
        <v>Mon</v>
      </c>
      <c r="Q456" s="21">
        <f>_xlfn.DAYS(CrowdfundingTable[[#This Row],[date_ended]],CrowdfundingTable[[#This Row],[date_created]])</f>
        <v>36</v>
      </c>
      <c r="R456" s="5" t="b">
        <v>0</v>
      </c>
      <c r="S456" s="5" t="b">
        <v>1</v>
      </c>
      <c r="T456" s="5" t="s">
        <v>53</v>
      </c>
      <c r="U456" s="5" t="s">
        <v>2032</v>
      </c>
      <c r="V456" s="5" t="s">
        <v>2045</v>
      </c>
      <c r="W456" s="5"/>
    </row>
    <row r="457" spans="1:23" ht="17" x14ac:dyDescent="0.2">
      <c r="A457" s="5">
        <v>455</v>
      </c>
      <c r="B457" s="5" t="s">
        <v>958</v>
      </c>
      <c r="C457" s="6" t="s">
        <v>959</v>
      </c>
      <c r="D457" s="94">
        <v>116500</v>
      </c>
      <c r="E457" s="94">
        <v>137904</v>
      </c>
      <c r="F457" s="7">
        <f t="shared" si="31"/>
        <v>1.1837253218884121</v>
      </c>
      <c r="G457" s="5" t="s">
        <v>20</v>
      </c>
      <c r="H457" s="5">
        <v>3727</v>
      </c>
      <c r="I457" s="96">
        <f t="shared" si="28"/>
        <v>37.001341561577675</v>
      </c>
      <c r="J457" s="5" t="s">
        <v>21</v>
      </c>
      <c r="K457" s="5" t="s">
        <v>22</v>
      </c>
      <c r="L457" s="5">
        <v>1316754000</v>
      </c>
      <c r="M457" s="5">
        <v>1318741200</v>
      </c>
      <c r="N457" s="8">
        <f t="shared" si="29"/>
        <v>40809.208333333336</v>
      </c>
      <c r="O457" s="8">
        <f t="shared" si="30"/>
        <v>40832.208333333336</v>
      </c>
      <c r="P457" s="21" t="str">
        <f>TEXT(CrowdfundingTable[[#This Row],[date_created]],"ddd")</f>
        <v>Fri</v>
      </c>
      <c r="Q457" s="21">
        <f>_xlfn.DAYS(CrowdfundingTable[[#This Row],[date_ended]],CrowdfundingTable[[#This Row],[date_created]])</f>
        <v>23</v>
      </c>
      <c r="R457" s="5" t="b">
        <v>0</v>
      </c>
      <c r="S457" s="5" t="b">
        <v>0</v>
      </c>
      <c r="T457" s="5" t="s">
        <v>33</v>
      </c>
      <c r="U457" s="5" t="s">
        <v>2040</v>
      </c>
      <c r="V457" s="5" t="s">
        <v>2055</v>
      </c>
      <c r="W457" s="5"/>
    </row>
    <row r="458" spans="1:23" ht="34" x14ac:dyDescent="0.2">
      <c r="A458" s="5">
        <v>456</v>
      </c>
      <c r="B458" s="5" t="s">
        <v>960</v>
      </c>
      <c r="C458" s="6" t="s">
        <v>961</v>
      </c>
      <c r="D458" s="94">
        <v>146400</v>
      </c>
      <c r="E458" s="94">
        <v>152438</v>
      </c>
      <c r="F458" s="7">
        <f t="shared" si="31"/>
        <v>1.041243169398907</v>
      </c>
      <c r="G458" s="5" t="s">
        <v>20</v>
      </c>
      <c r="H458" s="5">
        <v>1605</v>
      </c>
      <c r="I458" s="96">
        <f t="shared" si="28"/>
        <v>94.976947040498445</v>
      </c>
      <c r="J458" s="5" t="s">
        <v>21</v>
      </c>
      <c r="K458" s="5" t="s">
        <v>22</v>
      </c>
      <c r="L458" s="5">
        <v>1518242400</v>
      </c>
      <c r="M458" s="5">
        <v>1518242400</v>
      </c>
      <c r="N458" s="8">
        <f t="shared" si="29"/>
        <v>43141.25</v>
      </c>
      <c r="O458" s="8">
        <f t="shared" si="30"/>
        <v>43141.25</v>
      </c>
      <c r="P458" s="21" t="str">
        <f>TEXT(CrowdfundingTable[[#This Row],[date_created]],"ddd")</f>
        <v>Sat</v>
      </c>
      <c r="Q458" s="21">
        <f>_xlfn.DAYS(CrowdfundingTable[[#This Row],[date_ended]],CrowdfundingTable[[#This Row],[date_created]])</f>
        <v>0</v>
      </c>
      <c r="R458" s="5" t="b">
        <v>0</v>
      </c>
      <c r="S458" s="5" t="b">
        <v>1</v>
      </c>
      <c r="T458" s="5" t="s">
        <v>60</v>
      </c>
      <c r="U458" s="5" t="s">
        <v>2036</v>
      </c>
      <c r="V458" s="5" t="s">
        <v>2049</v>
      </c>
      <c r="W458" s="5"/>
    </row>
    <row r="459" spans="1:23" ht="17" x14ac:dyDescent="0.2">
      <c r="A459" s="5">
        <v>457</v>
      </c>
      <c r="B459" s="5" t="s">
        <v>962</v>
      </c>
      <c r="C459" s="6" t="s">
        <v>963</v>
      </c>
      <c r="D459" s="94">
        <v>5000</v>
      </c>
      <c r="E459" s="94">
        <v>1332</v>
      </c>
      <c r="F459" s="7">
        <f t="shared" si="31"/>
        <v>0.26640000000000003</v>
      </c>
      <c r="G459" s="5" t="s">
        <v>14</v>
      </c>
      <c r="H459" s="5">
        <v>46</v>
      </c>
      <c r="I459" s="96">
        <f t="shared" si="28"/>
        <v>28.956521739130434</v>
      </c>
      <c r="J459" s="5" t="s">
        <v>21</v>
      </c>
      <c r="K459" s="5" t="s">
        <v>22</v>
      </c>
      <c r="L459" s="5">
        <v>1476421200</v>
      </c>
      <c r="M459" s="5">
        <v>1476594000</v>
      </c>
      <c r="N459" s="8">
        <f t="shared" si="29"/>
        <v>42657.208333333328</v>
      </c>
      <c r="O459" s="8">
        <f t="shared" si="30"/>
        <v>42659.208333333328</v>
      </c>
      <c r="P459" s="21" t="str">
        <f>TEXT(CrowdfundingTable[[#This Row],[date_created]],"ddd")</f>
        <v>Fri</v>
      </c>
      <c r="Q459" s="21">
        <f>_xlfn.DAYS(CrowdfundingTable[[#This Row],[date_ended]],CrowdfundingTable[[#This Row],[date_created]])</f>
        <v>2</v>
      </c>
      <c r="R459" s="5" t="b">
        <v>0</v>
      </c>
      <c r="S459" s="5" t="b">
        <v>0</v>
      </c>
      <c r="T459" s="5" t="s">
        <v>33</v>
      </c>
      <c r="U459" s="5" t="s">
        <v>2040</v>
      </c>
      <c r="V459" s="5" t="s">
        <v>2055</v>
      </c>
      <c r="W459" s="5"/>
    </row>
    <row r="460" spans="1:23" ht="17" x14ac:dyDescent="0.2">
      <c r="A460" s="5">
        <v>458</v>
      </c>
      <c r="B460" s="5" t="s">
        <v>964</v>
      </c>
      <c r="C460" s="6" t="s">
        <v>965</v>
      </c>
      <c r="D460" s="94">
        <v>33800</v>
      </c>
      <c r="E460" s="94">
        <v>118706</v>
      </c>
      <c r="F460" s="7">
        <f t="shared" si="31"/>
        <v>3.5120118343195266</v>
      </c>
      <c r="G460" s="5" t="s">
        <v>20</v>
      </c>
      <c r="H460" s="5">
        <v>2120</v>
      </c>
      <c r="I460" s="96">
        <f t="shared" si="28"/>
        <v>55.993396226415094</v>
      </c>
      <c r="J460" s="5" t="s">
        <v>21</v>
      </c>
      <c r="K460" s="5" t="s">
        <v>22</v>
      </c>
      <c r="L460" s="5">
        <v>1269752400</v>
      </c>
      <c r="M460" s="5">
        <v>1273554000</v>
      </c>
      <c r="N460" s="8">
        <f t="shared" si="29"/>
        <v>40265.208333333336</v>
      </c>
      <c r="O460" s="8">
        <f t="shared" si="30"/>
        <v>40309.208333333336</v>
      </c>
      <c r="P460" s="21" t="str">
        <f>TEXT(CrowdfundingTable[[#This Row],[date_created]],"ddd")</f>
        <v>Sun</v>
      </c>
      <c r="Q460" s="21">
        <f>_xlfn.DAYS(CrowdfundingTable[[#This Row],[date_ended]],CrowdfundingTable[[#This Row],[date_created]])</f>
        <v>44</v>
      </c>
      <c r="R460" s="5" t="b">
        <v>0</v>
      </c>
      <c r="S460" s="5" t="b">
        <v>0</v>
      </c>
      <c r="T460" s="5" t="s">
        <v>33</v>
      </c>
      <c r="U460" s="5" t="s">
        <v>2040</v>
      </c>
      <c r="V460" s="5" t="s">
        <v>2055</v>
      </c>
      <c r="W460" s="5"/>
    </row>
    <row r="461" spans="1:23" ht="17" x14ac:dyDescent="0.2">
      <c r="A461" s="5">
        <v>459</v>
      </c>
      <c r="B461" s="5" t="s">
        <v>966</v>
      </c>
      <c r="C461" s="6" t="s">
        <v>967</v>
      </c>
      <c r="D461" s="94">
        <v>6300</v>
      </c>
      <c r="E461" s="94">
        <v>5674</v>
      </c>
      <c r="F461" s="7">
        <f t="shared" si="31"/>
        <v>0.90063492063492068</v>
      </c>
      <c r="G461" s="5" t="s">
        <v>14</v>
      </c>
      <c r="H461" s="5">
        <v>105</v>
      </c>
      <c r="I461" s="96">
        <f t="shared" si="28"/>
        <v>54.038095238095238</v>
      </c>
      <c r="J461" s="5" t="s">
        <v>21</v>
      </c>
      <c r="K461" s="5" t="s">
        <v>22</v>
      </c>
      <c r="L461" s="5">
        <v>1419746400</v>
      </c>
      <c r="M461" s="5">
        <v>1421906400</v>
      </c>
      <c r="N461" s="8">
        <f t="shared" si="29"/>
        <v>42001.25</v>
      </c>
      <c r="O461" s="8">
        <f t="shared" si="30"/>
        <v>42026.25</v>
      </c>
      <c r="P461" s="21" t="str">
        <f>TEXT(CrowdfundingTable[[#This Row],[date_created]],"ddd")</f>
        <v>Sun</v>
      </c>
      <c r="Q461" s="21">
        <f>_xlfn.DAYS(CrowdfundingTable[[#This Row],[date_ended]],CrowdfundingTable[[#This Row],[date_created]])</f>
        <v>25</v>
      </c>
      <c r="R461" s="5" t="b">
        <v>0</v>
      </c>
      <c r="S461" s="5" t="b">
        <v>0</v>
      </c>
      <c r="T461" s="5" t="s">
        <v>42</v>
      </c>
      <c r="U461" s="5" t="s">
        <v>2032</v>
      </c>
      <c r="V461" s="5" t="s">
        <v>2044</v>
      </c>
      <c r="W461" s="5"/>
    </row>
    <row r="462" spans="1:23" ht="17" x14ac:dyDescent="0.2">
      <c r="A462" s="5">
        <v>460</v>
      </c>
      <c r="B462" s="5" t="s">
        <v>968</v>
      </c>
      <c r="C462" s="6" t="s">
        <v>969</v>
      </c>
      <c r="D462" s="94">
        <v>2400</v>
      </c>
      <c r="E462" s="94">
        <v>4119</v>
      </c>
      <c r="F462" s="7">
        <f t="shared" si="31"/>
        <v>1.7162500000000001</v>
      </c>
      <c r="G462" s="5" t="s">
        <v>20</v>
      </c>
      <c r="H462" s="5">
        <v>50</v>
      </c>
      <c r="I462" s="96">
        <f t="shared" si="28"/>
        <v>82.38</v>
      </c>
      <c r="J462" s="5" t="s">
        <v>21</v>
      </c>
      <c r="K462" s="5" t="s">
        <v>22</v>
      </c>
      <c r="L462" s="5">
        <v>1281330000</v>
      </c>
      <c r="M462" s="5">
        <v>1281589200</v>
      </c>
      <c r="N462" s="8">
        <f t="shared" si="29"/>
        <v>40399.208333333336</v>
      </c>
      <c r="O462" s="8">
        <f t="shared" si="30"/>
        <v>40402.208333333336</v>
      </c>
      <c r="P462" s="21" t="str">
        <f>TEXT(CrowdfundingTable[[#This Row],[date_created]],"ddd")</f>
        <v>Mon</v>
      </c>
      <c r="Q462" s="21">
        <f>_xlfn.DAYS(CrowdfundingTable[[#This Row],[date_ended]],CrowdfundingTable[[#This Row],[date_created]])</f>
        <v>3</v>
      </c>
      <c r="R462" s="5" t="b">
        <v>0</v>
      </c>
      <c r="S462" s="5" t="b">
        <v>0</v>
      </c>
      <c r="T462" s="5" t="s">
        <v>33</v>
      </c>
      <c r="U462" s="5" t="s">
        <v>2040</v>
      </c>
      <c r="V462" s="5" t="s">
        <v>2055</v>
      </c>
      <c r="W462" s="5"/>
    </row>
    <row r="463" spans="1:23" ht="17" x14ac:dyDescent="0.2">
      <c r="A463" s="5">
        <v>461</v>
      </c>
      <c r="B463" s="5" t="s">
        <v>970</v>
      </c>
      <c r="C463" s="6" t="s">
        <v>971</v>
      </c>
      <c r="D463" s="94">
        <v>98800</v>
      </c>
      <c r="E463" s="94">
        <v>139354</v>
      </c>
      <c r="F463" s="7">
        <f t="shared" si="31"/>
        <v>1.4104655870445344</v>
      </c>
      <c r="G463" s="5" t="s">
        <v>20</v>
      </c>
      <c r="H463" s="5">
        <v>2080</v>
      </c>
      <c r="I463" s="96">
        <f t="shared" si="28"/>
        <v>66.997115384615384</v>
      </c>
      <c r="J463" s="5" t="s">
        <v>21</v>
      </c>
      <c r="K463" s="5" t="s">
        <v>22</v>
      </c>
      <c r="L463" s="5">
        <v>1398661200</v>
      </c>
      <c r="M463" s="5">
        <v>1400389200</v>
      </c>
      <c r="N463" s="8">
        <f t="shared" si="29"/>
        <v>41757.208333333336</v>
      </c>
      <c r="O463" s="8">
        <f t="shared" si="30"/>
        <v>41777.208333333336</v>
      </c>
      <c r="P463" s="21" t="str">
        <f>TEXT(CrowdfundingTable[[#This Row],[date_created]],"ddd")</f>
        <v>Mon</v>
      </c>
      <c r="Q463" s="21">
        <f>_xlfn.DAYS(CrowdfundingTable[[#This Row],[date_ended]],CrowdfundingTable[[#This Row],[date_created]])</f>
        <v>20</v>
      </c>
      <c r="R463" s="5" t="b">
        <v>0</v>
      </c>
      <c r="S463" s="5" t="b">
        <v>0</v>
      </c>
      <c r="T463" s="5" t="s">
        <v>53</v>
      </c>
      <c r="U463" s="5" t="s">
        <v>2032</v>
      </c>
      <c r="V463" s="5" t="s">
        <v>2045</v>
      </c>
      <c r="W463" s="5"/>
    </row>
    <row r="464" spans="1:23" ht="17" x14ac:dyDescent="0.2">
      <c r="A464" s="5">
        <v>462</v>
      </c>
      <c r="B464" s="5" t="s">
        <v>972</v>
      </c>
      <c r="C464" s="6" t="s">
        <v>973</v>
      </c>
      <c r="D464" s="94">
        <v>188800</v>
      </c>
      <c r="E464" s="94">
        <v>57734</v>
      </c>
      <c r="F464" s="7">
        <f t="shared" si="31"/>
        <v>0.30579449152542371</v>
      </c>
      <c r="G464" s="5" t="s">
        <v>14</v>
      </c>
      <c r="H464" s="5">
        <v>535</v>
      </c>
      <c r="I464" s="96">
        <f t="shared" si="28"/>
        <v>107.91401869158878</v>
      </c>
      <c r="J464" s="5" t="s">
        <v>21</v>
      </c>
      <c r="K464" s="5" t="s">
        <v>22</v>
      </c>
      <c r="L464" s="5">
        <v>1359525600</v>
      </c>
      <c r="M464" s="5">
        <v>1362808800</v>
      </c>
      <c r="N464" s="8">
        <f t="shared" si="29"/>
        <v>41304.25</v>
      </c>
      <c r="O464" s="8">
        <f t="shared" si="30"/>
        <v>41342.25</v>
      </c>
      <c r="P464" s="21" t="str">
        <f>TEXT(CrowdfundingTable[[#This Row],[date_created]],"ddd")</f>
        <v>Wed</v>
      </c>
      <c r="Q464" s="21">
        <f>_xlfn.DAYS(CrowdfundingTable[[#This Row],[date_ended]],CrowdfundingTable[[#This Row],[date_created]])</f>
        <v>38</v>
      </c>
      <c r="R464" s="5" t="b">
        <v>0</v>
      </c>
      <c r="S464" s="5" t="b">
        <v>0</v>
      </c>
      <c r="T464" s="5" t="s">
        <v>292</v>
      </c>
      <c r="U464" s="5" t="s">
        <v>2034</v>
      </c>
      <c r="V464" s="5" t="s">
        <v>2052</v>
      </c>
      <c r="W464" s="5"/>
    </row>
    <row r="465" spans="1:23" ht="34" x14ac:dyDescent="0.2">
      <c r="A465" s="5">
        <v>463</v>
      </c>
      <c r="B465" s="5" t="s">
        <v>974</v>
      </c>
      <c r="C465" s="6" t="s">
        <v>975</v>
      </c>
      <c r="D465" s="94">
        <v>134300</v>
      </c>
      <c r="E465" s="94">
        <v>145265</v>
      </c>
      <c r="F465" s="7">
        <f t="shared" si="31"/>
        <v>1.0816455696202532</v>
      </c>
      <c r="G465" s="5" t="s">
        <v>20</v>
      </c>
      <c r="H465" s="5">
        <v>2105</v>
      </c>
      <c r="I465" s="96">
        <f t="shared" si="28"/>
        <v>69.009501187648453</v>
      </c>
      <c r="J465" s="5" t="s">
        <v>21</v>
      </c>
      <c r="K465" s="5" t="s">
        <v>22</v>
      </c>
      <c r="L465" s="5">
        <v>1388469600</v>
      </c>
      <c r="M465" s="5">
        <v>1388815200</v>
      </c>
      <c r="N465" s="8">
        <f t="shared" si="29"/>
        <v>41639.25</v>
      </c>
      <c r="O465" s="8">
        <f t="shared" si="30"/>
        <v>41643.25</v>
      </c>
      <c r="P465" s="21" t="str">
        <f>TEXT(CrowdfundingTable[[#This Row],[date_created]],"ddd")</f>
        <v>Tue</v>
      </c>
      <c r="Q465" s="21">
        <f>_xlfn.DAYS(CrowdfundingTable[[#This Row],[date_ended]],CrowdfundingTable[[#This Row],[date_created]])</f>
        <v>4</v>
      </c>
      <c r="R465" s="5" t="b">
        <v>0</v>
      </c>
      <c r="S465" s="5" t="b">
        <v>0</v>
      </c>
      <c r="T465" s="5" t="s">
        <v>71</v>
      </c>
      <c r="U465" s="5" t="s">
        <v>2032</v>
      </c>
      <c r="V465" s="5" t="s">
        <v>2042</v>
      </c>
      <c r="W465" s="5"/>
    </row>
    <row r="466" spans="1:23" ht="17" x14ac:dyDescent="0.2">
      <c r="A466" s="5">
        <v>464</v>
      </c>
      <c r="B466" s="5" t="s">
        <v>976</v>
      </c>
      <c r="C466" s="6" t="s">
        <v>977</v>
      </c>
      <c r="D466" s="94">
        <v>71200</v>
      </c>
      <c r="E466" s="94">
        <v>95020</v>
      </c>
      <c r="F466" s="7">
        <f t="shared" si="31"/>
        <v>1.3345505617977529</v>
      </c>
      <c r="G466" s="5" t="s">
        <v>20</v>
      </c>
      <c r="H466" s="5">
        <v>2436</v>
      </c>
      <c r="I466" s="96">
        <f t="shared" si="28"/>
        <v>39.006568144499177</v>
      </c>
      <c r="J466" s="5" t="s">
        <v>21</v>
      </c>
      <c r="K466" s="5" t="s">
        <v>22</v>
      </c>
      <c r="L466" s="5">
        <v>1518328800</v>
      </c>
      <c r="M466" s="5">
        <v>1519538400</v>
      </c>
      <c r="N466" s="8">
        <f t="shared" si="29"/>
        <v>43142.25</v>
      </c>
      <c r="O466" s="8">
        <f t="shared" si="30"/>
        <v>43156.25</v>
      </c>
      <c r="P466" s="21" t="str">
        <f>TEXT(CrowdfundingTable[[#This Row],[date_created]],"ddd")</f>
        <v>Sun</v>
      </c>
      <c r="Q466" s="21">
        <f>_xlfn.DAYS(CrowdfundingTable[[#This Row],[date_ended]],CrowdfundingTable[[#This Row],[date_created]])</f>
        <v>14</v>
      </c>
      <c r="R466" s="5" t="b">
        <v>0</v>
      </c>
      <c r="S466" s="5" t="b">
        <v>0</v>
      </c>
      <c r="T466" s="5" t="s">
        <v>33</v>
      </c>
      <c r="U466" s="5" t="s">
        <v>2040</v>
      </c>
      <c r="V466" s="5" t="s">
        <v>2055</v>
      </c>
      <c r="W466" s="5"/>
    </row>
    <row r="467" spans="1:23" ht="17" x14ac:dyDescent="0.2">
      <c r="A467" s="5">
        <v>465</v>
      </c>
      <c r="B467" s="5" t="s">
        <v>978</v>
      </c>
      <c r="C467" s="6" t="s">
        <v>979</v>
      </c>
      <c r="D467" s="94">
        <v>4700</v>
      </c>
      <c r="E467" s="94">
        <v>8829</v>
      </c>
      <c r="F467" s="7">
        <f t="shared" si="31"/>
        <v>1.8785106382978722</v>
      </c>
      <c r="G467" s="5" t="s">
        <v>20</v>
      </c>
      <c r="H467" s="5">
        <v>80</v>
      </c>
      <c r="I467" s="96">
        <f t="shared" si="28"/>
        <v>110.3625</v>
      </c>
      <c r="J467" s="5" t="s">
        <v>21</v>
      </c>
      <c r="K467" s="5" t="s">
        <v>22</v>
      </c>
      <c r="L467" s="5">
        <v>1517032800</v>
      </c>
      <c r="M467" s="5">
        <v>1517810400</v>
      </c>
      <c r="N467" s="8">
        <f t="shared" si="29"/>
        <v>43127.25</v>
      </c>
      <c r="O467" s="8">
        <f t="shared" si="30"/>
        <v>43136.25</v>
      </c>
      <c r="P467" s="21" t="str">
        <f>TEXT(CrowdfundingTable[[#This Row],[date_created]],"ddd")</f>
        <v>Sat</v>
      </c>
      <c r="Q467" s="21">
        <f>_xlfn.DAYS(CrowdfundingTable[[#This Row],[date_ended]],CrowdfundingTable[[#This Row],[date_created]])</f>
        <v>9</v>
      </c>
      <c r="R467" s="5" t="b">
        <v>0</v>
      </c>
      <c r="S467" s="5" t="b">
        <v>0</v>
      </c>
      <c r="T467" s="5" t="s">
        <v>206</v>
      </c>
      <c r="U467" s="5" t="s">
        <v>2038</v>
      </c>
      <c r="V467" s="5" t="s">
        <v>2061</v>
      </c>
      <c r="W467" s="5"/>
    </row>
    <row r="468" spans="1:23" ht="17" x14ac:dyDescent="0.2">
      <c r="A468" s="5">
        <v>466</v>
      </c>
      <c r="B468" s="5" t="s">
        <v>980</v>
      </c>
      <c r="C468" s="6" t="s">
        <v>981</v>
      </c>
      <c r="D468" s="94">
        <v>1200</v>
      </c>
      <c r="E468" s="94">
        <v>3984</v>
      </c>
      <c r="F468" s="7">
        <f t="shared" si="31"/>
        <v>3.32</v>
      </c>
      <c r="G468" s="5" t="s">
        <v>20</v>
      </c>
      <c r="H468" s="5">
        <v>42</v>
      </c>
      <c r="I468" s="96">
        <f t="shared" si="28"/>
        <v>94.857142857142861</v>
      </c>
      <c r="J468" s="5" t="s">
        <v>21</v>
      </c>
      <c r="K468" s="5" t="s">
        <v>22</v>
      </c>
      <c r="L468" s="5">
        <v>1368594000</v>
      </c>
      <c r="M468" s="5">
        <v>1370581200</v>
      </c>
      <c r="N468" s="8">
        <f t="shared" si="29"/>
        <v>41409.208333333336</v>
      </c>
      <c r="O468" s="8">
        <f t="shared" si="30"/>
        <v>41432.208333333336</v>
      </c>
      <c r="P468" s="21" t="str">
        <f>TEXT(CrowdfundingTable[[#This Row],[date_created]],"ddd")</f>
        <v>Wed</v>
      </c>
      <c r="Q468" s="21">
        <f>_xlfn.DAYS(CrowdfundingTable[[#This Row],[date_ended]],CrowdfundingTable[[#This Row],[date_created]])</f>
        <v>23</v>
      </c>
      <c r="R468" s="5" t="b">
        <v>0</v>
      </c>
      <c r="S468" s="5" t="b">
        <v>1</v>
      </c>
      <c r="T468" s="5" t="s">
        <v>65</v>
      </c>
      <c r="U468" s="5" t="s">
        <v>2039</v>
      </c>
      <c r="V468" s="5" t="s">
        <v>2063</v>
      </c>
      <c r="W468" s="5"/>
    </row>
    <row r="469" spans="1:23" ht="17" x14ac:dyDescent="0.2">
      <c r="A469" s="5">
        <v>467</v>
      </c>
      <c r="B469" s="5" t="s">
        <v>982</v>
      </c>
      <c r="C469" s="6" t="s">
        <v>983</v>
      </c>
      <c r="D469" s="94">
        <v>1400</v>
      </c>
      <c r="E469" s="94">
        <v>8053</v>
      </c>
      <c r="F469" s="7">
        <f t="shared" si="31"/>
        <v>5.7521428571428572</v>
      </c>
      <c r="G469" s="5" t="s">
        <v>20</v>
      </c>
      <c r="H469" s="5">
        <v>139</v>
      </c>
      <c r="I469" s="96">
        <f t="shared" si="28"/>
        <v>57.935251798561154</v>
      </c>
      <c r="J469" s="5" t="s">
        <v>15</v>
      </c>
      <c r="K469" s="5" t="s">
        <v>16</v>
      </c>
      <c r="L469" s="5">
        <v>1448258400</v>
      </c>
      <c r="M469" s="5">
        <v>1448863200</v>
      </c>
      <c r="N469" s="8">
        <f t="shared" si="29"/>
        <v>42331.25</v>
      </c>
      <c r="O469" s="8">
        <f t="shared" si="30"/>
        <v>42338.25</v>
      </c>
      <c r="P469" s="21" t="str">
        <f>TEXT(CrowdfundingTable[[#This Row],[date_created]],"ddd")</f>
        <v>Mon</v>
      </c>
      <c r="Q469" s="21">
        <f>_xlfn.DAYS(CrowdfundingTable[[#This Row],[date_ended]],CrowdfundingTable[[#This Row],[date_created]])</f>
        <v>7</v>
      </c>
      <c r="R469" s="5" t="b">
        <v>0</v>
      </c>
      <c r="S469" s="5" t="b">
        <v>1</v>
      </c>
      <c r="T469" s="5" t="s">
        <v>28</v>
      </c>
      <c r="U469" s="5" t="s">
        <v>2039</v>
      </c>
      <c r="V469" s="5" t="s">
        <v>2064</v>
      </c>
      <c r="W469" s="5"/>
    </row>
    <row r="470" spans="1:23" ht="17" x14ac:dyDescent="0.2">
      <c r="A470" s="5">
        <v>468</v>
      </c>
      <c r="B470" s="5" t="s">
        <v>984</v>
      </c>
      <c r="C470" s="6" t="s">
        <v>985</v>
      </c>
      <c r="D470" s="94">
        <v>4000</v>
      </c>
      <c r="E470" s="94">
        <v>1620</v>
      </c>
      <c r="F470" s="7">
        <f t="shared" si="31"/>
        <v>0.40500000000000003</v>
      </c>
      <c r="G470" s="5" t="s">
        <v>14</v>
      </c>
      <c r="H470" s="5">
        <v>16</v>
      </c>
      <c r="I470" s="96">
        <f t="shared" si="28"/>
        <v>101.25</v>
      </c>
      <c r="J470" s="5" t="s">
        <v>21</v>
      </c>
      <c r="K470" s="5" t="s">
        <v>22</v>
      </c>
      <c r="L470" s="5">
        <v>1555218000</v>
      </c>
      <c r="M470" s="5">
        <v>1556600400</v>
      </c>
      <c r="N470" s="8">
        <f t="shared" si="29"/>
        <v>43569.208333333328</v>
      </c>
      <c r="O470" s="8">
        <f t="shared" si="30"/>
        <v>43585.208333333328</v>
      </c>
      <c r="P470" s="21" t="str">
        <f>TEXT(CrowdfundingTable[[#This Row],[date_created]],"ddd")</f>
        <v>Sun</v>
      </c>
      <c r="Q470" s="21">
        <f>_xlfn.DAYS(CrowdfundingTable[[#This Row],[date_ended]],CrowdfundingTable[[#This Row],[date_created]])</f>
        <v>16</v>
      </c>
      <c r="R470" s="5" t="b">
        <v>0</v>
      </c>
      <c r="S470" s="5" t="b">
        <v>0</v>
      </c>
      <c r="T470" s="5" t="s">
        <v>33</v>
      </c>
      <c r="U470" s="5" t="s">
        <v>2040</v>
      </c>
      <c r="V470" s="5" t="s">
        <v>2055</v>
      </c>
      <c r="W470" s="5"/>
    </row>
    <row r="471" spans="1:23" ht="17" x14ac:dyDescent="0.2">
      <c r="A471" s="5">
        <v>469</v>
      </c>
      <c r="B471" s="5" t="s">
        <v>986</v>
      </c>
      <c r="C471" s="6" t="s">
        <v>987</v>
      </c>
      <c r="D471" s="94">
        <v>5600</v>
      </c>
      <c r="E471" s="94">
        <v>10328</v>
      </c>
      <c r="F471" s="7">
        <f t="shared" si="31"/>
        <v>1.8442857142857143</v>
      </c>
      <c r="G471" s="5" t="s">
        <v>20</v>
      </c>
      <c r="H471" s="5">
        <v>159</v>
      </c>
      <c r="I471" s="96">
        <f t="shared" si="28"/>
        <v>64.95597484276729</v>
      </c>
      <c r="J471" s="5" t="s">
        <v>21</v>
      </c>
      <c r="K471" s="5" t="s">
        <v>22</v>
      </c>
      <c r="L471" s="5">
        <v>1431925200</v>
      </c>
      <c r="M471" s="5">
        <v>1432098000</v>
      </c>
      <c r="N471" s="8">
        <f t="shared" si="29"/>
        <v>42142.208333333328</v>
      </c>
      <c r="O471" s="8">
        <f t="shared" si="30"/>
        <v>42144.208333333328</v>
      </c>
      <c r="P471" s="21" t="str">
        <f>TEXT(CrowdfundingTable[[#This Row],[date_created]],"ddd")</f>
        <v>Mon</v>
      </c>
      <c r="Q471" s="21">
        <f>_xlfn.DAYS(CrowdfundingTable[[#This Row],[date_ended]],CrowdfundingTable[[#This Row],[date_created]])</f>
        <v>2</v>
      </c>
      <c r="R471" s="5" t="b">
        <v>0</v>
      </c>
      <c r="S471" s="5" t="b">
        <v>0</v>
      </c>
      <c r="T471" s="5" t="s">
        <v>53</v>
      </c>
      <c r="U471" s="5" t="s">
        <v>2032</v>
      </c>
      <c r="V471" s="5" t="s">
        <v>2045</v>
      </c>
      <c r="W471" s="5"/>
    </row>
    <row r="472" spans="1:23" ht="17" x14ac:dyDescent="0.2">
      <c r="A472" s="5">
        <v>470</v>
      </c>
      <c r="B472" s="5" t="s">
        <v>988</v>
      </c>
      <c r="C472" s="6" t="s">
        <v>989</v>
      </c>
      <c r="D472" s="94">
        <v>3600</v>
      </c>
      <c r="E472" s="94">
        <v>10289</v>
      </c>
      <c r="F472" s="7">
        <f t="shared" si="31"/>
        <v>2.8580555555555556</v>
      </c>
      <c r="G472" s="5" t="s">
        <v>20</v>
      </c>
      <c r="H472" s="5">
        <v>381</v>
      </c>
      <c r="I472" s="96">
        <f t="shared" si="28"/>
        <v>27.00524934383202</v>
      </c>
      <c r="J472" s="5" t="s">
        <v>21</v>
      </c>
      <c r="K472" s="5" t="s">
        <v>22</v>
      </c>
      <c r="L472" s="5">
        <v>1481522400</v>
      </c>
      <c r="M472" s="5">
        <v>1482127200</v>
      </c>
      <c r="N472" s="8">
        <f t="shared" si="29"/>
        <v>42716.25</v>
      </c>
      <c r="O472" s="8">
        <f t="shared" si="30"/>
        <v>42723.25</v>
      </c>
      <c r="P472" s="21" t="str">
        <f>TEXT(CrowdfundingTable[[#This Row],[date_created]],"ddd")</f>
        <v>Mon</v>
      </c>
      <c r="Q472" s="21">
        <f>_xlfn.DAYS(CrowdfundingTable[[#This Row],[date_ended]],CrowdfundingTable[[#This Row],[date_created]])</f>
        <v>7</v>
      </c>
      <c r="R472" s="5" t="b">
        <v>0</v>
      </c>
      <c r="S472" s="5" t="b">
        <v>0</v>
      </c>
      <c r="T472" s="5" t="s">
        <v>65</v>
      </c>
      <c r="U472" s="5" t="s">
        <v>2039</v>
      </c>
      <c r="V472" s="5" t="s">
        <v>2063</v>
      </c>
      <c r="W472" s="5"/>
    </row>
    <row r="473" spans="1:23" ht="17" x14ac:dyDescent="0.2">
      <c r="A473" s="5">
        <v>471</v>
      </c>
      <c r="B473" s="5" t="s">
        <v>446</v>
      </c>
      <c r="C473" s="6" t="s">
        <v>990</v>
      </c>
      <c r="D473" s="94">
        <v>3100</v>
      </c>
      <c r="E473" s="94">
        <v>9889</v>
      </c>
      <c r="F473" s="7">
        <f t="shared" si="31"/>
        <v>3.19</v>
      </c>
      <c r="G473" s="5" t="s">
        <v>20</v>
      </c>
      <c r="H473" s="5">
        <v>194</v>
      </c>
      <c r="I473" s="96">
        <f t="shared" si="28"/>
        <v>50.97422680412371</v>
      </c>
      <c r="J473" s="5" t="s">
        <v>40</v>
      </c>
      <c r="K473" s="5" t="s">
        <v>41</v>
      </c>
      <c r="L473" s="5">
        <v>1335934800</v>
      </c>
      <c r="M473" s="5">
        <v>1335934800</v>
      </c>
      <c r="N473" s="8">
        <f t="shared" si="29"/>
        <v>41031.208333333336</v>
      </c>
      <c r="O473" s="8">
        <f t="shared" si="30"/>
        <v>41031.208333333336</v>
      </c>
      <c r="P473" s="21" t="str">
        <f>TEXT(CrowdfundingTable[[#This Row],[date_created]],"ddd")</f>
        <v>Wed</v>
      </c>
      <c r="Q473" s="21">
        <f>_xlfn.DAYS(CrowdfundingTable[[#This Row],[date_ended]],CrowdfundingTable[[#This Row],[date_created]])</f>
        <v>0</v>
      </c>
      <c r="R473" s="5" t="b">
        <v>0</v>
      </c>
      <c r="S473" s="5" t="b">
        <v>1</v>
      </c>
      <c r="T473" s="5" t="s">
        <v>17</v>
      </c>
      <c r="U473" s="5" t="s">
        <v>2033</v>
      </c>
      <c r="V473" s="5" t="s">
        <v>2048</v>
      </c>
      <c r="W473" s="5"/>
    </row>
    <row r="474" spans="1:23" ht="17" x14ac:dyDescent="0.2">
      <c r="A474" s="5">
        <v>472</v>
      </c>
      <c r="B474" s="5" t="s">
        <v>991</v>
      </c>
      <c r="C474" s="6" t="s">
        <v>992</v>
      </c>
      <c r="D474" s="94">
        <v>153800</v>
      </c>
      <c r="E474" s="94">
        <v>60342</v>
      </c>
      <c r="F474" s="7">
        <f t="shared" si="31"/>
        <v>0.39234070221066319</v>
      </c>
      <c r="G474" s="5" t="s">
        <v>14</v>
      </c>
      <c r="H474" s="5">
        <v>575</v>
      </c>
      <c r="I474" s="96">
        <f t="shared" si="28"/>
        <v>104.94260869565217</v>
      </c>
      <c r="J474" s="5" t="s">
        <v>21</v>
      </c>
      <c r="K474" s="5" t="s">
        <v>22</v>
      </c>
      <c r="L474" s="5">
        <v>1552280400</v>
      </c>
      <c r="M474" s="5">
        <v>1556946000</v>
      </c>
      <c r="N474" s="8">
        <f t="shared" si="29"/>
        <v>43535.208333333328</v>
      </c>
      <c r="O474" s="8">
        <f t="shared" si="30"/>
        <v>43589.208333333328</v>
      </c>
      <c r="P474" s="21" t="str">
        <f>TEXT(CrowdfundingTable[[#This Row],[date_created]],"ddd")</f>
        <v>Mon</v>
      </c>
      <c r="Q474" s="21">
        <f>_xlfn.DAYS(CrowdfundingTable[[#This Row],[date_ended]],CrowdfundingTable[[#This Row],[date_created]])</f>
        <v>54</v>
      </c>
      <c r="R474" s="5" t="b">
        <v>0</v>
      </c>
      <c r="S474" s="5" t="b">
        <v>0</v>
      </c>
      <c r="T474" s="5" t="s">
        <v>23</v>
      </c>
      <c r="U474" s="5" t="s">
        <v>2036</v>
      </c>
      <c r="V474" s="5" t="s">
        <v>2057</v>
      </c>
      <c r="W474" s="5"/>
    </row>
    <row r="475" spans="1:23" ht="17" x14ac:dyDescent="0.2">
      <c r="A475" s="5">
        <v>473</v>
      </c>
      <c r="B475" s="5" t="s">
        <v>993</v>
      </c>
      <c r="C475" s="6" t="s">
        <v>994</v>
      </c>
      <c r="D475" s="94">
        <v>5000</v>
      </c>
      <c r="E475" s="94">
        <v>8907</v>
      </c>
      <c r="F475" s="7">
        <f t="shared" si="31"/>
        <v>1.7814000000000001</v>
      </c>
      <c r="G475" s="5" t="s">
        <v>20</v>
      </c>
      <c r="H475" s="5">
        <v>106</v>
      </c>
      <c r="I475" s="96">
        <f t="shared" si="28"/>
        <v>84.028301886792448</v>
      </c>
      <c r="J475" s="5" t="s">
        <v>21</v>
      </c>
      <c r="K475" s="5" t="s">
        <v>22</v>
      </c>
      <c r="L475" s="5">
        <v>1529989200</v>
      </c>
      <c r="M475" s="5">
        <v>1530075600</v>
      </c>
      <c r="N475" s="8">
        <f t="shared" si="29"/>
        <v>43277.208333333328</v>
      </c>
      <c r="O475" s="8">
        <f t="shared" si="30"/>
        <v>43278.208333333328</v>
      </c>
      <c r="P475" s="21" t="str">
        <f>TEXT(CrowdfundingTable[[#This Row],[date_created]],"ddd")</f>
        <v>Tue</v>
      </c>
      <c r="Q475" s="21">
        <f>_xlfn.DAYS(CrowdfundingTable[[#This Row],[date_ended]],CrowdfundingTable[[#This Row],[date_created]])</f>
        <v>1</v>
      </c>
      <c r="R475" s="5" t="b">
        <v>0</v>
      </c>
      <c r="S475" s="5" t="b">
        <v>0</v>
      </c>
      <c r="T475" s="5" t="s">
        <v>50</v>
      </c>
      <c r="U475" s="5" t="s">
        <v>2036</v>
      </c>
      <c r="V475" s="5" t="s">
        <v>2046</v>
      </c>
      <c r="W475" s="5"/>
    </row>
    <row r="476" spans="1:23" ht="17" x14ac:dyDescent="0.2">
      <c r="A476" s="5">
        <v>474</v>
      </c>
      <c r="B476" s="5" t="s">
        <v>995</v>
      </c>
      <c r="C476" s="6" t="s">
        <v>996</v>
      </c>
      <c r="D476" s="94">
        <v>4000</v>
      </c>
      <c r="E476" s="94">
        <v>14606</v>
      </c>
      <c r="F476" s="7">
        <f t="shared" si="31"/>
        <v>3.6515</v>
      </c>
      <c r="G476" s="5" t="s">
        <v>20</v>
      </c>
      <c r="H476" s="5">
        <v>142</v>
      </c>
      <c r="I476" s="96">
        <f t="shared" si="28"/>
        <v>102.85915492957747</v>
      </c>
      <c r="J476" s="5" t="s">
        <v>21</v>
      </c>
      <c r="K476" s="5" t="s">
        <v>22</v>
      </c>
      <c r="L476" s="5">
        <v>1418709600</v>
      </c>
      <c r="M476" s="5">
        <v>1418796000</v>
      </c>
      <c r="N476" s="8">
        <f t="shared" si="29"/>
        <v>41989.25</v>
      </c>
      <c r="O476" s="8">
        <f t="shared" si="30"/>
        <v>41990.25</v>
      </c>
      <c r="P476" s="21" t="str">
        <f>TEXT(CrowdfundingTable[[#This Row],[date_created]],"ddd")</f>
        <v>Tue</v>
      </c>
      <c r="Q476" s="21">
        <f>_xlfn.DAYS(CrowdfundingTable[[#This Row],[date_ended]],CrowdfundingTable[[#This Row],[date_created]])</f>
        <v>1</v>
      </c>
      <c r="R476" s="5" t="b">
        <v>0</v>
      </c>
      <c r="S476" s="5" t="b">
        <v>0</v>
      </c>
      <c r="T476" s="5" t="s">
        <v>269</v>
      </c>
      <c r="U476" s="5" t="s">
        <v>2032</v>
      </c>
      <c r="V476" s="5" t="s">
        <v>2060</v>
      </c>
      <c r="W476" s="5"/>
    </row>
    <row r="477" spans="1:23" ht="34" x14ac:dyDescent="0.2">
      <c r="A477" s="5">
        <v>475</v>
      </c>
      <c r="B477" s="5" t="s">
        <v>997</v>
      </c>
      <c r="C477" s="6" t="s">
        <v>998</v>
      </c>
      <c r="D477" s="94">
        <v>7400</v>
      </c>
      <c r="E477" s="94">
        <v>8432</v>
      </c>
      <c r="F477" s="7">
        <f t="shared" si="31"/>
        <v>1.1394594594594594</v>
      </c>
      <c r="G477" s="5" t="s">
        <v>20</v>
      </c>
      <c r="H477" s="5">
        <v>211</v>
      </c>
      <c r="I477" s="96">
        <f t="shared" si="28"/>
        <v>39.962085308056871</v>
      </c>
      <c r="J477" s="5" t="s">
        <v>21</v>
      </c>
      <c r="K477" s="5" t="s">
        <v>22</v>
      </c>
      <c r="L477" s="5">
        <v>1372136400</v>
      </c>
      <c r="M477" s="5">
        <v>1372482000</v>
      </c>
      <c r="N477" s="8">
        <f t="shared" si="29"/>
        <v>41450.208333333336</v>
      </c>
      <c r="O477" s="8">
        <f t="shared" si="30"/>
        <v>41454.208333333336</v>
      </c>
      <c r="P477" s="21" t="str">
        <f>TEXT(CrowdfundingTable[[#This Row],[date_created]],"ddd")</f>
        <v>Tue</v>
      </c>
      <c r="Q477" s="21">
        <f>_xlfn.DAYS(CrowdfundingTable[[#This Row],[date_ended]],CrowdfundingTable[[#This Row],[date_created]])</f>
        <v>4</v>
      </c>
      <c r="R477" s="5" t="b">
        <v>0</v>
      </c>
      <c r="S477" s="5" t="b">
        <v>1</v>
      </c>
      <c r="T477" s="5" t="s">
        <v>206</v>
      </c>
      <c r="U477" s="5" t="s">
        <v>2038</v>
      </c>
      <c r="V477" s="5" t="s">
        <v>2061</v>
      </c>
      <c r="W477" s="5"/>
    </row>
    <row r="478" spans="1:23" ht="17" x14ac:dyDescent="0.2">
      <c r="A478" s="5">
        <v>476</v>
      </c>
      <c r="B478" s="5" t="s">
        <v>999</v>
      </c>
      <c r="C478" s="6" t="s">
        <v>1000</v>
      </c>
      <c r="D478" s="94">
        <v>191500</v>
      </c>
      <c r="E478" s="94">
        <v>57122</v>
      </c>
      <c r="F478" s="7">
        <f t="shared" si="31"/>
        <v>0.29828720626631855</v>
      </c>
      <c r="G478" s="5" t="s">
        <v>14</v>
      </c>
      <c r="H478" s="5">
        <v>1120</v>
      </c>
      <c r="I478" s="96">
        <f t="shared" si="28"/>
        <v>51.001785714285717</v>
      </c>
      <c r="J478" s="5" t="s">
        <v>21</v>
      </c>
      <c r="K478" s="5" t="s">
        <v>22</v>
      </c>
      <c r="L478" s="5">
        <v>1533877200</v>
      </c>
      <c r="M478" s="5">
        <v>1534395600</v>
      </c>
      <c r="N478" s="8">
        <f t="shared" si="29"/>
        <v>43322.208333333328</v>
      </c>
      <c r="O478" s="8">
        <f t="shared" si="30"/>
        <v>43328.208333333328</v>
      </c>
      <c r="P478" s="21" t="str">
        <f>TEXT(CrowdfundingTable[[#This Row],[date_created]],"ddd")</f>
        <v>Fri</v>
      </c>
      <c r="Q478" s="21">
        <f>_xlfn.DAYS(CrowdfundingTable[[#This Row],[date_ended]],CrowdfundingTable[[#This Row],[date_created]])</f>
        <v>6</v>
      </c>
      <c r="R478" s="5" t="b">
        <v>0</v>
      </c>
      <c r="S478" s="5" t="b">
        <v>0</v>
      </c>
      <c r="T478" s="5" t="s">
        <v>119</v>
      </c>
      <c r="U478" s="5" t="s">
        <v>2038</v>
      </c>
      <c r="V478" s="5" t="s">
        <v>2047</v>
      </c>
      <c r="W478" s="5"/>
    </row>
    <row r="479" spans="1:23" ht="17" x14ac:dyDescent="0.2">
      <c r="A479" s="5">
        <v>477</v>
      </c>
      <c r="B479" s="5" t="s">
        <v>1001</v>
      </c>
      <c r="C479" s="6" t="s">
        <v>1002</v>
      </c>
      <c r="D479" s="94">
        <v>8500</v>
      </c>
      <c r="E479" s="94">
        <v>4613</v>
      </c>
      <c r="F479" s="7">
        <f t="shared" si="31"/>
        <v>0.54270588235294115</v>
      </c>
      <c r="G479" s="5" t="s">
        <v>14</v>
      </c>
      <c r="H479" s="5">
        <v>113</v>
      </c>
      <c r="I479" s="96">
        <f t="shared" si="28"/>
        <v>40.823008849557525</v>
      </c>
      <c r="J479" s="5" t="s">
        <v>21</v>
      </c>
      <c r="K479" s="5" t="s">
        <v>22</v>
      </c>
      <c r="L479" s="5">
        <v>1309064400</v>
      </c>
      <c r="M479" s="5">
        <v>1311397200</v>
      </c>
      <c r="N479" s="8">
        <f t="shared" si="29"/>
        <v>40720.208333333336</v>
      </c>
      <c r="O479" s="8">
        <f t="shared" si="30"/>
        <v>40747.208333333336</v>
      </c>
      <c r="P479" s="21" t="str">
        <f>TEXT(CrowdfundingTable[[#This Row],[date_created]],"ddd")</f>
        <v>Sun</v>
      </c>
      <c r="Q479" s="21">
        <f>_xlfn.DAYS(CrowdfundingTable[[#This Row],[date_ended]],CrowdfundingTable[[#This Row],[date_created]])</f>
        <v>27</v>
      </c>
      <c r="R479" s="5" t="b">
        <v>0</v>
      </c>
      <c r="S479" s="5" t="b">
        <v>0</v>
      </c>
      <c r="T479" s="5" t="s">
        <v>474</v>
      </c>
      <c r="U479" s="5" t="s">
        <v>2032</v>
      </c>
      <c r="V479" s="5" t="s">
        <v>2058</v>
      </c>
      <c r="W479" s="5"/>
    </row>
    <row r="480" spans="1:23" ht="17" x14ac:dyDescent="0.2">
      <c r="A480" s="5">
        <v>478</v>
      </c>
      <c r="B480" s="5" t="s">
        <v>1003</v>
      </c>
      <c r="C480" s="6" t="s">
        <v>1004</v>
      </c>
      <c r="D480" s="94">
        <v>68800</v>
      </c>
      <c r="E480" s="94">
        <v>162603</v>
      </c>
      <c r="F480" s="7">
        <f t="shared" si="31"/>
        <v>2.3634156976744185</v>
      </c>
      <c r="G480" s="5" t="s">
        <v>20</v>
      </c>
      <c r="H480" s="5">
        <v>2756</v>
      </c>
      <c r="I480" s="96">
        <f t="shared" si="28"/>
        <v>58.999637155297535</v>
      </c>
      <c r="J480" s="5" t="s">
        <v>21</v>
      </c>
      <c r="K480" s="5" t="s">
        <v>22</v>
      </c>
      <c r="L480" s="5">
        <v>1425877200</v>
      </c>
      <c r="M480" s="5">
        <v>1426914000</v>
      </c>
      <c r="N480" s="8">
        <f t="shared" si="29"/>
        <v>42072.208333333328</v>
      </c>
      <c r="O480" s="8">
        <f t="shared" si="30"/>
        <v>42084.208333333328</v>
      </c>
      <c r="P480" s="21" t="str">
        <f>TEXT(CrowdfundingTable[[#This Row],[date_created]],"ddd")</f>
        <v>Mon</v>
      </c>
      <c r="Q480" s="21">
        <f>_xlfn.DAYS(CrowdfundingTable[[#This Row],[date_ended]],CrowdfundingTable[[#This Row],[date_created]])</f>
        <v>12</v>
      </c>
      <c r="R480" s="5" t="b">
        <v>0</v>
      </c>
      <c r="S480" s="5" t="b">
        <v>0</v>
      </c>
      <c r="T480" s="5" t="s">
        <v>65</v>
      </c>
      <c r="U480" s="5" t="s">
        <v>2039</v>
      </c>
      <c r="V480" s="5" t="s">
        <v>2063</v>
      </c>
      <c r="W480" s="5"/>
    </row>
    <row r="481" spans="1:23" ht="17" x14ac:dyDescent="0.2">
      <c r="A481" s="5">
        <v>479</v>
      </c>
      <c r="B481" s="5" t="s">
        <v>1005</v>
      </c>
      <c r="C481" s="6" t="s">
        <v>1006</v>
      </c>
      <c r="D481" s="94">
        <v>2400</v>
      </c>
      <c r="E481" s="94">
        <v>12310</v>
      </c>
      <c r="F481" s="7">
        <f t="shared" si="31"/>
        <v>5.1291666666666664</v>
      </c>
      <c r="G481" s="5" t="s">
        <v>20</v>
      </c>
      <c r="H481" s="5">
        <v>173</v>
      </c>
      <c r="I481" s="96">
        <f t="shared" si="28"/>
        <v>71.156069364161851</v>
      </c>
      <c r="J481" s="5" t="s">
        <v>40</v>
      </c>
      <c r="K481" s="5" t="s">
        <v>41</v>
      </c>
      <c r="L481" s="5">
        <v>1501304400</v>
      </c>
      <c r="M481" s="5">
        <v>1501477200</v>
      </c>
      <c r="N481" s="8">
        <f t="shared" si="29"/>
        <v>42945.208333333328</v>
      </c>
      <c r="O481" s="8">
        <f t="shared" si="30"/>
        <v>42947.208333333328</v>
      </c>
      <c r="P481" s="21" t="str">
        <f>TEXT(CrowdfundingTable[[#This Row],[date_created]],"ddd")</f>
        <v>Sat</v>
      </c>
      <c r="Q481" s="21">
        <f>_xlfn.DAYS(CrowdfundingTable[[#This Row],[date_ended]],CrowdfundingTable[[#This Row],[date_created]])</f>
        <v>2</v>
      </c>
      <c r="R481" s="5" t="b">
        <v>0</v>
      </c>
      <c r="S481" s="5" t="b">
        <v>0</v>
      </c>
      <c r="T481" s="5" t="s">
        <v>17</v>
      </c>
      <c r="U481" s="5" t="s">
        <v>2033</v>
      </c>
      <c r="V481" s="5" t="s">
        <v>2048</v>
      </c>
      <c r="W481" s="5"/>
    </row>
    <row r="482" spans="1:23" ht="17" x14ac:dyDescent="0.2">
      <c r="A482" s="5">
        <v>480</v>
      </c>
      <c r="B482" s="5" t="s">
        <v>1007</v>
      </c>
      <c r="C482" s="6" t="s">
        <v>1008</v>
      </c>
      <c r="D482" s="94">
        <v>8600</v>
      </c>
      <c r="E482" s="94">
        <v>8656</v>
      </c>
      <c r="F482" s="7">
        <f t="shared" si="31"/>
        <v>1.0065116279069768</v>
      </c>
      <c r="G482" s="5" t="s">
        <v>20</v>
      </c>
      <c r="H482" s="5">
        <v>87</v>
      </c>
      <c r="I482" s="96">
        <f t="shared" si="28"/>
        <v>99.494252873563212</v>
      </c>
      <c r="J482" s="5" t="s">
        <v>21</v>
      </c>
      <c r="K482" s="5" t="s">
        <v>22</v>
      </c>
      <c r="L482" s="5">
        <v>1268287200</v>
      </c>
      <c r="M482" s="5">
        <v>1269061200</v>
      </c>
      <c r="N482" s="8">
        <f t="shared" si="29"/>
        <v>40248.25</v>
      </c>
      <c r="O482" s="8">
        <f t="shared" si="30"/>
        <v>40257.208333333336</v>
      </c>
      <c r="P482" s="21" t="str">
        <f>TEXT(CrowdfundingTable[[#This Row],[date_created]],"ddd")</f>
        <v>Thu</v>
      </c>
      <c r="Q482" s="21">
        <f>_xlfn.DAYS(CrowdfundingTable[[#This Row],[date_ended]],CrowdfundingTable[[#This Row],[date_created]])</f>
        <v>9</v>
      </c>
      <c r="R482" s="5" t="b">
        <v>0</v>
      </c>
      <c r="S482" s="5" t="b">
        <v>1</v>
      </c>
      <c r="T482" s="5" t="s">
        <v>122</v>
      </c>
      <c r="U482" s="5" t="s">
        <v>2037</v>
      </c>
      <c r="V482" s="5" t="s">
        <v>2054</v>
      </c>
      <c r="W482" s="5"/>
    </row>
    <row r="483" spans="1:23" ht="17" x14ac:dyDescent="0.2">
      <c r="A483" s="5">
        <v>481</v>
      </c>
      <c r="B483" s="5" t="s">
        <v>1009</v>
      </c>
      <c r="C483" s="6" t="s">
        <v>1010</v>
      </c>
      <c r="D483" s="94">
        <v>196600</v>
      </c>
      <c r="E483" s="94">
        <v>159931</v>
      </c>
      <c r="F483" s="7">
        <f t="shared" si="31"/>
        <v>0.81348423194303154</v>
      </c>
      <c r="G483" s="5" t="s">
        <v>14</v>
      </c>
      <c r="H483" s="5">
        <v>1538</v>
      </c>
      <c r="I483" s="96">
        <f t="shared" si="28"/>
        <v>103.98634590377114</v>
      </c>
      <c r="J483" s="5" t="s">
        <v>21</v>
      </c>
      <c r="K483" s="5" t="s">
        <v>22</v>
      </c>
      <c r="L483" s="5">
        <v>1412139600</v>
      </c>
      <c r="M483" s="5">
        <v>1415772000</v>
      </c>
      <c r="N483" s="8">
        <f t="shared" si="29"/>
        <v>41913.208333333336</v>
      </c>
      <c r="O483" s="8">
        <f t="shared" si="30"/>
        <v>41955.25</v>
      </c>
      <c r="P483" s="21" t="str">
        <f>TEXT(CrowdfundingTable[[#This Row],[date_created]],"ddd")</f>
        <v>Wed</v>
      </c>
      <c r="Q483" s="21">
        <f>_xlfn.DAYS(CrowdfundingTable[[#This Row],[date_ended]],CrowdfundingTable[[#This Row],[date_created]])</f>
        <v>42</v>
      </c>
      <c r="R483" s="5" t="b">
        <v>0</v>
      </c>
      <c r="S483" s="5" t="b">
        <v>1</v>
      </c>
      <c r="T483" s="5" t="s">
        <v>33</v>
      </c>
      <c r="U483" s="5" t="s">
        <v>2040</v>
      </c>
      <c r="V483" s="5" t="s">
        <v>2055</v>
      </c>
      <c r="W483" s="5"/>
    </row>
    <row r="484" spans="1:23" ht="17" x14ac:dyDescent="0.2">
      <c r="A484" s="5">
        <v>482</v>
      </c>
      <c r="B484" s="5" t="s">
        <v>1011</v>
      </c>
      <c r="C484" s="6" t="s">
        <v>1012</v>
      </c>
      <c r="D484" s="94">
        <v>4200</v>
      </c>
      <c r="E484" s="94">
        <v>689</v>
      </c>
      <c r="F484" s="7">
        <f t="shared" si="31"/>
        <v>0.16404761904761905</v>
      </c>
      <c r="G484" s="5" t="s">
        <v>14</v>
      </c>
      <c r="H484" s="5">
        <v>9</v>
      </c>
      <c r="I484" s="96">
        <f t="shared" si="28"/>
        <v>76.555555555555557</v>
      </c>
      <c r="J484" s="5" t="s">
        <v>21</v>
      </c>
      <c r="K484" s="5" t="s">
        <v>22</v>
      </c>
      <c r="L484" s="5">
        <v>1330063200</v>
      </c>
      <c r="M484" s="5">
        <v>1331013600</v>
      </c>
      <c r="N484" s="8">
        <f t="shared" si="29"/>
        <v>40963.25</v>
      </c>
      <c r="O484" s="8">
        <f t="shared" si="30"/>
        <v>40974.25</v>
      </c>
      <c r="P484" s="21" t="str">
        <f>TEXT(CrowdfundingTable[[#This Row],[date_created]],"ddd")</f>
        <v>Fri</v>
      </c>
      <c r="Q484" s="21">
        <f>_xlfn.DAYS(CrowdfundingTable[[#This Row],[date_ended]],CrowdfundingTable[[#This Row],[date_created]])</f>
        <v>11</v>
      </c>
      <c r="R484" s="5" t="b">
        <v>0</v>
      </c>
      <c r="S484" s="5" t="b">
        <v>1</v>
      </c>
      <c r="T484" s="5" t="s">
        <v>119</v>
      </c>
      <c r="U484" s="5" t="s">
        <v>2038</v>
      </c>
      <c r="V484" s="5" t="s">
        <v>2047</v>
      </c>
      <c r="W484" s="5"/>
    </row>
    <row r="485" spans="1:23" ht="17" x14ac:dyDescent="0.2">
      <c r="A485" s="5">
        <v>483</v>
      </c>
      <c r="B485" s="5" t="s">
        <v>1013</v>
      </c>
      <c r="C485" s="6" t="s">
        <v>1014</v>
      </c>
      <c r="D485" s="94">
        <v>91400</v>
      </c>
      <c r="E485" s="94">
        <v>48236</v>
      </c>
      <c r="F485" s="7">
        <f t="shared" si="31"/>
        <v>0.52774617067833696</v>
      </c>
      <c r="G485" s="5" t="s">
        <v>14</v>
      </c>
      <c r="H485" s="5">
        <v>554</v>
      </c>
      <c r="I485" s="96">
        <f t="shared" si="28"/>
        <v>87.068592057761734</v>
      </c>
      <c r="J485" s="5" t="s">
        <v>21</v>
      </c>
      <c r="K485" s="5" t="s">
        <v>22</v>
      </c>
      <c r="L485" s="5">
        <v>1576130400</v>
      </c>
      <c r="M485" s="5">
        <v>1576735200</v>
      </c>
      <c r="N485" s="8">
        <f t="shared" si="29"/>
        <v>43811.25</v>
      </c>
      <c r="O485" s="8">
        <f t="shared" si="30"/>
        <v>43818.25</v>
      </c>
      <c r="P485" s="21" t="str">
        <f>TEXT(CrowdfundingTable[[#This Row],[date_created]],"ddd")</f>
        <v>Thu</v>
      </c>
      <c r="Q485" s="21">
        <f>_xlfn.DAYS(CrowdfundingTable[[#This Row],[date_ended]],CrowdfundingTable[[#This Row],[date_created]])</f>
        <v>7</v>
      </c>
      <c r="R485" s="5" t="b">
        <v>0</v>
      </c>
      <c r="S485" s="5" t="b">
        <v>0</v>
      </c>
      <c r="T485" s="5" t="s">
        <v>33</v>
      </c>
      <c r="U485" s="5" t="s">
        <v>2040</v>
      </c>
      <c r="V485" s="5" t="s">
        <v>2055</v>
      </c>
      <c r="W485" s="5"/>
    </row>
    <row r="486" spans="1:23" ht="17" x14ac:dyDescent="0.2">
      <c r="A486" s="5">
        <v>484</v>
      </c>
      <c r="B486" s="5" t="s">
        <v>1015</v>
      </c>
      <c r="C486" s="6" t="s">
        <v>1016</v>
      </c>
      <c r="D486" s="94">
        <v>29600</v>
      </c>
      <c r="E486" s="94">
        <v>77021</v>
      </c>
      <c r="F486" s="7">
        <f t="shared" si="31"/>
        <v>2.6020608108108108</v>
      </c>
      <c r="G486" s="5" t="s">
        <v>20</v>
      </c>
      <c r="H486" s="5">
        <v>1572</v>
      </c>
      <c r="I486" s="96">
        <f t="shared" si="28"/>
        <v>48.99554707379135</v>
      </c>
      <c r="J486" s="5" t="s">
        <v>40</v>
      </c>
      <c r="K486" s="5" t="s">
        <v>41</v>
      </c>
      <c r="L486" s="5">
        <v>1407128400</v>
      </c>
      <c r="M486" s="5">
        <v>1411362000</v>
      </c>
      <c r="N486" s="8">
        <f t="shared" si="29"/>
        <v>41855.208333333336</v>
      </c>
      <c r="O486" s="8">
        <f t="shared" si="30"/>
        <v>41904.208333333336</v>
      </c>
      <c r="P486" s="21" t="str">
        <f>TEXT(CrowdfundingTable[[#This Row],[date_created]],"ddd")</f>
        <v>Mon</v>
      </c>
      <c r="Q486" s="21">
        <f>_xlfn.DAYS(CrowdfundingTable[[#This Row],[date_ended]],CrowdfundingTable[[#This Row],[date_created]])</f>
        <v>49</v>
      </c>
      <c r="R486" s="5" t="b">
        <v>0</v>
      </c>
      <c r="S486" s="5" t="b">
        <v>1</v>
      </c>
      <c r="T486" s="5" t="s">
        <v>17</v>
      </c>
      <c r="U486" s="5" t="s">
        <v>2033</v>
      </c>
      <c r="V486" s="5" t="s">
        <v>2048</v>
      </c>
      <c r="W486" s="5"/>
    </row>
    <row r="487" spans="1:23" ht="17" x14ac:dyDescent="0.2">
      <c r="A487" s="5">
        <v>485</v>
      </c>
      <c r="B487" s="5" t="s">
        <v>1017</v>
      </c>
      <c r="C487" s="6" t="s">
        <v>1018</v>
      </c>
      <c r="D487" s="94">
        <v>90600</v>
      </c>
      <c r="E487" s="94">
        <v>27844</v>
      </c>
      <c r="F487" s="7">
        <f t="shared" si="31"/>
        <v>0.30732891832229581</v>
      </c>
      <c r="G487" s="5" t="s">
        <v>14</v>
      </c>
      <c r="H487" s="5">
        <v>648</v>
      </c>
      <c r="I487" s="96">
        <f t="shared" si="28"/>
        <v>42.969135802469133</v>
      </c>
      <c r="J487" s="5" t="s">
        <v>40</v>
      </c>
      <c r="K487" s="5" t="s">
        <v>41</v>
      </c>
      <c r="L487" s="5">
        <v>1560142800</v>
      </c>
      <c r="M487" s="5">
        <v>1563685200</v>
      </c>
      <c r="N487" s="8">
        <f t="shared" si="29"/>
        <v>43626.208333333328</v>
      </c>
      <c r="O487" s="8">
        <f t="shared" si="30"/>
        <v>43667.208333333328</v>
      </c>
      <c r="P487" s="21" t="str">
        <f>TEXT(CrowdfundingTable[[#This Row],[date_created]],"ddd")</f>
        <v>Mon</v>
      </c>
      <c r="Q487" s="21">
        <f>_xlfn.DAYS(CrowdfundingTable[[#This Row],[date_ended]],CrowdfundingTable[[#This Row],[date_created]])</f>
        <v>41</v>
      </c>
      <c r="R487" s="5" t="b">
        <v>0</v>
      </c>
      <c r="S487" s="5" t="b">
        <v>0</v>
      </c>
      <c r="T487" s="5" t="s">
        <v>33</v>
      </c>
      <c r="U487" s="5" t="s">
        <v>2040</v>
      </c>
      <c r="V487" s="5" t="s">
        <v>2055</v>
      </c>
      <c r="W487" s="5"/>
    </row>
    <row r="488" spans="1:23" ht="34" x14ac:dyDescent="0.2">
      <c r="A488" s="5">
        <v>486</v>
      </c>
      <c r="B488" s="5" t="s">
        <v>1019</v>
      </c>
      <c r="C488" s="6" t="s">
        <v>1020</v>
      </c>
      <c r="D488" s="94">
        <v>5200</v>
      </c>
      <c r="E488" s="94">
        <v>702</v>
      </c>
      <c r="F488" s="7">
        <f t="shared" si="31"/>
        <v>0.13500000000000001</v>
      </c>
      <c r="G488" s="5" t="s">
        <v>14</v>
      </c>
      <c r="H488" s="5">
        <v>21</v>
      </c>
      <c r="I488" s="96">
        <f t="shared" si="28"/>
        <v>33.428571428571431</v>
      </c>
      <c r="J488" s="5" t="s">
        <v>40</v>
      </c>
      <c r="K488" s="5" t="s">
        <v>41</v>
      </c>
      <c r="L488" s="5">
        <v>1520575200</v>
      </c>
      <c r="M488" s="5">
        <v>1521867600</v>
      </c>
      <c r="N488" s="8">
        <f t="shared" si="29"/>
        <v>43168.25</v>
      </c>
      <c r="O488" s="8">
        <f t="shared" si="30"/>
        <v>43183.208333333328</v>
      </c>
      <c r="P488" s="21" t="str">
        <f>TEXT(CrowdfundingTable[[#This Row],[date_created]],"ddd")</f>
        <v>Fri</v>
      </c>
      <c r="Q488" s="21">
        <f>_xlfn.DAYS(CrowdfundingTable[[#This Row],[date_ended]],CrowdfundingTable[[#This Row],[date_created]])</f>
        <v>15</v>
      </c>
      <c r="R488" s="5" t="b">
        <v>0</v>
      </c>
      <c r="S488" s="5" t="b">
        <v>1</v>
      </c>
      <c r="T488" s="5" t="s">
        <v>206</v>
      </c>
      <c r="U488" s="5" t="s">
        <v>2038</v>
      </c>
      <c r="V488" s="5" t="s">
        <v>2061</v>
      </c>
      <c r="W488" s="5"/>
    </row>
    <row r="489" spans="1:23" ht="17" x14ac:dyDescent="0.2">
      <c r="A489" s="5">
        <v>487</v>
      </c>
      <c r="B489" s="5" t="s">
        <v>1021</v>
      </c>
      <c r="C489" s="6" t="s">
        <v>1022</v>
      </c>
      <c r="D489" s="94">
        <v>110300</v>
      </c>
      <c r="E489" s="94">
        <v>197024</v>
      </c>
      <c r="F489" s="7">
        <f t="shared" si="31"/>
        <v>1.7862556663644606</v>
      </c>
      <c r="G489" s="5" t="s">
        <v>20</v>
      </c>
      <c r="H489" s="5">
        <v>2346</v>
      </c>
      <c r="I489" s="96">
        <f t="shared" si="28"/>
        <v>83.982949701619773</v>
      </c>
      <c r="J489" s="5" t="s">
        <v>21</v>
      </c>
      <c r="K489" s="5" t="s">
        <v>22</v>
      </c>
      <c r="L489" s="5">
        <v>1492664400</v>
      </c>
      <c r="M489" s="5">
        <v>1495515600</v>
      </c>
      <c r="N489" s="8">
        <f t="shared" si="29"/>
        <v>42845.208333333328</v>
      </c>
      <c r="O489" s="8">
        <f t="shared" si="30"/>
        <v>42878.208333333328</v>
      </c>
      <c r="P489" s="21" t="str">
        <f>TEXT(CrowdfundingTable[[#This Row],[date_created]],"ddd")</f>
        <v>Thu</v>
      </c>
      <c r="Q489" s="21">
        <f>_xlfn.DAYS(CrowdfundingTable[[#This Row],[date_ended]],CrowdfundingTable[[#This Row],[date_created]])</f>
        <v>33</v>
      </c>
      <c r="R489" s="5" t="b">
        <v>0</v>
      </c>
      <c r="S489" s="5" t="b">
        <v>0</v>
      </c>
      <c r="T489" s="5" t="s">
        <v>33</v>
      </c>
      <c r="U489" s="5" t="s">
        <v>2040</v>
      </c>
      <c r="V489" s="5" t="s">
        <v>2055</v>
      </c>
      <c r="W489" s="5"/>
    </row>
    <row r="490" spans="1:23" ht="17" x14ac:dyDescent="0.2">
      <c r="A490" s="5">
        <v>488</v>
      </c>
      <c r="B490" s="5" t="s">
        <v>1023</v>
      </c>
      <c r="C490" s="6" t="s">
        <v>1024</v>
      </c>
      <c r="D490" s="94">
        <v>5300</v>
      </c>
      <c r="E490" s="94">
        <v>11663</v>
      </c>
      <c r="F490" s="7">
        <f t="shared" si="31"/>
        <v>2.2005660377358489</v>
      </c>
      <c r="G490" s="5" t="s">
        <v>20</v>
      </c>
      <c r="H490" s="5">
        <v>115</v>
      </c>
      <c r="I490" s="96">
        <f t="shared" si="28"/>
        <v>101.41739130434783</v>
      </c>
      <c r="J490" s="5" t="s">
        <v>21</v>
      </c>
      <c r="K490" s="5" t="s">
        <v>22</v>
      </c>
      <c r="L490" s="5">
        <v>1454479200</v>
      </c>
      <c r="M490" s="5">
        <v>1455948000</v>
      </c>
      <c r="N490" s="8">
        <f t="shared" si="29"/>
        <v>42403.25</v>
      </c>
      <c r="O490" s="8">
        <f t="shared" si="30"/>
        <v>42420.25</v>
      </c>
      <c r="P490" s="21" t="str">
        <f>TEXT(CrowdfundingTable[[#This Row],[date_created]],"ddd")</f>
        <v>Wed</v>
      </c>
      <c r="Q490" s="21">
        <f>_xlfn.DAYS(CrowdfundingTable[[#This Row],[date_ended]],CrowdfundingTable[[#This Row],[date_created]])</f>
        <v>17</v>
      </c>
      <c r="R490" s="5" t="b">
        <v>0</v>
      </c>
      <c r="S490" s="5" t="b">
        <v>0</v>
      </c>
      <c r="T490" s="5" t="s">
        <v>33</v>
      </c>
      <c r="U490" s="5" t="s">
        <v>2040</v>
      </c>
      <c r="V490" s="5" t="s">
        <v>2055</v>
      </c>
      <c r="W490" s="5"/>
    </row>
    <row r="491" spans="1:23" ht="17" x14ac:dyDescent="0.2">
      <c r="A491" s="5">
        <v>489</v>
      </c>
      <c r="B491" s="5" t="s">
        <v>1025</v>
      </c>
      <c r="C491" s="6" t="s">
        <v>1026</v>
      </c>
      <c r="D491" s="94">
        <v>9200</v>
      </c>
      <c r="E491" s="94">
        <v>9339</v>
      </c>
      <c r="F491" s="7">
        <f t="shared" si="31"/>
        <v>1.015108695652174</v>
      </c>
      <c r="G491" s="5" t="s">
        <v>20</v>
      </c>
      <c r="H491" s="5">
        <v>85</v>
      </c>
      <c r="I491" s="96">
        <f t="shared" si="28"/>
        <v>109.87058823529412</v>
      </c>
      <c r="J491" s="5" t="s">
        <v>107</v>
      </c>
      <c r="K491" s="5" t="s">
        <v>108</v>
      </c>
      <c r="L491" s="5">
        <v>1281934800</v>
      </c>
      <c r="M491" s="5">
        <v>1282366800</v>
      </c>
      <c r="N491" s="8">
        <f t="shared" si="29"/>
        <v>40406.208333333336</v>
      </c>
      <c r="O491" s="8">
        <f t="shared" si="30"/>
        <v>40411.208333333336</v>
      </c>
      <c r="P491" s="21" t="str">
        <f>TEXT(CrowdfundingTable[[#This Row],[date_created]],"ddd")</f>
        <v>Mon</v>
      </c>
      <c r="Q491" s="21">
        <f>_xlfn.DAYS(CrowdfundingTable[[#This Row],[date_ended]],CrowdfundingTable[[#This Row],[date_created]])</f>
        <v>5</v>
      </c>
      <c r="R491" s="5" t="b">
        <v>0</v>
      </c>
      <c r="S491" s="5" t="b">
        <v>0</v>
      </c>
      <c r="T491" s="5" t="s">
        <v>65</v>
      </c>
      <c r="U491" s="5" t="s">
        <v>2039</v>
      </c>
      <c r="V491" s="5" t="s">
        <v>2063</v>
      </c>
      <c r="W491" s="5"/>
    </row>
    <row r="492" spans="1:23" ht="17" x14ac:dyDescent="0.2">
      <c r="A492" s="5">
        <v>490</v>
      </c>
      <c r="B492" s="5" t="s">
        <v>1027</v>
      </c>
      <c r="C492" s="6" t="s">
        <v>1028</v>
      </c>
      <c r="D492" s="94">
        <v>2400</v>
      </c>
      <c r="E492" s="94">
        <v>4596</v>
      </c>
      <c r="F492" s="7">
        <f t="shared" si="31"/>
        <v>1.915</v>
      </c>
      <c r="G492" s="5" t="s">
        <v>20</v>
      </c>
      <c r="H492" s="5">
        <v>144</v>
      </c>
      <c r="I492" s="96">
        <f t="shared" si="28"/>
        <v>31.916666666666668</v>
      </c>
      <c r="J492" s="5" t="s">
        <v>21</v>
      </c>
      <c r="K492" s="5" t="s">
        <v>22</v>
      </c>
      <c r="L492" s="5">
        <v>1573970400</v>
      </c>
      <c r="M492" s="5">
        <v>1574575200</v>
      </c>
      <c r="N492" s="8">
        <f t="shared" si="29"/>
        <v>43786.25</v>
      </c>
      <c r="O492" s="8">
        <f t="shared" si="30"/>
        <v>43793.25</v>
      </c>
      <c r="P492" s="21" t="str">
        <f>TEXT(CrowdfundingTable[[#This Row],[date_created]],"ddd")</f>
        <v>Sun</v>
      </c>
      <c r="Q492" s="21">
        <f>_xlfn.DAYS(CrowdfundingTable[[#This Row],[date_ended]],CrowdfundingTable[[#This Row],[date_created]])</f>
        <v>7</v>
      </c>
      <c r="R492" s="5" t="b">
        <v>0</v>
      </c>
      <c r="S492" s="5" t="b">
        <v>0</v>
      </c>
      <c r="T492" s="5" t="s">
        <v>1029</v>
      </c>
      <c r="U492" s="5" t="s">
        <v>2035</v>
      </c>
      <c r="V492" s="5" t="s">
        <v>2043</v>
      </c>
      <c r="W492" s="5"/>
    </row>
    <row r="493" spans="1:23" ht="34" x14ac:dyDescent="0.2">
      <c r="A493" s="5">
        <v>491</v>
      </c>
      <c r="B493" s="5" t="s">
        <v>1030</v>
      </c>
      <c r="C493" s="6" t="s">
        <v>1031</v>
      </c>
      <c r="D493" s="94">
        <v>56800</v>
      </c>
      <c r="E493" s="94">
        <v>173437</v>
      </c>
      <c r="F493" s="7">
        <f t="shared" si="31"/>
        <v>3.0534683098591549</v>
      </c>
      <c r="G493" s="5" t="s">
        <v>20</v>
      </c>
      <c r="H493" s="5">
        <v>2443</v>
      </c>
      <c r="I493" s="96">
        <f t="shared" si="28"/>
        <v>70.993450675399103</v>
      </c>
      <c r="J493" s="5" t="s">
        <v>21</v>
      </c>
      <c r="K493" s="5" t="s">
        <v>22</v>
      </c>
      <c r="L493" s="5">
        <v>1372654800</v>
      </c>
      <c r="M493" s="5">
        <v>1374901200</v>
      </c>
      <c r="N493" s="8">
        <f t="shared" si="29"/>
        <v>41456.208333333336</v>
      </c>
      <c r="O493" s="8">
        <f t="shared" si="30"/>
        <v>41482.208333333336</v>
      </c>
      <c r="P493" s="21" t="str">
        <f>TEXT(CrowdfundingTable[[#This Row],[date_created]],"ddd")</f>
        <v>Mon</v>
      </c>
      <c r="Q493" s="21">
        <f>_xlfn.DAYS(CrowdfundingTable[[#This Row],[date_ended]],CrowdfundingTable[[#This Row],[date_created]])</f>
        <v>26</v>
      </c>
      <c r="R493" s="5" t="b">
        <v>0</v>
      </c>
      <c r="S493" s="5" t="b">
        <v>1</v>
      </c>
      <c r="T493" s="5" t="s">
        <v>17</v>
      </c>
      <c r="U493" s="5" t="s">
        <v>2033</v>
      </c>
      <c r="V493" s="5" t="s">
        <v>2048</v>
      </c>
      <c r="W493" s="5"/>
    </row>
    <row r="494" spans="1:23" ht="17" x14ac:dyDescent="0.2">
      <c r="A494" s="5">
        <v>492</v>
      </c>
      <c r="B494" s="5" t="s">
        <v>1032</v>
      </c>
      <c r="C494" s="6" t="s">
        <v>1033</v>
      </c>
      <c r="D494" s="94">
        <v>191000</v>
      </c>
      <c r="E494" s="94">
        <v>45831</v>
      </c>
      <c r="F494" s="7">
        <f t="shared" si="31"/>
        <v>0.23995287958115183</v>
      </c>
      <c r="G494" s="5" t="s">
        <v>74</v>
      </c>
      <c r="H494" s="5">
        <v>595</v>
      </c>
      <c r="I494" s="96">
        <f t="shared" si="28"/>
        <v>77.026890756302521</v>
      </c>
      <c r="J494" s="5" t="s">
        <v>21</v>
      </c>
      <c r="K494" s="5" t="s">
        <v>22</v>
      </c>
      <c r="L494" s="5">
        <v>1275886800</v>
      </c>
      <c r="M494" s="5">
        <v>1278910800</v>
      </c>
      <c r="N494" s="8">
        <f t="shared" si="29"/>
        <v>40336.208333333336</v>
      </c>
      <c r="O494" s="8">
        <f t="shared" si="30"/>
        <v>40371.208333333336</v>
      </c>
      <c r="P494" s="21" t="str">
        <f>TEXT(CrowdfundingTable[[#This Row],[date_created]],"ddd")</f>
        <v>Mon</v>
      </c>
      <c r="Q494" s="21">
        <f>_xlfn.DAYS(CrowdfundingTable[[#This Row],[date_ended]],CrowdfundingTable[[#This Row],[date_created]])</f>
        <v>35</v>
      </c>
      <c r="R494" s="5" t="b">
        <v>1</v>
      </c>
      <c r="S494" s="5" t="b">
        <v>1</v>
      </c>
      <c r="T494" s="5" t="s">
        <v>100</v>
      </c>
      <c r="U494" s="5" t="s">
        <v>2032</v>
      </c>
      <c r="V494" s="5" t="s">
        <v>2059</v>
      </c>
      <c r="W494" s="5"/>
    </row>
    <row r="495" spans="1:23" ht="17" x14ac:dyDescent="0.2">
      <c r="A495" s="5">
        <v>493</v>
      </c>
      <c r="B495" s="5" t="s">
        <v>1034</v>
      </c>
      <c r="C495" s="6" t="s">
        <v>1035</v>
      </c>
      <c r="D495" s="94">
        <v>900</v>
      </c>
      <c r="E495" s="94">
        <v>6514</v>
      </c>
      <c r="F495" s="7">
        <f t="shared" si="31"/>
        <v>7.2377777777777776</v>
      </c>
      <c r="G495" s="5" t="s">
        <v>20</v>
      </c>
      <c r="H495" s="5">
        <v>64</v>
      </c>
      <c r="I495" s="96">
        <f t="shared" si="28"/>
        <v>101.78125</v>
      </c>
      <c r="J495" s="5" t="s">
        <v>21</v>
      </c>
      <c r="K495" s="5" t="s">
        <v>22</v>
      </c>
      <c r="L495" s="5">
        <v>1561784400</v>
      </c>
      <c r="M495" s="5">
        <v>1562907600</v>
      </c>
      <c r="N495" s="8">
        <f t="shared" si="29"/>
        <v>43645.208333333328</v>
      </c>
      <c r="O495" s="8">
        <f t="shared" si="30"/>
        <v>43658.208333333328</v>
      </c>
      <c r="P495" s="21" t="str">
        <f>TEXT(CrowdfundingTable[[#This Row],[date_created]],"ddd")</f>
        <v>Sat</v>
      </c>
      <c r="Q495" s="21">
        <f>_xlfn.DAYS(CrowdfundingTable[[#This Row],[date_ended]],CrowdfundingTable[[#This Row],[date_created]])</f>
        <v>13</v>
      </c>
      <c r="R495" s="5" t="b">
        <v>0</v>
      </c>
      <c r="S495" s="5" t="b">
        <v>0</v>
      </c>
      <c r="T495" s="5" t="s">
        <v>122</v>
      </c>
      <c r="U495" s="5" t="s">
        <v>2037</v>
      </c>
      <c r="V495" s="5" t="s">
        <v>2054</v>
      </c>
      <c r="W495" s="5"/>
    </row>
    <row r="496" spans="1:23" ht="17" x14ac:dyDescent="0.2">
      <c r="A496" s="5">
        <v>494</v>
      </c>
      <c r="B496" s="5" t="s">
        <v>1036</v>
      </c>
      <c r="C496" s="6" t="s">
        <v>1037</v>
      </c>
      <c r="D496" s="94">
        <v>2500</v>
      </c>
      <c r="E496" s="94">
        <v>13684</v>
      </c>
      <c r="F496" s="7">
        <f t="shared" si="31"/>
        <v>5.4736000000000002</v>
      </c>
      <c r="G496" s="5" t="s">
        <v>20</v>
      </c>
      <c r="H496" s="5">
        <v>268</v>
      </c>
      <c r="I496" s="96">
        <f t="shared" si="28"/>
        <v>51.059701492537314</v>
      </c>
      <c r="J496" s="5" t="s">
        <v>21</v>
      </c>
      <c r="K496" s="5" t="s">
        <v>22</v>
      </c>
      <c r="L496" s="5">
        <v>1332392400</v>
      </c>
      <c r="M496" s="5">
        <v>1332478800</v>
      </c>
      <c r="N496" s="8">
        <f t="shared" si="29"/>
        <v>40990.208333333336</v>
      </c>
      <c r="O496" s="8">
        <f t="shared" si="30"/>
        <v>40991.208333333336</v>
      </c>
      <c r="P496" s="21" t="str">
        <f>TEXT(CrowdfundingTable[[#This Row],[date_created]],"ddd")</f>
        <v>Thu</v>
      </c>
      <c r="Q496" s="21">
        <f>_xlfn.DAYS(CrowdfundingTable[[#This Row],[date_ended]],CrowdfundingTable[[#This Row],[date_created]])</f>
        <v>1</v>
      </c>
      <c r="R496" s="5" t="b">
        <v>0</v>
      </c>
      <c r="S496" s="5" t="b">
        <v>0</v>
      </c>
      <c r="T496" s="5" t="s">
        <v>65</v>
      </c>
      <c r="U496" s="5" t="s">
        <v>2039</v>
      </c>
      <c r="V496" s="5" t="s">
        <v>2063</v>
      </c>
      <c r="W496" s="5"/>
    </row>
    <row r="497" spans="1:23" ht="17" x14ac:dyDescent="0.2">
      <c r="A497" s="5">
        <v>495</v>
      </c>
      <c r="B497" s="5" t="s">
        <v>1038</v>
      </c>
      <c r="C497" s="6" t="s">
        <v>1039</v>
      </c>
      <c r="D497" s="94">
        <v>3200</v>
      </c>
      <c r="E497" s="94">
        <v>13264</v>
      </c>
      <c r="F497" s="7">
        <f t="shared" si="31"/>
        <v>4.1449999999999996</v>
      </c>
      <c r="G497" s="5" t="s">
        <v>20</v>
      </c>
      <c r="H497" s="5">
        <v>195</v>
      </c>
      <c r="I497" s="96">
        <f t="shared" si="28"/>
        <v>68.02051282051282</v>
      </c>
      <c r="J497" s="5" t="s">
        <v>36</v>
      </c>
      <c r="K497" s="5" t="s">
        <v>37</v>
      </c>
      <c r="L497" s="5">
        <v>1402376400</v>
      </c>
      <c r="M497" s="5">
        <v>1402722000</v>
      </c>
      <c r="N497" s="8">
        <f t="shared" si="29"/>
        <v>41800.208333333336</v>
      </c>
      <c r="O497" s="8">
        <f t="shared" si="30"/>
        <v>41804.208333333336</v>
      </c>
      <c r="P497" s="21" t="str">
        <f>TEXT(CrowdfundingTable[[#This Row],[date_created]],"ddd")</f>
        <v>Tue</v>
      </c>
      <c r="Q497" s="21">
        <f>_xlfn.DAYS(CrowdfundingTable[[#This Row],[date_ended]],CrowdfundingTable[[#This Row],[date_created]])</f>
        <v>4</v>
      </c>
      <c r="R497" s="5" t="b">
        <v>0</v>
      </c>
      <c r="S497" s="5" t="b">
        <v>0</v>
      </c>
      <c r="T497" s="5" t="s">
        <v>33</v>
      </c>
      <c r="U497" s="5" t="s">
        <v>2040</v>
      </c>
      <c r="V497" s="5" t="s">
        <v>2055</v>
      </c>
      <c r="W497" s="5"/>
    </row>
    <row r="498" spans="1:23" ht="17" x14ac:dyDescent="0.2">
      <c r="A498" s="5">
        <v>496</v>
      </c>
      <c r="B498" s="5" t="s">
        <v>1040</v>
      </c>
      <c r="C498" s="6" t="s">
        <v>1041</v>
      </c>
      <c r="D498" s="94">
        <v>183800</v>
      </c>
      <c r="E498" s="94">
        <v>1667</v>
      </c>
      <c r="F498" s="7">
        <f t="shared" si="31"/>
        <v>9.0696409140369975E-3</v>
      </c>
      <c r="G498" s="5" t="s">
        <v>14</v>
      </c>
      <c r="H498" s="5">
        <v>54</v>
      </c>
      <c r="I498" s="96">
        <f t="shared" si="28"/>
        <v>30.87037037037037</v>
      </c>
      <c r="J498" s="5" t="s">
        <v>21</v>
      </c>
      <c r="K498" s="5" t="s">
        <v>22</v>
      </c>
      <c r="L498" s="5">
        <v>1495342800</v>
      </c>
      <c r="M498" s="5">
        <v>1496811600</v>
      </c>
      <c r="N498" s="8">
        <f t="shared" si="29"/>
        <v>42876.208333333328</v>
      </c>
      <c r="O498" s="8">
        <f t="shared" si="30"/>
        <v>42893.208333333328</v>
      </c>
      <c r="P498" s="21" t="str">
        <f>TEXT(CrowdfundingTable[[#This Row],[date_created]],"ddd")</f>
        <v>Sun</v>
      </c>
      <c r="Q498" s="21">
        <f>_xlfn.DAYS(CrowdfundingTable[[#This Row],[date_ended]],CrowdfundingTable[[#This Row],[date_created]])</f>
        <v>17</v>
      </c>
      <c r="R498" s="5" t="b">
        <v>0</v>
      </c>
      <c r="S498" s="5" t="b">
        <v>0</v>
      </c>
      <c r="T498" s="5" t="s">
        <v>71</v>
      </c>
      <c r="U498" s="5" t="s">
        <v>2032</v>
      </c>
      <c r="V498" s="5" t="s">
        <v>2042</v>
      </c>
      <c r="W498" s="5"/>
    </row>
    <row r="499" spans="1:23" ht="17" x14ac:dyDescent="0.2">
      <c r="A499" s="5">
        <v>497</v>
      </c>
      <c r="B499" s="5" t="s">
        <v>1042</v>
      </c>
      <c r="C499" s="6" t="s">
        <v>1043</v>
      </c>
      <c r="D499" s="94">
        <v>9800</v>
      </c>
      <c r="E499" s="94">
        <v>3349</v>
      </c>
      <c r="F499" s="7">
        <f t="shared" si="31"/>
        <v>0.34173469387755101</v>
      </c>
      <c r="G499" s="5" t="s">
        <v>14</v>
      </c>
      <c r="H499" s="5">
        <v>120</v>
      </c>
      <c r="I499" s="96">
        <f t="shared" si="28"/>
        <v>27.908333333333335</v>
      </c>
      <c r="J499" s="5" t="s">
        <v>21</v>
      </c>
      <c r="K499" s="5" t="s">
        <v>22</v>
      </c>
      <c r="L499" s="5">
        <v>1482213600</v>
      </c>
      <c r="M499" s="5">
        <v>1482213600</v>
      </c>
      <c r="N499" s="8">
        <f t="shared" si="29"/>
        <v>42724.25</v>
      </c>
      <c r="O499" s="8">
        <f t="shared" si="30"/>
        <v>42724.25</v>
      </c>
      <c r="P499" s="21" t="str">
        <f>TEXT(CrowdfundingTable[[#This Row],[date_created]],"ddd")</f>
        <v>Tue</v>
      </c>
      <c r="Q499" s="21">
        <f>_xlfn.DAYS(CrowdfundingTable[[#This Row],[date_ended]],CrowdfundingTable[[#This Row],[date_created]])</f>
        <v>0</v>
      </c>
      <c r="R499" s="5" t="b">
        <v>0</v>
      </c>
      <c r="S499" s="5" t="b">
        <v>1</v>
      </c>
      <c r="T499" s="5" t="s">
        <v>65</v>
      </c>
      <c r="U499" s="5" t="s">
        <v>2039</v>
      </c>
      <c r="V499" s="5" t="s">
        <v>2063</v>
      </c>
      <c r="W499" s="5"/>
    </row>
    <row r="500" spans="1:23" ht="17" x14ac:dyDescent="0.2">
      <c r="A500" s="5">
        <v>498</v>
      </c>
      <c r="B500" s="5" t="s">
        <v>1044</v>
      </c>
      <c r="C500" s="6" t="s">
        <v>1045</v>
      </c>
      <c r="D500" s="94">
        <v>193400</v>
      </c>
      <c r="E500" s="94">
        <v>46317</v>
      </c>
      <c r="F500" s="7">
        <f t="shared" si="31"/>
        <v>0.239488107549121</v>
      </c>
      <c r="G500" s="5" t="s">
        <v>14</v>
      </c>
      <c r="H500" s="5">
        <v>579</v>
      </c>
      <c r="I500" s="96">
        <f t="shared" si="28"/>
        <v>79.994818652849744</v>
      </c>
      <c r="J500" s="5" t="s">
        <v>36</v>
      </c>
      <c r="K500" s="5" t="s">
        <v>37</v>
      </c>
      <c r="L500" s="5">
        <v>1420092000</v>
      </c>
      <c r="M500" s="5">
        <v>1420264800</v>
      </c>
      <c r="N500" s="8">
        <f t="shared" si="29"/>
        <v>42005.25</v>
      </c>
      <c r="O500" s="8">
        <f t="shared" si="30"/>
        <v>42007.25</v>
      </c>
      <c r="P500" s="21" t="str">
        <f>TEXT(CrowdfundingTable[[#This Row],[date_created]],"ddd")</f>
        <v>Thu</v>
      </c>
      <c r="Q500" s="21">
        <f>_xlfn.DAYS(CrowdfundingTable[[#This Row],[date_ended]],CrowdfundingTable[[#This Row],[date_created]])</f>
        <v>2</v>
      </c>
      <c r="R500" s="5" t="b">
        <v>0</v>
      </c>
      <c r="S500" s="5" t="b">
        <v>0</v>
      </c>
      <c r="T500" s="5" t="s">
        <v>28</v>
      </c>
      <c r="U500" s="5" t="s">
        <v>2039</v>
      </c>
      <c r="V500" s="5" t="s">
        <v>2064</v>
      </c>
      <c r="W500" s="5"/>
    </row>
    <row r="501" spans="1:23" ht="17" x14ac:dyDescent="0.2">
      <c r="A501" s="5">
        <v>499</v>
      </c>
      <c r="B501" s="5" t="s">
        <v>1046</v>
      </c>
      <c r="C501" s="6" t="s">
        <v>1047</v>
      </c>
      <c r="D501" s="94">
        <v>163800</v>
      </c>
      <c r="E501" s="94">
        <v>78743</v>
      </c>
      <c r="F501" s="7">
        <f t="shared" si="31"/>
        <v>0.48072649572649573</v>
      </c>
      <c r="G501" s="5" t="s">
        <v>14</v>
      </c>
      <c r="H501" s="5">
        <v>2072</v>
      </c>
      <c r="I501" s="96">
        <f t="shared" si="28"/>
        <v>38.003378378378379</v>
      </c>
      <c r="J501" s="5" t="s">
        <v>21</v>
      </c>
      <c r="K501" s="5" t="s">
        <v>22</v>
      </c>
      <c r="L501" s="5">
        <v>1458018000</v>
      </c>
      <c r="M501" s="5">
        <v>1458450000</v>
      </c>
      <c r="N501" s="8">
        <f t="shared" si="29"/>
        <v>42444.208333333328</v>
      </c>
      <c r="O501" s="8">
        <f t="shared" si="30"/>
        <v>42449.208333333328</v>
      </c>
      <c r="P501" s="21" t="str">
        <f>TEXT(CrowdfundingTable[[#This Row],[date_created]],"ddd")</f>
        <v>Tue</v>
      </c>
      <c r="Q501" s="21">
        <f>_xlfn.DAYS(CrowdfundingTable[[#This Row],[date_ended]],CrowdfundingTable[[#This Row],[date_created]])</f>
        <v>5</v>
      </c>
      <c r="R501" s="5" t="b">
        <v>0</v>
      </c>
      <c r="S501" s="5" t="b">
        <v>1</v>
      </c>
      <c r="T501" s="5" t="s">
        <v>42</v>
      </c>
      <c r="U501" s="5" t="s">
        <v>2032</v>
      </c>
      <c r="V501" s="5" t="s">
        <v>2044</v>
      </c>
      <c r="W501" s="5"/>
    </row>
    <row r="502" spans="1:23" ht="17" x14ac:dyDescent="0.2">
      <c r="A502" s="5">
        <v>500</v>
      </c>
      <c r="B502" s="5" t="s">
        <v>1048</v>
      </c>
      <c r="C502" s="6" t="s">
        <v>1049</v>
      </c>
      <c r="D502" s="94">
        <v>100</v>
      </c>
      <c r="E502" s="94">
        <v>0</v>
      </c>
      <c r="F502" s="7">
        <f t="shared" si="31"/>
        <v>0</v>
      </c>
      <c r="G502" s="5" t="s">
        <v>14</v>
      </c>
      <c r="H502" s="5">
        <v>0</v>
      </c>
      <c r="I502" s="96">
        <f t="shared" si="28"/>
        <v>0</v>
      </c>
      <c r="J502" s="5" t="s">
        <v>21</v>
      </c>
      <c r="K502" s="5" t="s">
        <v>22</v>
      </c>
      <c r="L502" s="5">
        <v>1367384400</v>
      </c>
      <c r="M502" s="5">
        <v>1369803600</v>
      </c>
      <c r="N502" s="8">
        <f t="shared" si="29"/>
        <v>41395.208333333336</v>
      </c>
      <c r="O502" s="8">
        <f t="shared" si="30"/>
        <v>41423.208333333336</v>
      </c>
      <c r="P502" s="21" t="str">
        <f>TEXT(CrowdfundingTable[[#This Row],[date_created]],"ddd")</f>
        <v>Wed</v>
      </c>
      <c r="Q502" s="21">
        <f>_xlfn.DAYS(CrowdfundingTable[[#This Row],[date_ended]],CrowdfundingTable[[#This Row],[date_created]])</f>
        <v>28</v>
      </c>
      <c r="R502" s="5" t="b">
        <v>0</v>
      </c>
      <c r="S502" s="5" t="b">
        <v>1</v>
      </c>
      <c r="T502" s="5" t="s">
        <v>33</v>
      </c>
      <c r="U502" s="5" t="s">
        <v>2040</v>
      </c>
      <c r="V502" s="5" t="s">
        <v>2055</v>
      </c>
      <c r="W502" s="5"/>
    </row>
    <row r="503" spans="1:23" ht="17" x14ac:dyDescent="0.2">
      <c r="A503" s="5">
        <v>501</v>
      </c>
      <c r="B503" s="5" t="s">
        <v>1050</v>
      </c>
      <c r="C503" s="6" t="s">
        <v>1051</v>
      </c>
      <c r="D503" s="94">
        <v>153600</v>
      </c>
      <c r="E503" s="94">
        <v>107743</v>
      </c>
      <c r="F503" s="7">
        <f t="shared" si="31"/>
        <v>0.70145182291666663</v>
      </c>
      <c r="G503" s="5" t="s">
        <v>14</v>
      </c>
      <c r="H503" s="5">
        <v>1796</v>
      </c>
      <c r="I503" s="96">
        <f t="shared" si="28"/>
        <v>59.990534521158132</v>
      </c>
      <c r="J503" s="5" t="s">
        <v>21</v>
      </c>
      <c r="K503" s="5" t="s">
        <v>22</v>
      </c>
      <c r="L503" s="5">
        <v>1363064400</v>
      </c>
      <c r="M503" s="5">
        <v>1363237200</v>
      </c>
      <c r="N503" s="8">
        <f t="shared" si="29"/>
        <v>41345.208333333336</v>
      </c>
      <c r="O503" s="8">
        <f t="shared" si="30"/>
        <v>41347.208333333336</v>
      </c>
      <c r="P503" s="21" t="str">
        <f>TEXT(CrowdfundingTable[[#This Row],[date_created]],"ddd")</f>
        <v>Tue</v>
      </c>
      <c r="Q503" s="21">
        <f>_xlfn.DAYS(CrowdfundingTable[[#This Row],[date_ended]],CrowdfundingTable[[#This Row],[date_created]])</f>
        <v>2</v>
      </c>
      <c r="R503" s="5" t="b">
        <v>0</v>
      </c>
      <c r="S503" s="5" t="b">
        <v>0</v>
      </c>
      <c r="T503" s="5" t="s">
        <v>42</v>
      </c>
      <c r="U503" s="5" t="s">
        <v>2032</v>
      </c>
      <c r="V503" s="5" t="s">
        <v>2044</v>
      </c>
      <c r="W503" s="5"/>
    </row>
    <row r="504" spans="1:23" ht="17" x14ac:dyDescent="0.2">
      <c r="A504" s="5">
        <v>502</v>
      </c>
      <c r="B504" s="5" t="s">
        <v>477</v>
      </c>
      <c r="C504" s="6" t="s">
        <v>1052</v>
      </c>
      <c r="D504" s="94">
        <v>1300</v>
      </c>
      <c r="E504" s="94">
        <v>6889</v>
      </c>
      <c r="F504" s="7">
        <f t="shared" si="31"/>
        <v>5.2992307692307694</v>
      </c>
      <c r="G504" s="5" t="s">
        <v>20</v>
      </c>
      <c r="H504" s="5">
        <v>186</v>
      </c>
      <c r="I504" s="96">
        <f t="shared" si="28"/>
        <v>37.037634408602152</v>
      </c>
      <c r="J504" s="5" t="s">
        <v>26</v>
      </c>
      <c r="K504" s="5" t="s">
        <v>27</v>
      </c>
      <c r="L504" s="5">
        <v>1343365200</v>
      </c>
      <c r="M504" s="5">
        <v>1345870800</v>
      </c>
      <c r="N504" s="8">
        <f t="shared" si="29"/>
        <v>41117.208333333336</v>
      </c>
      <c r="O504" s="8">
        <f t="shared" si="30"/>
        <v>41146.208333333336</v>
      </c>
      <c r="P504" s="21" t="str">
        <f>TEXT(CrowdfundingTable[[#This Row],[date_created]],"ddd")</f>
        <v>Fri</v>
      </c>
      <c r="Q504" s="21">
        <f>_xlfn.DAYS(CrowdfundingTable[[#This Row],[date_ended]],CrowdfundingTable[[#This Row],[date_created]])</f>
        <v>29</v>
      </c>
      <c r="R504" s="5" t="b">
        <v>0</v>
      </c>
      <c r="S504" s="5" t="b">
        <v>1</v>
      </c>
      <c r="T504" s="5" t="s">
        <v>89</v>
      </c>
      <c r="U504" s="5" t="s">
        <v>2034</v>
      </c>
      <c r="V504" s="5" t="s">
        <v>2062</v>
      </c>
      <c r="W504" s="5"/>
    </row>
    <row r="505" spans="1:23" ht="17" x14ac:dyDescent="0.2">
      <c r="A505" s="5">
        <v>503</v>
      </c>
      <c r="B505" s="5" t="s">
        <v>1053</v>
      </c>
      <c r="C505" s="6" t="s">
        <v>1054</v>
      </c>
      <c r="D505" s="94">
        <v>25500</v>
      </c>
      <c r="E505" s="94">
        <v>45983</v>
      </c>
      <c r="F505" s="7">
        <f t="shared" si="31"/>
        <v>1.8032549019607844</v>
      </c>
      <c r="G505" s="5" t="s">
        <v>20</v>
      </c>
      <c r="H505" s="5">
        <v>460</v>
      </c>
      <c r="I505" s="96">
        <f t="shared" si="28"/>
        <v>99.963043478260872</v>
      </c>
      <c r="J505" s="5" t="s">
        <v>21</v>
      </c>
      <c r="K505" s="5" t="s">
        <v>22</v>
      </c>
      <c r="L505" s="5">
        <v>1435726800</v>
      </c>
      <c r="M505" s="5">
        <v>1437454800</v>
      </c>
      <c r="N505" s="8">
        <f t="shared" si="29"/>
        <v>42186.208333333328</v>
      </c>
      <c r="O505" s="8">
        <f t="shared" si="30"/>
        <v>42206.208333333328</v>
      </c>
      <c r="P505" s="21" t="str">
        <f>TEXT(CrowdfundingTable[[#This Row],[date_created]],"ddd")</f>
        <v>Wed</v>
      </c>
      <c r="Q505" s="21">
        <f>_xlfn.DAYS(CrowdfundingTable[[#This Row],[date_ended]],CrowdfundingTable[[#This Row],[date_created]])</f>
        <v>20</v>
      </c>
      <c r="R505" s="5" t="b">
        <v>0</v>
      </c>
      <c r="S505" s="5" t="b">
        <v>0</v>
      </c>
      <c r="T505" s="5" t="s">
        <v>53</v>
      </c>
      <c r="U505" s="5" t="s">
        <v>2032</v>
      </c>
      <c r="V505" s="5" t="s">
        <v>2045</v>
      </c>
      <c r="W505" s="5"/>
    </row>
    <row r="506" spans="1:23" ht="17" x14ac:dyDescent="0.2">
      <c r="A506" s="5">
        <v>504</v>
      </c>
      <c r="B506" s="5" t="s">
        <v>1055</v>
      </c>
      <c r="C506" s="6" t="s">
        <v>1056</v>
      </c>
      <c r="D506" s="94">
        <v>7500</v>
      </c>
      <c r="E506" s="94">
        <v>6924</v>
      </c>
      <c r="F506" s="7">
        <f t="shared" si="31"/>
        <v>0.92320000000000002</v>
      </c>
      <c r="G506" s="5" t="s">
        <v>14</v>
      </c>
      <c r="H506" s="5">
        <v>62</v>
      </c>
      <c r="I506" s="96">
        <f t="shared" si="28"/>
        <v>111.6774193548387</v>
      </c>
      <c r="J506" s="5" t="s">
        <v>107</v>
      </c>
      <c r="K506" s="5" t="s">
        <v>108</v>
      </c>
      <c r="L506" s="5">
        <v>1431925200</v>
      </c>
      <c r="M506" s="5">
        <v>1432011600</v>
      </c>
      <c r="N506" s="8">
        <f t="shared" si="29"/>
        <v>42142.208333333328</v>
      </c>
      <c r="O506" s="8">
        <f t="shared" si="30"/>
        <v>42143.208333333328</v>
      </c>
      <c r="P506" s="21" t="str">
        <f>TEXT(CrowdfundingTable[[#This Row],[date_created]],"ddd")</f>
        <v>Mon</v>
      </c>
      <c r="Q506" s="21">
        <f>_xlfn.DAYS(CrowdfundingTable[[#This Row],[date_ended]],CrowdfundingTable[[#This Row],[date_created]])</f>
        <v>1</v>
      </c>
      <c r="R506" s="5" t="b">
        <v>0</v>
      </c>
      <c r="S506" s="5" t="b">
        <v>0</v>
      </c>
      <c r="T506" s="5" t="s">
        <v>23</v>
      </c>
      <c r="U506" s="5" t="s">
        <v>2036</v>
      </c>
      <c r="V506" s="5" t="s">
        <v>2057</v>
      </c>
      <c r="W506" s="5"/>
    </row>
    <row r="507" spans="1:23" ht="17" x14ac:dyDescent="0.2">
      <c r="A507" s="5">
        <v>505</v>
      </c>
      <c r="B507" s="5" t="s">
        <v>1057</v>
      </c>
      <c r="C507" s="6" t="s">
        <v>1058</v>
      </c>
      <c r="D507" s="94">
        <v>89900</v>
      </c>
      <c r="E507" s="94">
        <v>12497</v>
      </c>
      <c r="F507" s="7">
        <f t="shared" si="31"/>
        <v>0.13901001112347053</v>
      </c>
      <c r="G507" s="5" t="s">
        <v>14</v>
      </c>
      <c r="H507" s="5">
        <v>347</v>
      </c>
      <c r="I507" s="96">
        <f t="shared" si="28"/>
        <v>36.014409221902014</v>
      </c>
      <c r="J507" s="5" t="s">
        <v>21</v>
      </c>
      <c r="K507" s="5" t="s">
        <v>22</v>
      </c>
      <c r="L507" s="5">
        <v>1362722400</v>
      </c>
      <c r="M507" s="5">
        <v>1366347600</v>
      </c>
      <c r="N507" s="8">
        <f t="shared" si="29"/>
        <v>41341.25</v>
      </c>
      <c r="O507" s="8">
        <f t="shared" si="30"/>
        <v>41383.208333333336</v>
      </c>
      <c r="P507" s="21" t="str">
        <f>TEXT(CrowdfundingTable[[#This Row],[date_created]],"ddd")</f>
        <v>Fri</v>
      </c>
      <c r="Q507" s="21">
        <f>_xlfn.DAYS(CrowdfundingTable[[#This Row],[date_ended]],CrowdfundingTable[[#This Row],[date_created]])</f>
        <v>42</v>
      </c>
      <c r="R507" s="5" t="b">
        <v>0</v>
      </c>
      <c r="S507" s="5" t="b">
        <v>1</v>
      </c>
      <c r="T507" s="5" t="s">
        <v>133</v>
      </c>
      <c r="U507" s="5" t="s">
        <v>2038</v>
      </c>
      <c r="V507" s="5" t="s">
        <v>2056</v>
      </c>
      <c r="W507" s="5"/>
    </row>
    <row r="508" spans="1:23" ht="17" x14ac:dyDescent="0.2">
      <c r="A508" s="5">
        <v>506</v>
      </c>
      <c r="B508" s="5" t="s">
        <v>1059</v>
      </c>
      <c r="C508" s="6" t="s">
        <v>1060</v>
      </c>
      <c r="D508" s="94">
        <v>18000</v>
      </c>
      <c r="E508" s="94">
        <v>166874</v>
      </c>
      <c r="F508" s="7">
        <f t="shared" si="31"/>
        <v>9.2707777777777771</v>
      </c>
      <c r="G508" s="5" t="s">
        <v>20</v>
      </c>
      <c r="H508" s="5">
        <v>2528</v>
      </c>
      <c r="I508" s="96">
        <f t="shared" si="28"/>
        <v>66.010284810126578</v>
      </c>
      <c r="J508" s="5" t="s">
        <v>21</v>
      </c>
      <c r="K508" s="5" t="s">
        <v>22</v>
      </c>
      <c r="L508" s="5">
        <v>1511416800</v>
      </c>
      <c r="M508" s="5">
        <v>1512885600</v>
      </c>
      <c r="N508" s="8">
        <f t="shared" si="29"/>
        <v>43062.25</v>
      </c>
      <c r="O508" s="8">
        <f t="shared" si="30"/>
        <v>43079.25</v>
      </c>
      <c r="P508" s="21" t="str">
        <f>TEXT(CrowdfundingTable[[#This Row],[date_created]],"ddd")</f>
        <v>Thu</v>
      </c>
      <c r="Q508" s="21">
        <f>_xlfn.DAYS(CrowdfundingTable[[#This Row],[date_ended]],CrowdfundingTable[[#This Row],[date_created]])</f>
        <v>17</v>
      </c>
      <c r="R508" s="5" t="b">
        <v>0</v>
      </c>
      <c r="S508" s="5" t="b">
        <v>1</v>
      </c>
      <c r="T508" s="5" t="s">
        <v>33</v>
      </c>
      <c r="U508" s="5" t="s">
        <v>2040</v>
      </c>
      <c r="V508" s="5" t="s">
        <v>2055</v>
      </c>
      <c r="W508" s="5"/>
    </row>
    <row r="509" spans="1:23" ht="34" x14ac:dyDescent="0.2">
      <c r="A509" s="5">
        <v>507</v>
      </c>
      <c r="B509" s="5" t="s">
        <v>1061</v>
      </c>
      <c r="C509" s="6" t="s">
        <v>1062</v>
      </c>
      <c r="D509" s="94">
        <v>2100</v>
      </c>
      <c r="E509" s="94">
        <v>837</v>
      </c>
      <c r="F509" s="7">
        <f t="shared" si="31"/>
        <v>0.39857142857142858</v>
      </c>
      <c r="G509" s="5" t="s">
        <v>14</v>
      </c>
      <c r="H509" s="5">
        <v>19</v>
      </c>
      <c r="I509" s="96">
        <f t="shared" si="28"/>
        <v>44.05263157894737</v>
      </c>
      <c r="J509" s="5" t="s">
        <v>21</v>
      </c>
      <c r="K509" s="5" t="s">
        <v>22</v>
      </c>
      <c r="L509" s="5">
        <v>1365483600</v>
      </c>
      <c r="M509" s="5">
        <v>1369717200</v>
      </c>
      <c r="N509" s="8">
        <f t="shared" si="29"/>
        <v>41373.208333333336</v>
      </c>
      <c r="O509" s="8">
        <f t="shared" si="30"/>
        <v>41422.208333333336</v>
      </c>
      <c r="P509" s="21" t="str">
        <f>TEXT(CrowdfundingTable[[#This Row],[date_created]],"ddd")</f>
        <v>Tue</v>
      </c>
      <c r="Q509" s="21">
        <f>_xlfn.DAYS(CrowdfundingTable[[#This Row],[date_ended]],CrowdfundingTable[[#This Row],[date_created]])</f>
        <v>49</v>
      </c>
      <c r="R509" s="5" t="b">
        <v>0</v>
      </c>
      <c r="S509" s="5" t="b">
        <v>1</v>
      </c>
      <c r="T509" s="5" t="s">
        <v>28</v>
      </c>
      <c r="U509" s="5" t="s">
        <v>2039</v>
      </c>
      <c r="V509" s="5" t="s">
        <v>2064</v>
      </c>
      <c r="W509" s="5"/>
    </row>
    <row r="510" spans="1:23" ht="17" x14ac:dyDescent="0.2">
      <c r="A510" s="5">
        <v>508</v>
      </c>
      <c r="B510" s="5" t="s">
        <v>1063</v>
      </c>
      <c r="C510" s="6" t="s">
        <v>1064</v>
      </c>
      <c r="D510" s="94">
        <v>172700</v>
      </c>
      <c r="E510" s="94">
        <v>193820</v>
      </c>
      <c r="F510" s="7">
        <f t="shared" si="31"/>
        <v>1.1222929936305732</v>
      </c>
      <c r="G510" s="5" t="s">
        <v>20</v>
      </c>
      <c r="H510" s="5">
        <v>3657</v>
      </c>
      <c r="I510" s="96">
        <f t="shared" si="28"/>
        <v>52.999726551818434</v>
      </c>
      <c r="J510" s="5" t="s">
        <v>21</v>
      </c>
      <c r="K510" s="5" t="s">
        <v>22</v>
      </c>
      <c r="L510" s="5">
        <v>1532840400</v>
      </c>
      <c r="M510" s="5">
        <v>1534654800</v>
      </c>
      <c r="N510" s="8">
        <f t="shared" si="29"/>
        <v>43310.208333333328</v>
      </c>
      <c r="O510" s="8">
        <f t="shared" si="30"/>
        <v>43331.208333333328</v>
      </c>
      <c r="P510" s="21" t="str">
        <f>TEXT(CrowdfundingTable[[#This Row],[date_created]],"ddd")</f>
        <v>Sun</v>
      </c>
      <c r="Q510" s="21">
        <f>_xlfn.DAYS(CrowdfundingTable[[#This Row],[date_ended]],CrowdfundingTable[[#This Row],[date_created]])</f>
        <v>21</v>
      </c>
      <c r="R510" s="5" t="b">
        <v>0</v>
      </c>
      <c r="S510" s="5" t="b">
        <v>0</v>
      </c>
      <c r="T510" s="5" t="s">
        <v>33</v>
      </c>
      <c r="U510" s="5" t="s">
        <v>2040</v>
      </c>
      <c r="V510" s="5" t="s">
        <v>2055</v>
      </c>
      <c r="W510" s="5"/>
    </row>
    <row r="511" spans="1:23" ht="17" x14ac:dyDescent="0.2">
      <c r="A511" s="5">
        <v>509</v>
      </c>
      <c r="B511" s="5" t="s">
        <v>398</v>
      </c>
      <c r="C511" s="6" t="s">
        <v>1065</v>
      </c>
      <c r="D511" s="94">
        <v>168500</v>
      </c>
      <c r="E511" s="94">
        <v>119510</v>
      </c>
      <c r="F511" s="7">
        <f t="shared" si="31"/>
        <v>0.70925816023738875</v>
      </c>
      <c r="G511" s="5" t="s">
        <v>14</v>
      </c>
      <c r="H511" s="5">
        <v>1258</v>
      </c>
      <c r="I511" s="96">
        <f t="shared" si="28"/>
        <v>95</v>
      </c>
      <c r="J511" s="5" t="s">
        <v>21</v>
      </c>
      <c r="K511" s="5" t="s">
        <v>22</v>
      </c>
      <c r="L511" s="5">
        <v>1336194000</v>
      </c>
      <c r="M511" s="5">
        <v>1337058000</v>
      </c>
      <c r="N511" s="8">
        <f t="shared" si="29"/>
        <v>41034.208333333336</v>
      </c>
      <c r="O511" s="8">
        <f t="shared" si="30"/>
        <v>41044.208333333336</v>
      </c>
      <c r="P511" s="21" t="str">
        <f>TEXT(CrowdfundingTable[[#This Row],[date_created]],"ddd")</f>
        <v>Sat</v>
      </c>
      <c r="Q511" s="21">
        <f>_xlfn.DAYS(CrowdfundingTable[[#This Row],[date_ended]],CrowdfundingTable[[#This Row],[date_created]])</f>
        <v>10</v>
      </c>
      <c r="R511" s="5" t="b">
        <v>0</v>
      </c>
      <c r="S511" s="5" t="b">
        <v>0</v>
      </c>
      <c r="T511" s="5" t="s">
        <v>33</v>
      </c>
      <c r="U511" s="5" t="s">
        <v>2040</v>
      </c>
      <c r="V511" s="5" t="s">
        <v>2055</v>
      </c>
      <c r="W511" s="5"/>
    </row>
    <row r="512" spans="1:23" ht="17" x14ac:dyDescent="0.2">
      <c r="A512" s="5">
        <v>510</v>
      </c>
      <c r="B512" s="5" t="s">
        <v>1066</v>
      </c>
      <c r="C512" s="6" t="s">
        <v>1067</v>
      </c>
      <c r="D512" s="94">
        <v>7800</v>
      </c>
      <c r="E512" s="94">
        <v>9289</v>
      </c>
      <c r="F512" s="7">
        <f t="shared" si="31"/>
        <v>1.1908974358974358</v>
      </c>
      <c r="G512" s="5" t="s">
        <v>20</v>
      </c>
      <c r="H512" s="5">
        <v>131</v>
      </c>
      <c r="I512" s="96">
        <f t="shared" si="28"/>
        <v>70.908396946564892</v>
      </c>
      <c r="J512" s="5" t="s">
        <v>26</v>
      </c>
      <c r="K512" s="5" t="s">
        <v>27</v>
      </c>
      <c r="L512" s="5">
        <v>1527742800</v>
      </c>
      <c r="M512" s="5">
        <v>1529816400</v>
      </c>
      <c r="N512" s="8">
        <f t="shared" si="29"/>
        <v>43251.208333333328</v>
      </c>
      <c r="O512" s="8">
        <f t="shared" si="30"/>
        <v>43275.208333333328</v>
      </c>
      <c r="P512" s="21" t="str">
        <f>TEXT(CrowdfundingTable[[#This Row],[date_created]],"ddd")</f>
        <v>Thu</v>
      </c>
      <c r="Q512" s="21">
        <f>_xlfn.DAYS(CrowdfundingTable[[#This Row],[date_ended]],CrowdfundingTable[[#This Row],[date_created]])</f>
        <v>24</v>
      </c>
      <c r="R512" s="5" t="b">
        <v>0</v>
      </c>
      <c r="S512" s="5" t="b">
        <v>0</v>
      </c>
      <c r="T512" s="5" t="s">
        <v>53</v>
      </c>
      <c r="U512" s="5" t="s">
        <v>2032</v>
      </c>
      <c r="V512" s="5" t="s">
        <v>2045</v>
      </c>
      <c r="W512" s="5"/>
    </row>
    <row r="513" spans="1:23" ht="17" x14ac:dyDescent="0.2">
      <c r="A513" s="5">
        <v>511</v>
      </c>
      <c r="B513" s="5" t="s">
        <v>1068</v>
      </c>
      <c r="C513" s="6" t="s">
        <v>1069</v>
      </c>
      <c r="D513" s="94">
        <v>147800</v>
      </c>
      <c r="E513" s="94">
        <v>35498</v>
      </c>
      <c r="F513" s="7">
        <f t="shared" si="31"/>
        <v>0.24017591339648173</v>
      </c>
      <c r="G513" s="5" t="s">
        <v>14</v>
      </c>
      <c r="H513" s="5">
        <v>362</v>
      </c>
      <c r="I513" s="96">
        <f t="shared" si="28"/>
        <v>98.060773480662988</v>
      </c>
      <c r="J513" s="5" t="s">
        <v>21</v>
      </c>
      <c r="K513" s="5" t="s">
        <v>22</v>
      </c>
      <c r="L513" s="5">
        <v>1564030800</v>
      </c>
      <c r="M513" s="5">
        <v>1564894800</v>
      </c>
      <c r="N513" s="8">
        <f t="shared" si="29"/>
        <v>43671.208333333328</v>
      </c>
      <c r="O513" s="8">
        <f t="shared" si="30"/>
        <v>43681.208333333328</v>
      </c>
      <c r="P513" s="21" t="str">
        <f>TEXT(CrowdfundingTable[[#This Row],[date_created]],"ddd")</f>
        <v>Thu</v>
      </c>
      <c r="Q513" s="21">
        <f>_xlfn.DAYS(CrowdfundingTable[[#This Row],[date_ended]],CrowdfundingTable[[#This Row],[date_created]])</f>
        <v>10</v>
      </c>
      <c r="R513" s="5" t="b">
        <v>0</v>
      </c>
      <c r="S513" s="5" t="b">
        <v>0</v>
      </c>
      <c r="T513" s="5" t="s">
        <v>33</v>
      </c>
      <c r="U513" s="5" t="s">
        <v>2040</v>
      </c>
      <c r="V513" s="5" t="s">
        <v>2055</v>
      </c>
      <c r="W513" s="5"/>
    </row>
    <row r="514" spans="1:23" ht="17" x14ac:dyDescent="0.2">
      <c r="A514" s="5">
        <v>512</v>
      </c>
      <c r="B514" s="5" t="s">
        <v>1070</v>
      </c>
      <c r="C514" s="6" t="s">
        <v>1071</v>
      </c>
      <c r="D514" s="94">
        <v>9100</v>
      </c>
      <c r="E514" s="94">
        <v>12678</v>
      </c>
      <c r="F514" s="7">
        <f t="shared" si="31"/>
        <v>1.3931868131868133</v>
      </c>
      <c r="G514" s="5" t="s">
        <v>20</v>
      </c>
      <c r="H514" s="5">
        <v>239</v>
      </c>
      <c r="I514" s="96">
        <f t="shared" ref="I514:I577" si="32">IF(H514&lt;&gt;0,E514/H514,0)</f>
        <v>53.046025104602514</v>
      </c>
      <c r="J514" s="5" t="s">
        <v>21</v>
      </c>
      <c r="K514" s="5" t="s">
        <v>22</v>
      </c>
      <c r="L514" s="5">
        <v>1404536400</v>
      </c>
      <c r="M514" s="5">
        <v>1404622800</v>
      </c>
      <c r="N514" s="8">
        <f t="shared" si="29"/>
        <v>41825.208333333336</v>
      </c>
      <c r="O514" s="8">
        <f t="shared" si="30"/>
        <v>41826.208333333336</v>
      </c>
      <c r="P514" s="21" t="str">
        <f>TEXT(CrowdfundingTable[[#This Row],[date_created]],"ddd")</f>
        <v>Sat</v>
      </c>
      <c r="Q514" s="21">
        <f>_xlfn.DAYS(CrowdfundingTable[[#This Row],[date_ended]],CrowdfundingTable[[#This Row],[date_created]])</f>
        <v>1</v>
      </c>
      <c r="R514" s="5" t="b">
        <v>0</v>
      </c>
      <c r="S514" s="5" t="b">
        <v>1</v>
      </c>
      <c r="T514" s="5" t="s">
        <v>89</v>
      </c>
      <c r="U514" s="5" t="s">
        <v>2034</v>
      </c>
      <c r="V514" s="5" t="s">
        <v>2062</v>
      </c>
      <c r="W514" s="5"/>
    </row>
    <row r="515" spans="1:23" ht="17" x14ac:dyDescent="0.2">
      <c r="A515" s="5">
        <v>513</v>
      </c>
      <c r="B515" s="5" t="s">
        <v>1072</v>
      </c>
      <c r="C515" s="6" t="s">
        <v>1073</v>
      </c>
      <c r="D515" s="94">
        <v>8300</v>
      </c>
      <c r="E515" s="94">
        <v>3260</v>
      </c>
      <c r="F515" s="7">
        <f t="shared" si="31"/>
        <v>0.39277108433734942</v>
      </c>
      <c r="G515" s="5" t="s">
        <v>74</v>
      </c>
      <c r="H515" s="5">
        <v>35</v>
      </c>
      <c r="I515" s="96">
        <f t="shared" si="32"/>
        <v>93.142857142857139</v>
      </c>
      <c r="J515" s="5" t="s">
        <v>21</v>
      </c>
      <c r="K515" s="5" t="s">
        <v>22</v>
      </c>
      <c r="L515" s="5">
        <v>1284008400</v>
      </c>
      <c r="M515" s="5">
        <v>1284181200</v>
      </c>
      <c r="N515" s="8">
        <f t="shared" ref="N515:N578" si="33">(((L515/60)/60)/24)+DATE(1970,1,1)</f>
        <v>40430.208333333336</v>
      </c>
      <c r="O515" s="8">
        <f t="shared" ref="O515:O578" si="34">(((M515/60)/60)/24)+DATE(1970,1,1)</f>
        <v>40432.208333333336</v>
      </c>
      <c r="P515" s="21" t="str">
        <f>TEXT(CrowdfundingTable[[#This Row],[date_created]],"ddd")</f>
        <v>Thu</v>
      </c>
      <c r="Q515" s="21">
        <f>_xlfn.DAYS(CrowdfundingTable[[#This Row],[date_ended]],CrowdfundingTable[[#This Row],[date_created]])</f>
        <v>2</v>
      </c>
      <c r="R515" s="5" t="b">
        <v>0</v>
      </c>
      <c r="S515" s="5" t="b">
        <v>0</v>
      </c>
      <c r="T515" s="5" t="s">
        <v>269</v>
      </c>
      <c r="U515" s="5" t="s">
        <v>2032</v>
      </c>
      <c r="V515" s="5" t="s">
        <v>2060</v>
      </c>
      <c r="W515" s="5"/>
    </row>
    <row r="516" spans="1:23" ht="17" x14ac:dyDescent="0.2">
      <c r="A516" s="5">
        <v>514</v>
      </c>
      <c r="B516" s="5" t="s">
        <v>1074</v>
      </c>
      <c r="C516" s="6" t="s">
        <v>1075</v>
      </c>
      <c r="D516" s="94">
        <v>138700</v>
      </c>
      <c r="E516" s="94">
        <v>31123</v>
      </c>
      <c r="F516" s="7">
        <f t="shared" ref="F516:F579" si="35">E516/D516</f>
        <v>0.22439077144917088</v>
      </c>
      <c r="G516" s="5" t="s">
        <v>74</v>
      </c>
      <c r="H516" s="5">
        <v>528</v>
      </c>
      <c r="I516" s="96">
        <f t="shared" si="32"/>
        <v>58.945075757575758</v>
      </c>
      <c r="J516" s="5" t="s">
        <v>98</v>
      </c>
      <c r="K516" s="5" t="s">
        <v>99</v>
      </c>
      <c r="L516" s="5">
        <v>1386309600</v>
      </c>
      <c r="M516" s="5">
        <v>1386741600</v>
      </c>
      <c r="N516" s="8">
        <f t="shared" si="33"/>
        <v>41614.25</v>
      </c>
      <c r="O516" s="8">
        <f t="shared" si="34"/>
        <v>41619.25</v>
      </c>
      <c r="P516" s="21" t="str">
        <f>TEXT(CrowdfundingTable[[#This Row],[date_created]],"ddd")</f>
        <v>Fri</v>
      </c>
      <c r="Q516" s="21">
        <f>_xlfn.DAYS(CrowdfundingTable[[#This Row],[date_ended]],CrowdfundingTable[[#This Row],[date_created]])</f>
        <v>5</v>
      </c>
      <c r="R516" s="5" t="b">
        <v>0</v>
      </c>
      <c r="S516" s="5" t="b">
        <v>1</v>
      </c>
      <c r="T516" s="5" t="s">
        <v>23</v>
      </c>
      <c r="U516" s="5" t="s">
        <v>2036</v>
      </c>
      <c r="V516" s="5" t="s">
        <v>2057</v>
      </c>
      <c r="W516" s="5"/>
    </row>
    <row r="517" spans="1:23" ht="17" x14ac:dyDescent="0.2">
      <c r="A517" s="5">
        <v>515</v>
      </c>
      <c r="B517" s="5" t="s">
        <v>1076</v>
      </c>
      <c r="C517" s="6" t="s">
        <v>1077</v>
      </c>
      <c r="D517" s="94">
        <v>8600</v>
      </c>
      <c r="E517" s="94">
        <v>4797</v>
      </c>
      <c r="F517" s="7">
        <f t="shared" si="35"/>
        <v>0.55779069767441858</v>
      </c>
      <c r="G517" s="5" t="s">
        <v>14</v>
      </c>
      <c r="H517" s="5">
        <v>133</v>
      </c>
      <c r="I517" s="96">
        <f t="shared" si="32"/>
        <v>36.067669172932334</v>
      </c>
      <c r="J517" s="5" t="s">
        <v>15</v>
      </c>
      <c r="K517" s="5" t="s">
        <v>16</v>
      </c>
      <c r="L517" s="5">
        <v>1324620000</v>
      </c>
      <c r="M517" s="5">
        <v>1324792800</v>
      </c>
      <c r="N517" s="8">
        <f t="shared" si="33"/>
        <v>40900.25</v>
      </c>
      <c r="O517" s="8">
        <f t="shared" si="34"/>
        <v>40902.25</v>
      </c>
      <c r="P517" s="21" t="str">
        <f>TEXT(CrowdfundingTable[[#This Row],[date_created]],"ddd")</f>
        <v>Fri</v>
      </c>
      <c r="Q517" s="21">
        <f>_xlfn.DAYS(CrowdfundingTable[[#This Row],[date_ended]],CrowdfundingTable[[#This Row],[date_created]])</f>
        <v>2</v>
      </c>
      <c r="R517" s="5" t="b">
        <v>0</v>
      </c>
      <c r="S517" s="5" t="b">
        <v>1</v>
      </c>
      <c r="T517" s="5" t="s">
        <v>33</v>
      </c>
      <c r="U517" s="5" t="s">
        <v>2040</v>
      </c>
      <c r="V517" s="5" t="s">
        <v>2055</v>
      </c>
      <c r="W517" s="5"/>
    </row>
    <row r="518" spans="1:23" ht="17" x14ac:dyDescent="0.2">
      <c r="A518" s="5">
        <v>516</v>
      </c>
      <c r="B518" s="5" t="s">
        <v>1078</v>
      </c>
      <c r="C518" s="6" t="s">
        <v>1079</v>
      </c>
      <c r="D518" s="94">
        <v>125400</v>
      </c>
      <c r="E518" s="94">
        <v>53324</v>
      </c>
      <c r="F518" s="7">
        <f t="shared" si="35"/>
        <v>0.42523125996810207</v>
      </c>
      <c r="G518" s="5" t="s">
        <v>14</v>
      </c>
      <c r="H518" s="5">
        <v>846</v>
      </c>
      <c r="I518" s="96">
        <f t="shared" si="32"/>
        <v>63.030732860520096</v>
      </c>
      <c r="J518" s="5" t="s">
        <v>21</v>
      </c>
      <c r="K518" s="5" t="s">
        <v>22</v>
      </c>
      <c r="L518" s="5">
        <v>1281070800</v>
      </c>
      <c r="M518" s="5">
        <v>1284354000</v>
      </c>
      <c r="N518" s="8">
        <f t="shared" si="33"/>
        <v>40396.208333333336</v>
      </c>
      <c r="O518" s="8">
        <f t="shared" si="34"/>
        <v>40434.208333333336</v>
      </c>
      <c r="P518" s="21" t="str">
        <f>TEXT(CrowdfundingTable[[#This Row],[date_created]],"ddd")</f>
        <v>Fri</v>
      </c>
      <c r="Q518" s="21">
        <f>_xlfn.DAYS(CrowdfundingTable[[#This Row],[date_ended]],CrowdfundingTable[[#This Row],[date_created]])</f>
        <v>38</v>
      </c>
      <c r="R518" s="5" t="b">
        <v>0</v>
      </c>
      <c r="S518" s="5" t="b">
        <v>0</v>
      </c>
      <c r="T518" s="5" t="s">
        <v>68</v>
      </c>
      <c r="U518" s="5" t="s">
        <v>2038</v>
      </c>
      <c r="V518" s="5" t="s">
        <v>2053</v>
      </c>
      <c r="W518" s="5"/>
    </row>
    <row r="519" spans="1:23" ht="17" x14ac:dyDescent="0.2">
      <c r="A519" s="5">
        <v>517</v>
      </c>
      <c r="B519" s="5" t="s">
        <v>1080</v>
      </c>
      <c r="C519" s="6" t="s">
        <v>1081</v>
      </c>
      <c r="D519" s="94">
        <v>5900</v>
      </c>
      <c r="E519" s="94">
        <v>6608</v>
      </c>
      <c r="F519" s="7">
        <f t="shared" si="35"/>
        <v>1.1200000000000001</v>
      </c>
      <c r="G519" s="5" t="s">
        <v>20</v>
      </c>
      <c r="H519" s="5">
        <v>78</v>
      </c>
      <c r="I519" s="96">
        <f t="shared" si="32"/>
        <v>84.717948717948715</v>
      </c>
      <c r="J519" s="5" t="s">
        <v>21</v>
      </c>
      <c r="K519" s="5" t="s">
        <v>22</v>
      </c>
      <c r="L519" s="5">
        <v>1493960400</v>
      </c>
      <c r="M519" s="5">
        <v>1494392400</v>
      </c>
      <c r="N519" s="8">
        <f t="shared" si="33"/>
        <v>42860.208333333328</v>
      </c>
      <c r="O519" s="8">
        <f t="shared" si="34"/>
        <v>42865.208333333328</v>
      </c>
      <c r="P519" s="21" t="str">
        <f>TEXT(CrowdfundingTable[[#This Row],[date_created]],"ddd")</f>
        <v>Fri</v>
      </c>
      <c r="Q519" s="21">
        <f>_xlfn.DAYS(CrowdfundingTable[[#This Row],[date_ended]],CrowdfundingTable[[#This Row],[date_created]])</f>
        <v>5</v>
      </c>
      <c r="R519" s="5" t="b">
        <v>0</v>
      </c>
      <c r="S519" s="5" t="b">
        <v>0</v>
      </c>
      <c r="T519" s="5" t="s">
        <v>17</v>
      </c>
      <c r="U519" s="5" t="s">
        <v>2033</v>
      </c>
      <c r="V519" s="5" t="s">
        <v>2048</v>
      </c>
      <c r="W519" s="5"/>
    </row>
    <row r="520" spans="1:23" ht="17" x14ac:dyDescent="0.2">
      <c r="A520" s="5">
        <v>518</v>
      </c>
      <c r="B520" s="5" t="s">
        <v>1082</v>
      </c>
      <c r="C520" s="6" t="s">
        <v>1083</v>
      </c>
      <c r="D520" s="94">
        <v>8800</v>
      </c>
      <c r="E520" s="94">
        <v>622</v>
      </c>
      <c r="F520" s="7">
        <f t="shared" si="35"/>
        <v>7.0681818181818179E-2</v>
      </c>
      <c r="G520" s="5" t="s">
        <v>14</v>
      </c>
      <c r="H520" s="5">
        <v>10</v>
      </c>
      <c r="I520" s="96">
        <f t="shared" si="32"/>
        <v>62.2</v>
      </c>
      <c r="J520" s="5" t="s">
        <v>21</v>
      </c>
      <c r="K520" s="5" t="s">
        <v>22</v>
      </c>
      <c r="L520" s="5">
        <v>1519365600</v>
      </c>
      <c r="M520" s="5">
        <v>1519538400</v>
      </c>
      <c r="N520" s="8">
        <f t="shared" si="33"/>
        <v>43154.25</v>
      </c>
      <c r="O520" s="8">
        <f t="shared" si="34"/>
        <v>43156.25</v>
      </c>
      <c r="P520" s="21" t="str">
        <f>TEXT(CrowdfundingTable[[#This Row],[date_created]],"ddd")</f>
        <v>Fri</v>
      </c>
      <c r="Q520" s="21">
        <f>_xlfn.DAYS(CrowdfundingTable[[#This Row],[date_ended]],CrowdfundingTable[[#This Row],[date_created]])</f>
        <v>2</v>
      </c>
      <c r="R520" s="5" t="b">
        <v>0</v>
      </c>
      <c r="S520" s="5" t="b">
        <v>1</v>
      </c>
      <c r="T520" s="5" t="s">
        <v>71</v>
      </c>
      <c r="U520" s="5" t="s">
        <v>2032</v>
      </c>
      <c r="V520" s="5" t="s">
        <v>2042</v>
      </c>
      <c r="W520" s="5"/>
    </row>
    <row r="521" spans="1:23" ht="17" x14ac:dyDescent="0.2">
      <c r="A521" s="5">
        <v>519</v>
      </c>
      <c r="B521" s="5" t="s">
        <v>1084</v>
      </c>
      <c r="C521" s="6" t="s">
        <v>1085</v>
      </c>
      <c r="D521" s="94">
        <v>177700</v>
      </c>
      <c r="E521" s="94">
        <v>180802</v>
      </c>
      <c r="F521" s="7">
        <f t="shared" si="35"/>
        <v>1.0174563871693867</v>
      </c>
      <c r="G521" s="5" t="s">
        <v>20</v>
      </c>
      <c r="H521" s="5">
        <v>1773</v>
      </c>
      <c r="I521" s="96">
        <f t="shared" si="32"/>
        <v>101.97518330513255</v>
      </c>
      <c r="J521" s="5" t="s">
        <v>21</v>
      </c>
      <c r="K521" s="5" t="s">
        <v>22</v>
      </c>
      <c r="L521" s="5">
        <v>1420696800</v>
      </c>
      <c r="M521" s="5">
        <v>1421906400</v>
      </c>
      <c r="N521" s="8">
        <f t="shared" si="33"/>
        <v>42012.25</v>
      </c>
      <c r="O521" s="8">
        <f t="shared" si="34"/>
        <v>42026.25</v>
      </c>
      <c r="P521" s="21" t="str">
        <f>TEXT(CrowdfundingTable[[#This Row],[date_created]],"ddd")</f>
        <v>Thu</v>
      </c>
      <c r="Q521" s="21">
        <f>_xlfn.DAYS(CrowdfundingTable[[#This Row],[date_ended]],CrowdfundingTable[[#This Row],[date_created]])</f>
        <v>14</v>
      </c>
      <c r="R521" s="5" t="b">
        <v>0</v>
      </c>
      <c r="S521" s="5" t="b">
        <v>1</v>
      </c>
      <c r="T521" s="5" t="s">
        <v>23</v>
      </c>
      <c r="U521" s="5" t="s">
        <v>2036</v>
      </c>
      <c r="V521" s="5" t="s">
        <v>2057</v>
      </c>
      <c r="W521" s="5"/>
    </row>
    <row r="522" spans="1:23" ht="17" x14ac:dyDescent="0.2">
      <c r="A522" s="5">
        <v>520</v>
      </c>
      <c r="B522" s="5" t="s">
        <v>1086</v>
      </c>
      <c r="C522" s="6" t="s">
        <v>1087</v>
      </c>
      <c r="D522" s="94">
        <v>800</v>
      </c>
      <c r="E522" s="94">
        <v>3406</v>
      </c>
      <c r="F522" s="7">
        <f t="shared" si="35"/>
        <v>4.2575000000000003</v>
      </c>
      <c r="G522" s="5" t="s">
        <v>20</v>
      </c>
      <c r="H522" s="5">
        <v>32</v>
      </c>
      <c r="I522" s="96">
        <f t="shared" si="32"/>
        <v>106.4375</v>
      </c>
      <c r="J522" s="5" t="s">
        <v>21</v>
      </c>
      <c r="K522" s="5" t="s">
        <v>22</v>
      </c>
      <c r="L522" s="5">
        <v>1555650000</v>
      </c>
      <c r="M522" s="5">
        <v>1555909200</v>
      </c>
      <c r="N522" s="8">
        <f t="shared" si="33"/>
        <v>43574.208333333328</v>
      </c>
      <c r="O522" s="8">
        <f t="shared" si="34"/>
        <v>43577.208333333328</v>
      </c>
      <c r="P522" s="21" t="str">
        <f>TEXT(CrowdfundingTable[[#This Row],[date_created]],"ddd")</f>
        <v>Fri</v>
      </c>
      <c r="Q522" s="21">
        <f>_xlfn.DAYS(CrowdfundingTable[[#This Row],[date_ended]],CrowdfundingTable[[#This Row],[date_created]])</f>
        <v>3</v>
      </c>
      <c r="R522" s="5" t="b">
        <v>0</v>
      </c>
      <c r="S522" s="5" t="b">
        <v>0</v>
      </c>
      <c r="T522" s="5" t="s">
        <v>33</v>
      </c>
      <c r="U522" s="5" t="s">
        <v>2040</v>
      </c>
      <c r="V522" s="5" t="s">
        <v>2055</v>
      </c>
      <c r="W522" s="5"/>
    </row>
    <row r="523" spans="1:23" ht="17" x14ac:dyDescent="0.2">
      <c r="A523" s="5">
        <v>521</v>
      </c>
      <c r="B523" s="5" t="s">
        <v>1088</v>
      </c>
      <c r="C523" s="6" t="s">
        <v>141</v>
      </c>
      <c r="D523" s="94">
        <v>7600</v>
      </c>
      <c r="E523" s="94">
        <v>11061</v>
      </c>
      <c r="F523" s="7">
        <f t="shared" si="35"/>
        <v>1.4553947368421052</v>
      </c>
      <c r="G523" s="5" t="s">
        <v>20</v>
      </c>
      <c r="H523" s="5">
        <v>369</v>
      </c>
      <c r="I523" s="96">
        <f t="shared" si="32"/>
        <v>29.975609756097562</v>
      </c>
      <c r="J523" s="5" t="s">
        <v>21</v>
      </c>
      <c r="K523" s="5" t="s">
        <v>22</v>
      </c>
      <c r="L523" s="5">
        <v>1471928400</v>
      </c>
      <c r="M523" s="5">
        <v>1472446800</v>
      </c>
      <c r="N523" s="8">
        <f t="shared" si="33"/>
        <v>42605.208333333328</v>
      </c>
      <c r="O523" s="8">
        <f t="shared" si="34"/>
        <v>42611.208333333328</v>
      </c>
      <c r="P523" s="21" t="str">
        <f>TEXT(CrowdfundingTable[[#This Row],[date_created]],"ddd")</f>
        <v>Tue</v>
      </c>
      <c r="Q523" s="21">
        <f>_xlfn.DAYS(CrowdfundingTable[[#This Row],[date_ended]],CrowdfundingTable[[#This Row],[date_created]])</f>
        <v>6</v>
      </c>
      <c r="R523" s="5" t="b">
        <v>0</v>
      </c>
      <c r="S523" s="5" t="b">
        <v>1</v>
      </c>
      <c r="T523" s="5" t="s">
        <v>53</v>
      </c>
      <c r="U523" s="5" t="s">
        <v>2032</v>
      </c>
      <c r="V523" s="5" t="s">
        <v>2045</v>
      </c>
      <c r="W523" s="5"/>
    </row>
    <row r="524" spans="1:23" ht="17" x14ac:dyDescent="0.2">
      <c r="A524" s="5">
        <v>522</v>
      </c>
      <c r="B524" s="5" t="s">
        <v>1089</v>
      </c>
      <c r="C524" s="6" t="s">
        <v>1090</v>
      </c>
      <c r="D524" s="94">
        <v>50500</v>
      </c>
      <c r="E524" s="94">
        <v>16389</v>
      </c>
      <c r="F524" s="7">
        <f t="shared" si="35"/>
        <v>0.32453465346534655</v>
      </c>
      <c r="G524" s="5" t="s">
        <v>14</v>
      </c>
      <c r="H524" s="5">
        <v>191</v>
      </c>
      <c r="I524" s="96">
        <f t="shared" si="32"/>
        <v>85.806282722513089</v>
      </c>
      <c r="J524" s="5" t="s">
        <v>21</v>
      </c>
      <c r="K524" s="5" t="s">
        <v>22</v>
      </c>
      <c r="L524" s="5">
        <v>1341291600</v>
      </c>
      <c r="M524" s="5">
        <v>1342328400</v>
      </c>
      <c r="N524" s="8">
        <f t="shared" si="33"/>
        <v>41093.208333333336</v>
      </c>
      <c r="O524" s="8">
        <f t="shared" si="34"/>
        <v>41105.208333333336</v>
      </c>
      <c r="P524" s="21" t="str">
        <f>TEXT(CrowdfundingTable[[#This Row],[date_created]],"ddd")</f>
        <v>Tue</v>
      </c>
      <c r="Q524" s="21">
        <f>_xlfn.DAYS(CrowdfundingTable[[#This Row],[date_ended]],CrowdfundingTable[[#This Row],[date_created]])</f>
        <v>12</v>
      </c>
      <c r="R524" s="5" t="b">
        <v>0</v>
      </c>
      <c r="S524" s="5" t="b">
        <v>0</v>
      </c>
      <c r="T524" s="5" t="s">
        <v>100</v>
      </c>
      <c r="U524" s="5" t="s">
        <v>2032</v>
      </c>
      <c r="V524" s="5" t="s">
        <v>2059</v>
      </c>
      <c r="W524" s="5"/>
    </row>
    <row r="525" spans="1:23" ht="17" x14ac:dyDescent="0.2">
      <c r="A525" s="5">
        <v>523</v>
      </c>
      <c r="B525" s="5" t="s">
        <v>1091</v>
      </c>
      <c r="C525" s="6" t="s">
        <v>1092</v>
      </c>
      <c r="D525" s="94">
        <v>900</v>
      </c>
      <c r="E525" s="94">
        <v>6303</v>
      </c>
      <c r="F525" s="7">
        <f t="shared" si="35"/>
        <v>7.003333333333333</v>
      </c>
      <c r="G525" s="5" t="s">
        <v>20</v>
      </c>
      <c r="H525" s="5">
        <v>89</v>
      </c>
      <c r="I525" s="96">
        <f t="shared" si="32"/>
        <v>70.82022471910112</v>
      </c>
      <c r="J525" s="5" t="s">
        <v>21</v>
      </c>
      <c r="K525" s="5" t="s">
        <v>22</v>
      </c>
      <c r="L525" s="5">
        <v>1267682400</v>
      </c>
      <c r="M525" s="5">
        <v>1268114400</v>
      </c>
      <c r="N525" s="8">
        <f t="shared" si="33"/>
        <v>40241.25</v>
      </c>
      <c r="O525" s="8">
        <f t="shared" si="34"/>
        <v>40246.25</v>
      </c>
      <c r="P525" s="21" t="str">
        <f>TEXT(CrowdfundingTable[[#This Row],[date_created]],"ddd")</f>
        <v>Thu</v>
      </c>
      <c r="Q525" s="21">
        <f>_xlfn.DAYS(CrowdfundingTable[[#This Row],[date_ended]],CrowdfundingTable[[#This Row],[date_created]])</f>
        <v>5</v>
      </c>
      <c r="R525" s="5" t="b">
        <v>0</v>
      </c>
      <c r="S525" s="5" t="b">
        <v>0</v>
      </c>
      <c r="T525" s="5" t="s">
        <v>100</v>
      </c>
      <c r="U525" s="5" t="s">
        <v>2032</v>
      </c>
      <c r="V525" s="5" t="s">
        <v>2059</v>
      </c>
      <c r="W525" s="5"/>
    </row>
    <row r="526" spans="1:23" ht="17" x14ac:dyDescent="0.2">
      <c r="A526" s="5">
        <v>524</v>
      </c>
      <c r="B526" s="5" t="s">
        <v>1093</v>
      </c>
      <c r="C526" s="6" t="s">
        <v>1094</v>
      </c>
      <c r="D526" s="94">
        <v>96700</v>
      </c>
      <c r="E526" s="94">
        <v>81136</v>
      </c>
      <c r="F526" s="7">
        <f t="shared" si="35"/>
        <v>0.83904860392967939</v>
      </c>
      <c r="G526" s="5" t="s">
        <v>14</v>
      </c>
      <c r="H526" s="5">
        <v>1979</v>
      </c>
      <c r="I526" s="96">
        <f t="shared" si="32"/>
        <v>40.998484082870135</v>
      </c>
      <c r="J526" s="5" t="s">
        <v>21</v>
      </c>
      <c r="K526" s="5" t="s">
        <v>22</v>
      </c>
      <c r="L526" s="5">
        <v>1272258000</v>
      </c>
      <c r="M526" s="5">
        <v>1273381200</v>
      </c>
      <c r="N526" s="8">
        <f t="shared" si="33"/>
        <v>40294.208333333336</v>
      </c>
      <c r="O526" s="8">
        <f t="shared" si="34"/>
        <v>40307.208333333336</v>
      </c>
      <c r="P526" s="21" t="str">
        <f>TEXT(CrowdfundingTable[[#This Row],[date_created]],"ddd")</f>
        <v>Mon</v>
      </c>
      <c r="Q526" s="21">
        <f>_xlfn.DAYS(CrowdfundingTable[[#This Row],[date_ended]],CrowdfundingTable[[#This Row],[date_created]])</f>
        <v>13</v>
      </c>
      <c r="R526" s="5" t="b">
        <v>0</v>
      </c>
      <c r="S526" s="5" t="b">
        <v>0</v>
      </c>
      <c r="T526" s="5" t="s">
        <v>33</v>
      </c>
      <c r="U526" s="5" t="s">
        <v>2040</v>
      </c>
      <c r="V526" s="5" t="s">
        <v>2055</v>
      </c>
      <c r="W526" s="5"/>
    </row>
    <row r="527" spans="1:23" ht="17" x14ac:dyDescent="0.2">
      <c r="A527" s="5">
        <v>525</v>
      </c>
      <c r="B527" s="5" t="s">
        <v>1095</v>
      </c>
      <c r="C527" s="6" t="s">
        <v>1096</v>
      </c>
      <c r="D527" s="94">
        <v>2100</v>
      </c>
      <c r="E527" s="94">
        <v>1768</v>
      </c>
      <c r="F527" s="7">
        <f t="shared" si="35"/>
        <v>0.84190476190476193</v>
      </c>
      <c r="G527" s="5" t="s">
        <v>14</v>
      </c>
      <c r="H527" s="5">
        <v>63</v>
      </c>
      <c r="I527" s="96">
        <f t="shared" si="32"/>
        <v>28.063492063492063</v>
      </c>
      <c r="J527" s="5" t="s">
        <v>21</v>
      </c>
      <c r="K527" s="5" t="s">
        <v>22</v>
      </c>
      <c r="L527" s="5">
        <v>1290492000</v>
      </c>
      <c r="M527" s="5">
        <v>1290837600</v>
      </c>
      <c r="N527" s="8">
        <f t="shared" si="33"/>
        <v>40505.25</v>
      </c>
      <c r="O527" s="8">
        <f t="shared" si="34"/>
        <v>40509.25</v>
      </c>
      <c r="P527" s="21" t="str">
        <f>TEXT(CrowdfundingTable[[#This Row],[date_created]],"ddd")</f>
        <v>Tue</v>
      </c>
      <c r="Q527" s="21">
        <f>_xlfn.DAYS(CrowdfundingTable[[#This Row],[date_ended]],CrowdfundingTable[[#This Row],[date_created]])</f>
        <v>4</v>
      </c>
      <c r="R527" s="5" t="b">
        <v>0</v>
      </c>
      <c r="S527" s="5" t="b">
        <v>0</v>
      </c>
      <c r="T527" s="5" t="s">
        <v>65</v>
      </c>
      <c r="U527" s="5" t="s">
        <v>2039</v>
      </c>
      <c r="V527" s="5" t="s">
        <v>2063</v>
      </c>
      <c r="W527" s="5"/>
    </row>
    <row r="528" spans="1:23" ht="34" x14ac:dyDescent="0.2">
      <c r="A528" s="5">
        <v>526</v>
      </c>
      <c r="B528" s="5" t="s">
        <v>1097</v>
      </c>
      <c r="C528" s="6" t="s">
        <v>1098</v>
      </c>
      <c r="D528" s="94">
        <v>8300</v>
      </c>
      <c r="E528" s="94">
        <v>12944</v>
      </c>
      <c r="F528" s="7">
        <f t="shared" si="35"/>
        <v>1.5595180722891566</v>
      </c>
      <c r="G528" s="5" t="s">
        <v>20</v>
      </c>
      <c r="H528" s="5">
        <v>147</v>
      </c>
      <c r="I528" s="96">
        <f t="shared" si="32"/>
        <v>88.054421768707485</v>
      </c>
      <c r="J528" s="5" t="s">
        <v>21</v>
      </c>
      <c r="K528" s="5" t="s">
        <v>22</v>
      </c>
      <c r="L528" s="5">
        <v>1451109600</v>
      </c>
      <c r="M528" s="5">
        <v>1454306400</v>
      </c>
      <c r="N528" s="8">
        <f t="shared" si="33"/>
        <v>42364.25</v>
      </c>
      <c r="O528" s="8">
        <f t="shared" si="34"/>
        <v>42401.25</v>
      </c>
      <c r="P528" s="21" t="str">
        <f>TEXT(CrowdfundingTable[[#This Row],[date_created]],"ddd")</f>
        <v>Sat</v>
      </c>
      <c r="Q528" s="21">
        <f>_xlfn.DAYS(CrowdfundingTable[[#This Row],[date_ended]],CrowdfundingTable[[#This Row],[date_created]])</f>
        <v>37</v>
      </c>
      <c r="R528" s="5" t="b">
        <v>0</v>
      </c>
      <c r="S528" s="5" t="b">
        <v>1</v>
      </c>
      <c r="T528" s="5" t="s">
        <v>33</v>
      </c>
      <c r="U528" s="5" t="s">
        <v>2040</v>
      </c>
      <c r="V528" s="5" t="s">
        <v>2055</v>
      </c>
      <c r="W528" s="5"/>
    </row>
    <row r="529" spans="1:23" ht="17" x14ac:dyDescent="0.2">
      <c r="A529" s="5">
        <v>527</v>
      </c>
      <c r="B529" s="5" t="s">
        <v>1099</v>
      </c>
      <c r="C529" s="6" t="s">
        <v>1100</v>
      </c>
      <c r="D529" s="94">
        <v>189200</v>
      </c>
      <c r="E529" s="94">
        <v>188480</v>
      </c>
      <c r="F529" s="7">
        <f t="shared" si="35"/>
        <v>0.99619450317124736</v>
      </c>
      <c r="G529" s="5" t="s">
        <v>14</v>
      </c>
      <c r="H529" s="5">
        <v>6080</v>
      </c>
      <c r="I529" s="96">
        <f t="shared" si="32"/>
        <v>31</v>
      </c>
      <c r="J529" s="5" t="s">
        <v>15</v>
      </c>
      <c r="K529" s="5" t="s">
        <v>16</v>
      </c>
      <c r="L529" s="5">
        <v>1454652000</v>
      </c>
      <c r="M529" s="5">
        <v>1457762400</v>
      </c>
      <c r="N529" s="8">
        <f t="shared" si="33"/>
        <v>42405.25</v>
      </c>
      <c r="O529" s="8">
        <f t="shared" si="34"/>
        <v>42441.25</v>
      </c>
      <c r="P529" s="21" t="str">
        <f>TEXT(CrowdfundingTable[[#This Row],[date_created]],"ddd")</f>
        <v>Fri</v>
      </c>
      <c r="Q529" s="21">
        <f>_xlfn.DAYS(CrowdfundingTable[[#This Row],[date_ended]],CrowdfundingTable[[#This Row],[date_created]])</f>
        <v>36</v>
      </c>
      <c r="R529" s="5" t="b">
        <v>0</v>
      </c>
      <c r="S529" s="5" t="b">
        <v>0</v>
      </c>
      <c r="T529" s="5" t="s">
        <v>71</v>
      </c>
      <c r="U529" s="5" t="s">
        <v>2032</v>
      </c>
      <c r="V529" s="5" t="s">
        <v>2042</v>
      </c>
      <c r="W529" s="5"/>
    </row>
    <row r="530" spans="1:23" ht="17" x14ac:dyDescent="0.2">
      <c r="A530" s="5">
        <v>528</v>
      </c>
      <c r="B530" s="5" t="s">
        <v>1101</v>
      </c>
      <c r="C530" s="6" t="s">
        <v>1102</v>
      </c>
      <c r="D530" s="94">
        <v>9000</v>
      </c>
      <c r="E530" s="94">
        <v>7227</v>
      </c>
      <c r="F530" s="7">
        <f t="shared" si="35"/>
        <v>0.80300000000000005</v>
      </c>
      <c r="G530" s="5" t="s">
        <v>14</v>
      </c>
      <c r="H530" s="5">
        <v>80</v>
      </c>
      <c r="I530" s="96">
        <f t="shared" si="32"/>
        <v>90.337500000000006</v>
      </c>
      <c r="J530" s="5" t="s">
        <v>40</v>
      </c>
      <c r="K530" s="5" t="s">
        <v>41</v>
      </c>
      <c r="L530" s="5">
        <v>1385186400</v>
      </c>
      <c r="M530" s="5">
        <v>1389074400</v>
      </c>
      <c r="N530" s="8">
        <f t="shared" si="33"/>
        <v>41601.25</v>
      </c>
      <c r="O530" s="8">
        <f t="shared" si="34"/>
        <v>41646.25</v>
      </c>
      <c r="P530" s="21" t="str">
        <f>TEXT(CrowdfundingTable[[#This Row],[date_created]],"ddd")</f>
        <v>Sat</v>
      </c>
      <c r="Q530" s="21">
        <f>_xlfn.DAYS(CrowdfundingTable[[#This Row],[date_ended]],CrowdfundingTable[[#This Row],[date_created]])</f>
        <v>45</v>
      </c>
      <c r="R530" s="5" t="b">
        <v>0</v>
      </c>
      <c r="S530" s="5" t="b">
        <v>0</v>
      </c>
      <c r="T530" s="5" t="s">
        <v>60</v>
      </c>
      <c r="U530" s="5" t="s">
        <v>2036</v>
      </c>
      <c r="V530" s="5" t="s">
        <v>2049</v>
      </c>
      <c r="W530" s="5"/>
    </row>
    <row r="531" spans="1:23" ht="17" x14ac:dyDescent="0.2">
      <c r="A531" s="5">
        <v>529</v>
      </c>
      <c r="B531" s="5" t="s">
        <v>1103</v>
      </c>
      <c r="C531" s="6" t="s">
        <v>1104</v>
      </c>
      <c r="D531" s="94">
        <v>5100</v>
      </c>
      <c r="E531" s="94">
        <v>574</v>
      </c>
      <c r="F531" s="7">
        <f t="shared" si="35"/>
        <v>0.11254901960784314</v>
      </c>
      <c r="G531" s="5" t="s">
        <v>14</v>
      </c>
      <c r="H531" s="5">
        <v>9</v>
      </c>
      <c r="I531" s="96">
        <f t="shared" si="32"/>
        <v>63.777777777777779</v>
      </c>
      <c r="J531" s="5" t="s">
        <v>21</v>
      </c>
      <c r="K531" s="5" t="s">
        <v>22</v>
      </c>
      <c r="L531" s="5">
        <v>1399698000</v>
      </c>
      <c r="M531" s="5">
        <v>1402117200</v>
      </c>
      <c r="N531" s="8">
        <f t="shared" si="33"/>
        <v>41769.208333333336</v>
      </c>
      <c r="O531" s="8">
        <f t="shared" si="34"/>
        <v>41797.208333333336</v>
      </c>
      <c r="P531" s="21" t="str">
        <f>TEXT(CrowdfundingTable[[#This Row],[date_created]],"ddd")</f>
        <v>Sat</v>
      </c>
      <c r="Q531" s="21">
        <f>_xlfn.DAYS(CrowdfundingTable[[#This Row],[date_ended]],CrowdfundingTable[[#This Row],[date_created]])</f>
        <v>28</v>
      </c>
      <c r="R531" s="5" t="b">
        <v>0</v>
      </c>
      <c r="S531" s="5" t="b">
        <v>0</v>
      </c>
      <c r="T531" s="5" t="s">
        <v>89</v>
      </c>
      <c r="U531" s="5" t="s">
        <v>2034</v>
      </c>
      <c r="V531" s="5" t="s">
        <v>2062</v>
      </c>
      <c r="W531" s="5"/>
    </row>
    <row r="532" spans="1:23" ht="17" x14ac:dyDescent="0.2">
      <c r="A532" s="5">
        <v>530</v>
      </c>
      <c r="B532" s="5" t="s">
        <v>1105</v>
      </c>
      <c r="C532" s="6" t="s">
        <v>1106</v>
      </c>
      <c r="D532" s="94">
        <v>105000</v>
      </c>
      <c r="E532" s="94">
        <v>96328</v>
      </c>
      <c r="F532" s="7">
        <f t="shared" si="35"/>
        <v>0.91740952380952379</v>
      </c>
      <c r="G532" s="5" t="s">
        <v>14</v>
      </c>
      <c r="H532" s="5">
        <v>1784</v>
      </c>
      <c r="I532" s="96">
        <f t="shared" si="32"/>
        <v>53.995515695067262</v>
      </c>
      <c r="J532" s="5" t="s">
        <v>21</v>
      </c>
      <c r="K532" s="5" t="s">
        <v>22</v>
      </c>
      <c r="L532" s="5">
        <v>1283230800</v>
      </c>
      <c r="M532" s="5">
        <v>1284440400</v>
      </c>
      <c r="N532" s="8">
        <f t="shared" si="33"/>
        <v>40421.208333333336</v>
      </c>
      <c r="O532" s="8">
        <f t="shared" si="34"/>
        <v>40435.208333333336</v>
      </c>
      <c r="P532" s="21" t="str">
        <f>TEXT(CrowdfundingTable[[#This Row],[date_created]],"ddd")</f>
        <v>Tue</v>
      </c>
      <c r="Q532" s="21">
        <f>_xlfn.DAYS(CrowdfundingTable[[#This Row],[date_ended]],CrowdfundingTable[[#This Row],[date_created]])</f>
        <v>14</v>
      </c>
      <c r="R532" s="5" t="b">
        <v>0</v>
      </c>
      <c r="S532" s="5" t="b">
        <v>1</v>
      </c>
      <c r="T532" s="5" t="s">
        <v>119</v>
      </c>
      <c r="U532" s="5" t="s">
        <v>2038</v>
      </c>
      <c r="V532" s="5" t="s">
        <v>2047</v>
      </c>
      <c r="W532" s="5"/>
    </row>
    <row r="533" spans="1:23" ht="34" x14ac:dyDescent="0.2">
      <c r="A533" s="5">
        <v>531</v>
      </c>
      <c r="B533" s="5" t="s">
        <v>1107</v>
      </c>
      <c r="C533" s="6" t="s">
        <v>1108</v>
      </c>
      <c r="D533" s="94">
        <v>186700</v>
      </c>
      <c r="E533" s="94">
        <v>178338</v>
      </c>
      <c r="F533" s="7">
        <f t="shared" si="35"/>
        <v>0.95521156936261387</v>
      </c>
      <c r="G533" s="5" t="s">
        <v>47</v>
      </c>
      <c r="H533" s="5">
        <v>3640</v>
      </c>
      <c r="I533" s="96">
        <f t="shared" si="32"/>
        <v>48.993956043956047</v>
      </c>
      <c r="J533" s="5" t="s">
        <v>98</v>
      </c>
      <c r="K533" s="5" t="s">
        <v>99</v>
      </c>
      <c r="L533" s="5">
        <v>1384149600</v>
      </c>
      <c r="M533" s="5">
        <v>1388988000</v>
      </c>
      <c r="N533" s="8">
        <f t="shared" si="33"/>
        <v>41589.25</v>
      </c>
      <c r="O533" s="8">
        <f t="shared" si="34"/>
        <v>41645.25</v>
      </c>
      <c r="P533" s="21" t="str">
        <f>TEXT(CrowdfundingTable[[#This Row],[date_created]],"ddd")</f>
        <v>Mon</v>
      </c>
      <c r="Q533" s="21">
        <f>_xlfn.DAYS(CrowdfundingTable[[#This Row],[date_ended]],CrowdfundingTable[[#This Row],[date_created]])</f>
        <v>56</v>
      </c>
      <c r="R533" s="5" t="b">
        <v>0</v>
      </c>
      <c r="S533" s="5" t="b">
        <v>0</v>
      </c>
      <c r="T533" s="5" t="s">
        <v>89</v>
      </c>
      <c r="U533" s="5" t="s">
        <v>2034</v>
      </c>
      <c r="V533" s="5" t="s">
        <v>2062</v>
      </c>
      <c r="W533" s="5"/>
    </row>
    <row r="534" spans="1:23" ht="17" x14ac:dyDescent="0.2">
      <c r="A534" s="5">
        <v>532</v>
      </c>
      <c r="B534" s="5" t="s">
        <v>1109</v>
      </c>
      <c r="C534" s="6" t="s">
        <v>1110</v>
      </c>
      <c r="D534" s="94">
        <v>1600</v>
      </c>
      <c r="E534" s="94">
        <v>8046</v>
      </c>
      <c r="F534" s="7">
        <f t="shared" si="35"/>
        <v>5.0287499999999996</v>
      </c>
      <c r="G534" s="5" t="s">
        <v>20</v>
      </c>
      <c r="H534" s="5">
        <v>126</v>
      </c>
      <c r="I534" s="96">
        <f t="shared" si="32"/>
        <v>63.857142857142854</v>
      </c>
      <c r="J534" s="5" t="s">
        <v>15</v>
      </c>
      <c r="K534" s="5" t="s">
        <v>16</v>
      </c>
      <c r="L534" s="5">
        <v>1516860000</v>
      </c>
      <c r="M534" s="5">
        <v>1516946400</v>
      </c>
      <c r="N534" s="8">
        <f t="shared" si="33"/>
        <v>43125.25</v>
      </c>
      <c r="O534" s="8">
        <f t="shared" si="34"/>
        <v>43126.25</v>
      </c>
      <c r="P534" s="21" t="str">
        <f>TEXT(CrowdfundingTable[[#This Row],[date_created]],"ddd")</f>
        <v>Thu</v>
      </c>
      <c r="Q534" s="21">
        <f>_xlfn.DAYS(CrowdfundingTable[[#This Row],[date_ended]],CrowdfundingTable[[#This Row],[date_created]])</f>
        <v>1</v>
      </c>
      <c r="R534" s="5" t="b">
        <v>0</v>
      </c>
      <c r="S534" s="5" t="b">
        <v>0</v>
      </c>
      <c r="T534" s="5" t="s">
        <v>33</v>
      </c>
      <c r="U534" s="5" t="s">
        <v>2040</v>
      </c>
      <c r="V534" s="5" t="s">
        <v>2055</v>
      </c>
      <c r="W534" s="5"/>
    </row>
    <row r="535" spans="1:23" ht="17" x14ac:dyDescent="0.2">
      <c r="A535" s="5">
        <v>533</v>
      </c>
      <c r="B535" s="5" t="s">
        <v>1111</v>
      </c>
      <c r="C535" s="6" t="s">
        <v>1112</v>
      </c>
      <c r="D535" s="94">
        <v>115600</v>
      </c>
      <c r="E535" s="94">
        <v>184086</v>
      </c>
      <c r="F535" s="7">
        <f t="shared" si="35"/>
        <v>1.5924394463667819</v>
      </c>
      <c r="G535" s="5" t="s">
        <v>20</v>
      </c>
      <c r="H535" s="5">
        <v>2218</v>
      </c>
      <c r="I535" s="96">
        <f t="shared" si="32"/>
        <v>82.996393146979258</v>
      </c>
      <c r="J535" s="5" t="s">
        <v>40</v>
      </c>
      <c r="K535" s="5" t="s">
        <v>41</v>
      </c>
      <c r="L535" s="5">
        <v>1374642000</v>
      </c>
      <c r="M535" s="5">
        <v>1377752400</v>
      </c>
      <c r="N535" s="8">
        <f t="shared" si="33"/>
        <v>41479.208333333336</v>
      </c>
      <c r="O535" s="8">
        <f t="shared" si="34"/>
        <v>41515.208333333336</v>
      </c>
      <c r="P535" s="21" t="str">
        <f>TEXT(CrowdfundingTable[[#This Row],[date_created]],"ddd")</f>
        <v>Wed</v>
      </c>
      <c r="Q535" s="21">
        <f>_xlfn.DAYS(CrowdfundingTable[[#This Row],[date_ended]],CrowdfundingTable[[#This Row],[date_created]])</f>
        <v>36</v>
      </c>
      <c r="R535" s="5" t="b">
        <v>0</v>
      </c>
      <c r="S535" s="5" t="b">
        <v>0</v>
      </c>
      <c r="T535" s="5" t="s">
        <v>60</v>
      </c>
      <c r="U535" s="5" t="s">
        <v>2036</v>
      </c>
      <c r="V535" s="5" t="s">
        <v>2049</v>
      </c>
      <c r="W535" s="5"/>
    </row>
    <row r="536" spans="1:23" ht="17" x14ac:dyDescent="0.2">
      <c r="A536" s="5">
        <v>534</v>
      </c>
      <c r="B536" s="5" t="s">
        <v>1113</v>
      </c>
      <c r="C536" s="6" t="s">
        <v>1114</v>
      </c>
      <c r="D536" s="94">
        <v>89100</v>
      </c>
      <c r="E536" s="94">
        <v>13385</v>
      </c>
      <c r="F536" s="7">
        <f t="shared" si="35"/>
        <v>0.15022446689113356</v>
      </c>
      <c r="G536" s="5" t="s">
        <v>14</v>
      </c>
      <c r="H536" s="5">
        <v>243</v>
      </c>
      <c r="I536" s="96">
        <f t="shared" si="32"/>
        <v>55.08230452674897</v>
      </c>
      <c r="J536" s="5" t="s">
        <v>21</v>
      </c>
      <c r="K536" s="5" t="s">
        <v>22</v>
      </c>
      <c r="L536" s="5">
        <v>1534482000</v>
      </c>
      <c r="M536" s="5">
        <v>1534568400</v>
      </c>
      <c r="N536" s="8">
        <f t="shared" si="33"/>
        <v>43329.208333333328</v>
      </c>
      <c r="O536" s="8">
        <f t="shared" si="34"/>
        <v>43330.208333333328</v>
      </c>
      <c r="P536" s="21" t="str">
        <f>TEXT(CrowdfundingTable[[#This Row],[date_created]],"ddd")</f>
        <v>Fri</v>
      </c>
      <c r="Q536" s="21">
        <f>_xlfn.DAYS(CrowdfundingTable[[#This Row],[date_ended]],CrowdfundingTable[[#This Row],[date_created]])</f>
        <v>1</v>
      </c>
      <c r="R536" s="5" t="b">
        <v>0</v>
      </c>
      <c r="S536" s="5" t="b">
        <v>1</v>
      </c>
      <c r="T536" s="5" t="s">
        <v>53</v>
      </c>
      <c r="U536" s="5" t="s">
        <v>2032</v>
      </c>
      <c r="V536" s="5" t="s">
        <v>2045</v>
      </c>
      <c r="W536" s="5"/>
    </row>
    <row r="537" spans="1:23" ht="17" x14ac:dyDescent="0.2">
      <c r="A537" s="5">
        <v>535</v>
      </c>
      <c r="B537" s="5" t="s">
        <v>1115</v>
      </c>
      <c r="C537" s="6" t="s">
        <v>1116</v>
      </c>
      <c r="D537" s="94">
        <v>2600</v>
      </c>
      <c r="E537" s="94">
        <v>12533</v>
      </c>
      <c r="F537" s="7">
        <f t="shared" si="35"/>
        <v>4.820384615384615</v>
      </c>
      <c r="G537" s="5" t="s">
        <v>20</v>
      </c>
      <c r="H537" s="5">
        <v>202</v>
      </c>
      <c r="I537" s="96">
        <f t="shared" si="32"/>
        <v>62.044554455445542</v>
      </c>
      <c r="J537" s="5" t="s">
        <v>107</v>
      </c>
      <c r="K537" s="5" t="s">
        <v>108</v>
      </c>
      <c r="L537" s="5">
        <v>1528434000</v>
      </c>
      <c r="M537" s="5">
        <v>1528606800</v>
      </c>
      <c r="N537" s="8">
        <f t="shared" si="33"/>
        <v>43259.208333333328</v>
      </c>
      <c r="O537" s="8">
        <f t="shared" si="34"/>
        <v>43261.208333333328</v>
      </c>
      <c r="P537" s="21" t="str">
        <f>TEXT(CrowdfundingTable[[#This Row],[date_created]],"ddd")</f>
        <v>Fri</v>
      </c>
      <c r="Q537" s="21">
        <f>_xlfn.DAYS(CrowdfundingTable[[#This Row],[date_ended]],CrowdfundingTable[[#This Row],[date_created]])</f>
        <v>2</v>
      </c>
      <c r="R537" s="5" t="b">
        <v>0</v>
      </c>
      <c r="S537" s="5" t="b">
        <v>1</v>
      </c>
      <c r="T537" s="5" t="s">
        <v>33</v>
      </c>
      <c r="U537" s="5" t="s">
        <v>2040</v>
      </c>
      <c r="V537" s="5" t="s">
        <v>2055</v>
      </c>
      <c r="W537" s="5"/>
    </row>
    <row r="538" spans="1:23" ht="17" x14ac:dyDescent="0.2">
      <c r="A538" s="5">
        <v>536</v>
      </c>
      <c r="B538" s="5" t="s">
        <v>1117</v>
      </c>
      <c r="C538" s="6" t="s">
        <v>1118</v>
      </c>
      <c r="D538" s="94">
        <v>9800</v>
      </c>
      <c r="E538" s="94">
        <v>14697</v>
      </c>
      <c r="F538" s="7">
        <f t="shared" si="35"/>
        <v>1.4996938775510205</v>
      </c>
      <c r="G538" s="5" t="s">
        <v>20</v>
      </c>
      <c r="H538" s="5">
        <v>140</v>
      </c>
      <c r="I538" s="96">
        <f t="shared" si="32"/>
        <v>104.97857142857143</v>
      </c>
      <c r="J538" s="5" t="s">
        <v>107</v>
      </c>
      <c r="K538" s="5" t="s">
        <v>108</v>
      </c>
      <c r="L538" s="5">
        <v>1282626000</v>
      </c>
      <c r="M538" s="5">
        <v>1284872400</v>
      </c>
      <c r="N538" s="8">
        <f t="shared" si="33"/>
        <v>40414.208333333336</v>
      </c>
      <c r="O538" s="8">
        <f t="shared" si="34"/>
        <v>40440.208333333336</v>
      </c>
      <c r="P538" s="21" t="str">
        <f>TEXT(CrowdfundingTable[[#This Row],[date_created]],"ddd")</f>
        <v>Tue</v>
      </c>
      <c r="Q538" s="21">
        <f>_xlfn.DAYS(CrowdfundingTable[[#This Row],[date_ended]],CrowdfundingTable[[#This Row],[date_created]])</f>
        <v>26</v>
      </c>
      <c r="R538" s="5" t="b">
        <v>0</v>
      </c>
      <c r="S538" s="5" t="b">
        <v>0</v>
      </c>
      <c r="T538" s="5" t="s">
        <v>119</v>
      </c>
      <c r="U538" s="5" t="s">
        <v>2038</v>
      </c>
      <c r="V538" s="5" t="s">
        <v>2047</v>
      </c>
      <c r="W538" s="5"/>
    </row>
    <row r="539" spans="1:23" ht="17" x14ac:dyDescent="0.2">
      <c r="A539" s="5">
        <v>537</v>
      </c>
      <c r="B539" s="5" t="s">
        <v>1119</v>
      </c>
      <c r="C539" s="6" t="s">
        <v>1120</v>
      </c>
      <c r="D539" s="94">
        <v>84400</v>
      </c>
      <c r="E539" s="94">
        <v>98935</v>
      </c>
      <c r="F539" s="7">
        <f t="shared" si="35"/>
        <v>1.1722156398104266</v>
      </c>
      <c r="G539" s="5" t="s">
        <v>20</v>
      </c>
      <c r="H539" s="5">
        <v>1052</v>
      </c>
      <c r="I539" s="96">
        <f t="shared" si="32"/>
        <v>94.044676806083643</v>
      </c>
      <c r="J539" s="5" t="s">
        <v>36</v>
      </c>
      <c r="K539" s="5" t="s">
        <v>37</v>
      </c>
      <c r="L539" s="5">
        <v>1535605200</v>
      </c>
      <c r="M539" s="5">
        <v>1537592400</v>
      </c>
      <c r="N539" s="8">
        <f t="shared" si="33"/>
        <v>43342.208333333328</v>
      </c>
      <c r="O539" s="8">
        <f t="shared" si="34"/>
        <v>43365.208333333328</v>
      </c>
      <c r="P539" s="21" t="str">
        <f>TEXT(CrowdfundingTable[[#This Row],[date_created]],"ddd")</f>
        <v>Thu</v>
      </c>
      <c r="Q539" s="21">
        <f>_xlfn.DAYS(CrowdfundingTable[[#This Row],[date_ended]],CrowdfundingTable[[#This Row],[date_created]])</f>
        <v>23</v>
      </c>
      <c r="R539" s="5" t="b">
        <v>1</v>
      </c>
      <c r="S539" s="5" t="b">
        <v>1</v>
      </c>
      <c r="T539" s="5" t="s">
        <v>42</v>
      </c>
      <c r="U539" s="5" t="s">
        <v>2032</v>
      </c>
      <c r="V539" s="5" t="s">
        <v>2044</v>
      </c>
      <c r="W539" s="5"/>
    </row>
    <row r="540" spans="1:23" ht="17" x14ac:dyDescent="0.2">
      <c r="A540" s="5">
        <v>538</v>
      </c>
      <c r="B540" s="5" t="s">
        <v>1121</v>
      </c>
      <c r="C540" s="6" t="s">
        <v>1122</v>
      </c>
      <c r="D540" s="94">
        <v>151300</v>
      </c>
      <c r="E540" s="94">
        <v>57034</v>
      </c>
      <c r="F540" s="7">
        <f t="shared" si="35"/>
        <v>0.37695968274950431</v>
      </c>
      <c r="G540" s="5" t="s">
        <v>14</v>
      </c>
      <c r="H540" s="5">
        <v>1296</v>
      </c>
      <c r="I540" s="96">
        <f t="shared" si="32"/>
        <v>44.007716049382715</v>
      </c>
      <c r="J540" s="5" t="s">
        <v>21</v>
      </c>
      <c r="K540" s="5" t="s">
        <v>22</v>
      </c>
      <c r="L540" s="5">
        <v>1379826000</v>
      </c>
      <c r="M540" s="5">
        <v>1381208400</v>
      </c>
      <c r="N540" s="8">
        <f t="shared" si="33"/>
        <v>41539.208333333336</v>
      </c>
      <c r="O540" s="8">
        <f t="shared" si="34"/>
        <v>41555.208333333336</v>
      </c>
      <c r="P540" s="21" t="str">
        <f>TEXT(CrowdfundingTable[[#This Row],[date_created]],"ddd")</f>
        <v>Sun</v>
      </c>
      <c r="Q540" s="21">
        <f>_xlfn.DAYS(CrowdfundingTable[[#This Row],[date_ended]],CrowdfundingTable[[#This Row],[date_created]])</f>
        <v>16</v>
      </c>
      <c r="R540" s="5" t="b">
        <v>0</v>
      </c>
      <c r="S540" s="5" t="b">
        <v>0</v>
      </c>
      <c r="T540" s="5" t="s">
        <v>292</v>
      </c>
      <c r="U540" s="5" t="s">
        <v>2034</v>
      </c>
      <c r="V540" s="5" t="s">
        <v>2052</v>
      </c>
      <c r="W540" s="5"/>
    </row>
    <row r="541" spans="1:23" ht="17" x14ac:dyDescent="0.2">
      <c r="A541" s="5">
        <v>539</v>
      </c>
      <c r="B541" s="5" t="s">
        <v>1123</v>
      </c>
      <c r="C541" s="6" t="s">
        <v>1124</v>
      </c>
      <c r="D541" s="94">
        <v>9800</v>
      </c>
      <c r="E541" s="94">
        <v>7120</v>
      </c>
      <c r="F541" s="7">
        <f t="shared" si="35"/>
        <v>0.72653061224489801</v>
      </c>
      <c r="G541" s="5" t="s">
        <v>14</v>
      </c>
      <c r="H541" s="5">
        <v>77</v>
      </c>
      <c r="I541" s="96">
        <f t="shared" si="32"/>
        <v>92.467532467532465</v>
      </c>
      <c r="J541" s="5" t="s">
        <v>21</v>
      </c>
      <c r="K541" s="5" t="s">
        <v>22</v>
      </c>
      <c r="L541" s="5">
        <v>1561957200</v>
      </c>
      <c r="M541" s="5">
        <v>1562475600</v>
      </c>
      <c r="N541" s="8">
        <f t="shared" si="33"/>
        <v>43647.208333333328</v>
      </c>
      <c r="O541" s="8">
        <f t="shared" si="34"/>
        <v>43653.208333333328</v>
      </c>
      <c r="P541" s="21" t="str">
        <f>TEXT(CrowdfundingTable[[#This Row],[date_created]],"ddd")</f>
        <v>Mon</v>
      </c>
      <c r="Q541" s="21">
        <f>_xlfn.DAYS(CrowdfundingTable[[#This Row],[date_ended]],CrowdfundingTable[[#This Row],[date_created]])</f>
        <v>6</v>
      </c>
      <c r="R541" s="5" t="b">
        <v>0</v>
      </c>
      <c r="S541" s="5" t="b">
        <v>1</v>
      </c>
      <c r="T541" s="5" t="s">
        <v>17</v>
      </c>
      <c r="U541" s="5" t="s">
        <v>2033</v>
      </c>
      <c r="V541" s="5" t="s">
        <v>2048</v>
      </c>
      <c r="W541" s="5"/>
    </row>
    <row r="542" spans="1:23" ht="17" x14ac:dyDescent="0.2">
      <c r="A542" s="5">
        <v>540</v>
      </c>
      <c r="B542" s="5" t="s">
        <v>1125</v>
      </c>
      <c r="C542" s="6" t="s">
        <v>1126</v>
      </c>
      <c r="D542" s="94">
        <v>5300</v>
      </c>
      <c r="E542" s="94">
        <v>14097</v>
      </c>
      <c r="F542" s="7">
        <f t="shared" si="35"/>
        <v>2.6598113207547169</v>
      </c>
      <c r="G542" s="5" t="s">
        <v>20</v>
      </c>
      <c r="H542" s="5">
        <v>247</v>
      </c>
      <c r="I542" s="96">
        <f t="shared" si="32"/>
        <v>57.072874493927124</v>
      </c>
      <c r="J542" s="5" t="s">
        <v>21</v>
      </c>
      <c r="K542" s="5" t="s">
        <v>22</v>
      </c>
      <c r="L542" s="5">
        <v>1525496400</v>
      </c>
      <c r="M542" s="5">
        <v>1527397200</v>
      </c>
      <c r="N542" s="8">
        <f t="shared" si="33"/>
        <v>43225.208333333328</v>
      </c>
      <c r="O542" s="8">
        <f t="shared" si="34"/>
        <v>43247.208333333328</v>
      </c>
      <c r="P542" s="21" t="str">
        <f>TEXT(CrowdfundingTable[[#This Row],[date_created]],"ddd")</f>
        <v>Sat</v>
      </c>
      <c r="Q542" s="21">
        <f>_xlfn.DAYS(CrowdfundingTable[[#This Row],[date_ended]],CrowdfundingTable[[#This Row],[date_created]])</f>
        <v>22</v>
      </c>
      <c r="R542" s="5" t="b">
        <v>0</v>
      </c>
      <c r="S542" s="5" t="b">
        <v>0</v>
      </c>
      <c r="T542" s="5" t="s">
        <v>122</v>
      </c>
      <c r="U542" s="5" t="s">
        <v>2037</v>
      </c>
      <c r="V542" s="5" t="s">
        <v>2054</v>
      </c>
      <c r="W542" s="5"/>
    </row>
    <row r="543" spans="1:23" ht="17" x14ac:dyDescent="0.2">
      <c r="A543" s="5">
        <v>541</v>
      </c>
      <c r="B543" s="5" t="s">
        <v>1127</v>
      </c>
      <c r="C543" s="6" t="s">
        <v>1128</v>
      </c>
      <c r="D543" s="94">
        <v>178000</v>
      </c>
      <c r="E543" s="94">
        <v>43086</v>
      </c>
      <c r="F543" s="7">
        <f t="shared" si="35"/>
        <v>0.24205617977528091</v>
      </c>
      <c r="G543" s="5" t="s">
        <v>14</v>
      </c>
      <c r="H543" s="5">
        <v>395</v>
      </c>
      <c r="I543" s="96">
        <f t="shared" si="32"/>
        <v>109.07848101265823</v>
      </c>
      <c r="J543" s="5" t="s">
        <v>107</v>
      </c>
      <c r="K543" s="5" t="s">
        <v>108</v>
      </c>
      <c r="L543" s="5">
        <v>1433912400</v>
      </c>
      <c r="M543" s="5">
        <v>1436158800</v>
      </c>
      <c r="N543" s="8">
        <f t="shared" si="33"/>
        <v>42165.208333333328</v>
      </c>
      <c r="O543" s="8">
        <f t="shared" si="34"/>
        <v>42191.208333333328</v>
      </c>
      <c r="P543" s="21" t="str">
        <f>TEXT(CrowdfundingTable[[#This Row],[date_created]],"ddd")</f>
        <v>Wed</v>
      </c>
      <c r="Q543" s="21">
        <f>_xlfn.DAYS(CrowdfundingTable[[#This Row],[date_ended]],CrowdfundingTable[[#This Row],[date_created]])</f>
        <v>26</v>
      </c>
      <c r="R543" s="5" t="b">
        <v>0</v>
      </c>
      <c r="S543" s="5" t="b">
        <v>0</v>
      </c>
      <c r="T543" s="5" t="s">
        <v>292</v>
      </c>
      <c r="U543" s="5" t="s">
        <v>2034</v>
      </c>
      <c r="V543" s="5" t="s">
        <v>2052</v>
      </c>
      <c r="W543" s="5"/>
    </row>
    <row r="544" spans="1:23" ht="17" x14ac:dyDescent="0.2">
      <c r="A544" s="5">
        <v>542</v>
      </c>
      <c r="B544" s="5" t="s">
        <v>1129</v>
      </c>
      <c r="C544" s="6" t="s">
        <v>1130</v>
      </c>
      <c r="D544" s="94">
        <v>77000</v>
      </c>
      <c r="E544" s="94">
        <v>1930</v>
      </c>
      <c r="F544" s="7">
        <f t="shared" si="35"/>
        <v>2.5064935064935064E-2</v>
      </c>
      <c r="G544" s="5" t="s">
        <v>14</v>
      </c>
      <c r="H544" s="5">
        <v>49</v>
      </c>
      <c r="I544" s="96">
        <f t="shared" si="32"/>
        <v>39.387755102040813</v>
      </c>
      <c r="J544" s="5" t="s">
        <v>40</v>
      </c>
      <c r="K544" s="5" t="s">
        <v>41</v>
      </c>
      <c r="L544" s="5">
        <v>1453442400</v>
      </c>
      <c r="M544" s="5">
        <v>1456034400</v>
      </c>
      <c r="N544" s="8">
        <f t="shared" si="33"/>
        <v>42391.25</v>
      </c>
      <c r="O544" s="8">
        <f t="shared" si="34"/>
        <v>42421.25</v>
      </c>
      <c r="P544" s="21" t="str">
        <f>TEXT(CrowdfundingTable[[#This Row],[date_created]],"ddd")</f>
        <v>Fri</v>
      </c>
      <c r="Q544" s="21">
        <f>_xlfn.DAYS(CrowdfundingTable[[#This Row],[date_ended]],CrowdfundingTable[[#This Row],[date_created]])</f>
        <v>30</v>
      </c>
      <c r="R544" s="5" t="b">
        <v>0</v>
      </c>
      <c r="S544" s="5" t="b">
        <v>0</v>
      </c>
      <c r="T544" s="5" t="s">
        <v>60</v>
      </c>
      <c r="U544" s="5" t="s">
        <v>2036</v>
      </c>
      <c r="V544" s="5" t="s">
        <v>2049</v>
      </c>
      <c r="W544" s="5"/>
    </row>
    <row r="545" spans="1:23" ht="17" x14ac:dyDescent="0.2">
      <c r="A545" s="5">
        <v>543</v>
      </c>
      <c r="B545" s="5" t="s">
        <v>1131</v>
      </c>
      <c r="C545" s="6" t="s">
        <v>1132</v>
      </c>
      <c r="D545" s="94">
        <v>84900</v>
      </c>
      <c r="E545" s="94">
        <v>13864</v>
      </c>
      <c r="F545" s="7">
        <f t="shared" si="35"/>
        <v>0.1632979976442874</v>
      </c>
      <c r="G545" s="5" t="s">
        <v>14</v>
      </c>
      <c r="H545" s="5">
        <v>180</v>
      </c>
      <c r="I545" s="96">
        <f t="shared" si="32"/>
        <v>77.022222222222226</v>
      </c>
      <c r="J545" s="5" t="s">
        <v>21</v>
      </c>
      <c r="K545" s="5" t="s">
        <v>22</v>
      </c>
      <c r="L545" s="5">
        <v>1378875600</v>
      </c>
      <c r="M545" s="5">
        <v>1380171600</v>
      </c>
      <c r="N545" s="8">
        <f t="shared" si="33"/>
        <v>41528.208333333336</v>
      </c>
      <c r="O545" s="8">
        <f t="shared" si="34"/>
        <v>41543.208333333336</v>
      </c>
      <c r="P545" s="21" t="str">
        <f>TEXT(CrowdfundingTable[[#This Row],[date_created]],"ddd")</f>
        <v>Wed</v>
      </c>
      <c r="Q545" s="21">
        <f>_xlfn.DAYS(CrowdfundingTable[[#This Row],[date_ended]],CrowdfundingTable[[#This Row],[date_created]])</f>
        <v>15</v>
      </c>
      <c r="R545" s="5" t="b">
        <v>0</v>
      </c>
      <c r="S545" s="5" t="b">
        <v>0</v>
      </c>
      <c r="T545" s="5" t="s">
        <v>89</v>
      </c>
      <c r="U545" s="5" t="s">
        <v>2034</v>
      </c>
      <c r="V545" s="5" t="s">
        <v>2062</v>
      </c>
      <c r="W545" s="5"/>
    </row>
    <row r="546" spans="1:23" ht="17" x14ac:dyDescent="0.2">
      <c r="A546" s="5">
        <v>544</v>
      </c>
      <c r="B546" s="5" t="s">
        <v>1133</v>
      </c>
      <c r="C546" s="6" t="s">
        <v>1134</v>
      </c>
      <c r="D546" s="94">
        <v>2800</v>
      </c>
      <c r="E546" s="94">
        <v>7742</v>
      </c>
      <c r="F546" s="7">
        <f t="shared" si="35"/>
        <v>2.7650000000000001</v>
      </c>
      <c r="G546" s="5" t="s">
        <v>20</v>
      </c>
      <c r="H546" s="5">
        <v>84</v>
      </c>
      <c r="I546" s="96">
        <f t="shared" si="32"/>
        <v>92.166666666666671</v>
      </c>
      <c r="J546" s="5" t="s">
        <v>21</v>
      </c>
      <c r="K546" s="5" t="s">
        <v>22</v>
      </c>
      <c r="L546" s="5">
        <v>1452232800</v>
      </c>
      <c r="M546" s="5">
        <v>1453356000</v>
      </c>
      <c r="N546" s="8">
        <f t="shared" si="33"/>
        <v>42377.25</v>
      </c>
      <c r="O546" s="8">
        <f t="shared" si="34"/>
        <v>42390.25</v>
      </c>
      <c r="P546" s="21" t="str">
        <f>TEXT(CrowdfundingTable[[#This Row],[date_created]],"ddd")</f>
        <v>Fri</v>
      </c>
      <c r="Q546" s="21">
        <f>_xlfn.DAYS(CrowdfundingTable[[#This Row],[date_ended]],CrowdfundingTable[[#This Row],[date_created]])</f>
        <v>13</v>
      </c>
      <c r="R546" s="5" t="b">
        <v>0</v>
      </c>
      <c r="S546" s="5" t="b">
        <v>0</v>
      </c>
      <c r="T546" s="5" t="s">
        <v>23</v>
      </c>
      <c r="U546" s="5" t="s">
        <v>2036</v>
      </c>
      <c r="V546" s="5" t="s">
        <v>2057</v>
      </c>
      <c r="W546" s="5"/>
    </row>
    <row r="547" spans="1:23" ht="17" x14ac:dyDescent="0.2">
      <c r="A547" s="5">
        <v>545</v>
      </c>
      <c r="B547" s="5" t="s">
        <v>1135</v>
      </c>
      <c r="C547" s="6" t="s">
        <v>1136</v>
      </c>
      <c r="D547" s="94">
        <v>184800</v>
      </c>
      <c r="E547" s="94">
        <v>164109</v>
      </c>
      <c r="F547" s="7">
        <f t="shared" si="35"/>
        <v>0.88803571428571426</v>
      </c>
      <c r="G547" s="5" t="s">
        <v>14</v>
      </c>
      <c r="H547" s="5">
        <v>2690</v>
      </c>
      <c r="I547" s="96">
        <f t="shared" si="32"/>
        <v>61.007063197026021</v>
      </c>
      <c r="J547" s="5" t="s">
        <v>21</v>
      </c>
      <c r="K547" s="5" t="s">
        <v>22</v>
      </c>
      <c r="L547" s="5">
        <v>1577253600</v>
      </c>
      <c r="M547" s="5">
        <v>1578981600</v>
      </c>
      <c r="N547" s="8">
        <f t="shared" si="33"/>
        <v>43824.25</v>
      </c>
      <c r="O547" s="8">
        <f t="shared" si="34"/>
        <v>43844.25</v>
      </c>
      <c r="P547" s="21" t="str">
        <f>TEXT(CrowdfundingTable[[#This Row],[date_created]],"ddd")</f>
        <v>Wed</v>
      </c>
      <c r="Q547" s="21">
        <f>_xlfn.DAYS(CrowdfundingTable[[#This Row],[date_ended]],CrowdfundingTable[[#This Row],[date_created]])</f>
        <v>20</v>
      </c>
      <c r="R547" s="5" t="b">
        <v>0</v>
      </c>
      <c r="S547" s="5" t="b">
        <v>0</v>
      </c>
      <c r="T547" s="5" t="s">
        <v>33</v>
      </c>
      <c r="U547" s="5" t="s">
        <v>2040</v>
      </c>
      <c r="V547" s="5" t="s">
        <v>2055</v>
      </c>
      <c r="W547" s="5"/>
    </row>
    <row r="548" spans="1:23" ht="17" x14ac:dyDescent="0.2">
      <c r="A548" s="5">
        <v>546</v>
      </c>
      <c r="B548" s="5" t="s">
        <v>1137</v>
      </c>
      <c r="C548" s="6" t="s">
        <v>1138</v>
      </c>
      <c r="D548" s="94">
        <v>4200</v>
      </c>
      <c r="E548" s="94">
        <v>6870</v>
      </c>
      <c r="F548" s="7">
        <f t="shared" si="35"/>
        <v>1.6357142857142857</v>
      </c>
      <c r="G548" s="5" t="s">
        <v>20</v>
      </c>
      <c r="H548" s="5">
        <v>88</v>
      </c>
      <c r="I548" s="96">
        <f t="shared" si="32"/>
        <v>78.068181818181813</v>
      </c>
      <c r="J548" s="5" t="s">
        <v>21</v>
      </c>
      <c r="K548" s="5" t="s">
        <v>22</v>
      </c>
      <c r="L548" s="5">
        <v>1537160400</v>
      </c>
      <c r="M548" s="5">
        <v>1537419600</v>
      </c>
      <c r="N548" s="8">
        <f t="shared" si="33"/>
        <v>43360.208333333328</v>
      </c>
      <c r="O548" s="8">
        <f t="shared" si="34"/>
        <v>43363.208333333328</v>
      </c>
      <c r="P548" s="21" t="str">
        <f>TEXT(CrowdfundingTable[[#This Row],[date_created]],"ddd")</f>
        <v>Mon</v>
      </c>
      <c r="Q548" s="21">
        <f>_xlfn.DAYS(CrowdfundingTable[[#This Row],[date_ended]],CrowdfundingTable[[#This Row],[date_created]])</f>
        <v>3</v>
      </c>
      <c r="R548" s="5" t="b">
        <v>0</v>
      </c>
      <c r="S548" s="5" t="b">
        <v>1</v>
      </c>
      <c r="T548" s="5" t="s">
        <v>33</v>
      </c>
      <c r="U548" s="5" t="s">
        <v>2040</v>
      </c>
      <c r="V548" s="5" t="s">
        <v>2055</v>
      </c>
      <c r="W548" s="5"/>
    </row>
    <row r="549" spans="1:23" ht="17" x14ac:dyDescent="0.2">
      <c r="A549" s="5">
        <v>547</v>
      </c>
      <c r="B549" s="5" t="s">
        <v>1139</v>
      </c>
      <c r="C549" s="6" t="s">
        <v>1140</v>
      </c>
      <c r="D549" s="94">
        <v>1300</v>
      </c>
      <c r="E549" s="94">
        <v>12597</v>
      </c>
      <c r="F549" s="7">
        <f t="shared" si="35"/>
        <v>9.69</v>
      </c>
      <c r="G549" s="5" t="s">
        <v>20</v>
      </c>
      <c r="H549" s="5">
        <v>156</v>
      </c>
      <c r="I549" s="96">
        <f t="shared" si="32"/>
        <v>80.75</v>
      </c>
      <c r="J549" s="5" t="s">
        <v>21</v>
      </c>
      <c r="K549" s="5" t="s">
        <v>22</v>
      </c>
      <c r="L549" s="5">
        <v>1422165600</v>
      </c>
      <c r="M549" s="5">
        <v>1423202400</v>
      </c>
      <c r="N549" s="8">
        <f t="shared" si="33"/>
        <v>42029.25</v>
      </c>
      <c r="O549" s="8">
        <f t="shared" si="34"/>
        <v>42041.25</v>
      </c>
      <c r="P549" s="21" t="str">
        <f>TEXT(CrowdfundingTable[[#This Row],[date_created]],"ddd")</f>
        <v>Sun</v>
      </c>
      <c r="Q549" s="21">
        <f>_xlfn.DAYS(CrowdfundingTable[[#This Row],[date_ended]],CrowdfundingTable[[#This Row],[date_created]])</f>
        <v>12</v>
      </c>
      <c r="R549" s="5" t="b">
        <v>0</v>
      </c>
      <c r="S549" s="5" t="b">
        <v>0</v>
      </c>
      <c r="T549" s="5" t="s">
        <v>53</v>
      </c>
      <c r="U549" s="5" t="s">
        <v>2032</v>
      </c>
      <c r="V549" s="5" t="s">
        <v>2045</v>
      </c>
      <c r="W549" s="5"/>
    </row>
    <row r="550" spans="1:23" ht="17" x14ac:dyDescent="0.2">
      <c r="A550" s="5">
        <v>548</v>
      </c>
      <c r="B550" s="5" t="s">
        <v>1141</v>
      </c>
      <c r="C550" s="6" t="s">
        <v>1142</v>
      </c>
      <c r="D550" s="94">
        <v>66100</v>
      </c>
      <c r="E550" s="94">
        <v>179074</v>
      </c>
      <c r="F550" s="7">
        <f t="shared" si="35"/>
        <v>2.7091376701966716</v>
      </c>
      <c r="G550" s="5" t="s">
        <v>20</v>
      </c>
      <c r="H550" s="5">
        <v>2985</v>
      </c>
      <c r="I550" s="96">
        <f t="shared" si="32"/>
        <v>59.991289782244557</v>
      </c>
      <c r="J550" s="5" t="s">
        <v>21</v>
      </c>
      <c r="K550" s="5" t="s">
        <v>22</v>
      </c>
      <c r="L550" s="5">
        <v>1459486800</v>
      </c>
      <c r="M550" s="5">
        <v>1460610000</v>
      </c>
      <c r="N550" s="8">
        <f t="shared" si="33"/>
        <v>42461.208333333328</v>
      </c>
      <c r="O550" s="8">
        <f t="shared" si="34"/>
        <v>42474.208333333328</v>
      </c>
      <c r="P550" s="21" t="str">
        <f>TEXT(CrowdfundingTable[[#This Row],[date_created]],"ddd")</f>
        <v>Fri</v>
      </c>
      <c r="Q550" s="21">
        <f>_xlfn.DAYS(CrowdfundingTable[[#This Row],[date_ended]],CrowdfundingTable[[#This Row],[date_created]])</f>
        <v>13</v>
      </c>
      <c r="R550" s="5" t="b">
        <v>0</v>
      </c>
      <c r="S550" s="5" t="b">
        <v>0</v>
      </c>
      <c r="T550" s="5" t="s">
        <v>33</v>
      </c>
      <c r="U550" s="5" t="s">
        <v>2040</v>
      </c>
      <c r="V550" s="5" t="s">
        <v>2055</v>
      </c>
      <c r="W550" s="5"/>
    </row>
    <row r="551" spans="1:23" ht="34" x14ac:dyDescent="0.2">
      <c r="A551" s="5">
        <v>549</v>
      </c>
      <c r="B551" s="5" t="s">
        <v>1143</v>
      </c>
      <c r="C551" s="6" t="s">
        <v>1144</v>
      </c>
      <c r="D551" s="94">
        <v>29500</v>
      </c>
      <c r="E551" s="94">
        <v>83843</v>
      </c>
      <c r="F551" s="7">
        <f t="shared" si="35"/>
        <v>2.8421355932203389</v>
      </c>
      <c r="G551" s="5" t="s">
        <v>20</v>
      </c>
      <c r="H551" s="5">
        <v>762</v>
      </c>
      <c r="I551" s="96">
        <f t="shared" si="32"/>
        <v>110.03018372703411</v>
      </c>
      <c r="J551" s="5" t="s">
        <v>21</v>
      </c>
      <c r="K551" s="5" t="s">
        <v>22</v>
      </c>
      <c r="L551" s="5">
        <v>1369717200</v>
      </c>
      <c r="M551" s="5">
        <v>1370494800</v>
      </c>
      <c r="N551" s="8">
        <f t="shared" si="33"/>
        <v>41422.208333333336</v>
      </c>
      <c r="O551" s="8">
        <f t="shared" si="34"/>
        <v>41431.208333333336</v>
      </c>
      <c r="P551" s="21" t="str">
        <f>TEXT(CrowdfundingTable[[#This Row],[date_created]],"ddd")</f>
        <v>Tue</v>
      </c>
      <c r="Q551" s="21">
        <f>_xlfn.DAYS(CrowdfundingTable[[#This Row],[date_ended]],CrowdfundingTable[[#This Row],[date_created]])</f>
        <v>9</v>
      </c>
      <c r="R551" s="5" t="b">
        <v>0</v>
      </c>
      <c r="S551" s="5" t="b">
        <v>0</v>
      </c>
      <c r="T551" s="5" t="s">
        <v>65</v>
      </c>
      <c r="U551" s="5" t="s">
        <v>2039</v>
      </c>
      <c r="V551" s="5" t="s">
        <v>2063</v>
      </c>
      <c r="W551" s="5"/>
    </row>
    <row r="552" spans="1:23" ht="17" x14ac:dyDescent="0.2">
      <c r="A552" s="5">
        <v>550</v>
      </c>
      <c r="B552" s="5" t="s">
        <v>1145</v>
      </c>
      <c r="C552" s="6" t="s">
        <v>1146</v>
      </c>
      <c r="D552" s="94">
        <v>100</v>
      </c>
      <c r="E552" s="94">
        <v>4</v>
      </c>
      <c r="F552" s="7">
        <f t="shared" si="35"/>
        <v>0.04</v>
      </c>
      <c r="G552" s="5" t="s">
        <v>74</v>
      </c>
      <c r="H552" s="5">
        <v>1</v>
      </c>
      <c r="I552" s="96">
        <f t="shared" si="32"/>
        <v>4</v>
      </c>
      <c r="J552" s="5" t="s">
        <v>98</v>
      </c>
      <c r="K552" s="5" t="s">
        <v>99</v>
      </c>
      <c r="L552" s="5">
        <v>1330495200</v>
      </c>
      <c r="M552" s="5">
        <v>1332306000</v>
      </c>
      <c r="N552" s="8">
        <f t="shared" si="33"/>
        <v>40968.25</v>
      </c>
      <c r="O552" s="8">
        <f t="shared" si="34"/>
        <v>40989.208333333336</v>
      </c>
      <c r="P552" s="21" t="str">
        <f>TEXT(CrowdfundingTable[[#This Row],[date_created]],"ddd")</f>
        <v>Wed</v>
      </c>
      <c r="Q552" s="21">
        <f>_xlfn.DAYS(CrowdfundingTable[[#This Row],[date_ended]],CrowdfundingTable[[#This Row],[date_created]])</f>
        <v>21</v>
      </c>
      <c r="R552" s="5" t="b">
        <v>0</v>
      </c>
      <c r="S552" s="5" t="b">
        <v>0</v>
      </c>
      <c r="T552" s="5" t="s">
        <v>60</v>
      </c>
      <c r="U552" s="5" t="s">
        <v>2036</v>
      </c>
      <c r="V552" s="5" t="s">
        <v>2049</v>
      </c>
      <c r="W552" s="5"/>
    </row>
    <row r="553" spans="1:23" ht="17" x14ac:dyDescent="0.2">
      <c r="A553" s="5">
        <v>551</v>
      </c>
      <c r="B553" s="5" t="s">
        <v>1147</v>
      </c>
      <c r="C553" s="6" t="s">
        <v>1148</v>
      </c>
      <c r="D553" s="94">
        <v>180100</v>
      </c>
      <c r="E553" s="94">
        <v>105598</v>
      </c>
      <c r="F553" s="7">
        <f t="shared" si="35"/>
        <v>0.58632981676846196</v>
      </c>
      <c r="G553" s="5" t="s">
        <v>14</v>
      </c>
      <c r="H553" s="5">
        <v>2779</v>
      </c>
      <c r="I553" s="96">
        <f t="shared" si="32"/>
        <v>37.99856063332134</v>
      </c>
      <c r="J553" s="5" t="s">
        <v>26</v>
      </c>
      <c r="K553" s="5" t="s">
        <v>27</v>
      </c>
      <c r="L553" s="5">
        <v>1419055200</v>
      </c>
      <c r="M553" s="5">
        <v>1422511200</v>
      </c>
      <c r="N553" s="8">
        <f t="shared" si="33"/>
        <v>41993.25</v>
      </c>
      <c r="O553" s="8">
        <f t="shared" si="34"/>
        <v>42033.25</v>
      </c>
      <c r="P553" s="21" t="str">
        <f>TEXT(CrowdfundingTable[[#This Row],[date_created]],"ddd")</f>
        <v>Sat</v>
      </c>
      <c r="Q553" s="21">
        <f>_xlfn.DAYS(CrowdfundingTable[[#This Row],[date_ended]],CrowdfundingTable[[#This Row],[date_created]])</f>
        <v>40</v>
      </c>
      <c r="R553" s="5" t="b">
        <v>0</v>
      </c>
      <c r="S553" s="5" t="b">
        <v>1</v>
      </c>
      <c r="T553" s="5" t="s">
        <v>28</v>
      </c>
      <c r="U553" s="5" t="s">
        <v>2039</v>
      </c>
      <c r="V553" s="5" t="s">
        <v>2064</v>
      </c>
      <c r="W553" s="5"/>
    </row>
    <row r="554" spans="1:23" ht="17" x14ac:dyDescent="0.2">
      <c r="A554" s="5">
        <v>552</v>
      </c>
      <c r="B554" s="5" t="s">
        <v>1149</v>
      </c>
      <c r="C554" s="6" t="s">
        <v>1150</v>
      </c>
      <c r="D554" s="94">
        <v>9000</v>
      </c>
      <c r="E554" s="94">
        <v>8866</v>
      </c>
      <c r="F554" s="7">
        <f t="shared" si="35"/>
        <v>0.98511111111111116</v>
      </c>
      <c r="G554" s="5" t="s">
        <v>14</v>
      </c>
      <c r="H554" s="5">
        <v>92</v>
      </c>
      <c r="I554" s="96">
        <f t="shared" si="32"/>
        <v>96.369565217391298</v>
      </c>
      <c r="J554" s="5" t="s">
        <v>21</v>
      </c>
      <c r="K554" s="5" t="s">
        <v>22</v>
      </c>
      <c r="L554" s="5">
        <v>1480140000</v>
      </c>
      <c r="M554" s="5">
        <v>1480312800</v>
      </c>
      <c r="N554" s="8">
        <f t="shared" si="33"/>
        <v>42700.25</v>
      </c>
      <c r="O554" s="8">
        <f t="shared" si="34"/>
        <v>42702.25</v>
      </c>
      <c r="P554" s="21" t="str">
        <f>TEXT(CrowdfundingTable[[#This Row],[date_created]],"ddd")</f>
        <v>Sat</v>
      </c>
      <c r="Q554" s="21">
        <f>_xlfn.DAYS(CrowdfundingTable[[#This Row],[date_ended]],CrowdfundingTable[[#This Row],[date_created]])</f>
        <v>2</v>
      </c>
      <c r="R554" s="5" t="b">
        <v>0</v>
      </c>
      <c r="S554" s="5" t="b">
        <v>0</v>
      </c>
      <c r="T554" s="5" t="s">
        <v>33</v>
      </c>
      <c r="U554" s="5" t="s">
        <v>2040</v>
      </c>
      <c r="V554" s="5" t="s">
        <v>2055</v>
      </c>
      <c r="W554" s="5"/>
    </row>
    <row r="555" spans="1:23" ht="34" x14ac:dyDescent="0.2">
      <c r="A555" s="5">
        <v>553</v>
      </c>
      <c r="B555" s="5" t="s">
        <v>1151</v>
      </c>
      <c r="C555" s="6" t="s">
        <v>1152</v>
      </c>
      <c r="D555" s="94">
        <v>170600</v>
      </c>
      <c r="E555" s="94">
        <v>75022</v>
      </c>
      <c r="F555" s="7">
        <f t="shared" si="35"/>
        <v>0.43975381008206332</v>
      </c>
      <c r="G555" s="5" t="s">
        <v>14</v>
      </c>
      <c r="H555" s="5">
        <v>1028</v>
      </c>
      <c r="I555" s="96">
        <f t="shared" si="32"/>
        <v>72.978599221789878</v>
      </c>
      <c r="J555" s="5" t="s">
        <v>21</v>
      </c>
      <c r="K555" s="5" t="s">
        <v>22</v>
      </c>
      <c r="L555" s="5">
        <v>1293948000</v>
      </c>
      <c r="M555" s="5">
        <v>1294034400</v>
      </c>
      <c r="N555" s="8">
        <f t="shared" si="33"/>
        <v>40545.25</v>
      </c>
      <c r="O555" s="8">
        <f t="shared" si="34"/>
        <v>40546.25</v>
      </c>
      <c r="P555" s="21" t="str">
        <f>TEXT(CrowdfundingTable[[#This Row],[date_created]],"ddd")</f>
        <v>Sun</v>
      </c>
      <c r="Q555" s="21">
        <f>_xlfn.DAYS(CrowdfundingTable[[#This Row],[date_ended]],CrowdfundingTable[[#This Row],[date_created]])</f>
        <v>1</v>
      </c>
      <c r="R555" s="5" t="b">
        <v>0</v>
      </c>
      <c r="S555" s="5" t="b">
        <v>0</v>
      </c>
      <c r="T555" s="5" t="s">
        <v>23</v>
      </c>
      <c r="U555" s="5" t="s">
        <v>2036</v>
      </c>
      <c r="V555" s="5" t="s">
        <v>2057</v>
      </c>
      <c r="W555" s="5"/>
    </row>
    <row r="556" spans="1:23" ht="34" x14ac:dyDescent="0.2">
      <c r="A556" s="5">
        <v>554</v>
      </c>
      <c r="B556" s="5" t="s">
        <v>1153</v>
      </c>
      <c r="C556" s="6" t="s">
        <v>1154</v>
      </c>
      <c r="D556" s="94">
        <v>9500</v>
      </c>
      <c r="E556" s="94">
        <v>14408</v>
      </c>
      <c r="F556" s="7">
        <f t="shared" si="35"/>
        <v>1.5166315789473683</v>
      </c>
      <c r="G556" s="5" t="s">
        <v>20</v>
      </c>
      <c r="H556" s="5">
        <v>554</v>
      </c>
      <c r="I556" s="96">
        <f t="shared" si="32"/>
        <v>26.007220216606498</v>
      </c>
      <c r="J556" s="5" t="s">
        <v>15</v>
      </c>
      <c r="K556" s="5" t="s">
        <v>16</v>
      </c>
      <c r="L556" s="5">
        <v>1482127200</v>
      </c>
      <c r="M556" s="5">
        <v>1482645600</v>
      </c>
      <c r="N556" s="8">
        <f t="shared" si="33"/>
        <v>42723.25</v>
      </c>
      <c r="O556" s="8">
        <f t="shared" si="34"/>
        <v>42729.25</v>
      </c>
      <c r="P556" s="21" t="str">
        <f>TEXT(CrowdfundingTable[[#This Row],[date_created]],"ddd")</f>
        <v>Mon</v>
      </c>
      <c r="Q556" s="21">
        <f>_xlfn.DAYS(CrowdfundingTable[[#This Row],[date_ended]],CrowdfundingTable[[#This Row],[date_created]])</f>
        <v>6</v>
      </c>
      <c r="R556" s="5" t="b">
        <v>0</v>
      </c>
      <c r="S556" s="5" t="b">
        <v>0</v>
      </c>
      <c r="T556" s="5" t="s">
        <v>60</v>
      </c>
      <c r="U556" s="5" t="s">
        <v>2036</v>
      </c>
      <c r="V556" s="5" t="s">
        <v>2049</v>
      </c>
      <c r="W556" s="5"/>
    </row>
    <row r="557" spans="1:23" ht="17" x14ac:dyDescent="0.2">
      <c r="A557" s="5">
        <v>555</v>
      </c>
      <c r="B557" s="5" t="s">
        <v>1155</v>
      </c>
      <c r="C557" s="6" t="s">
        <v>1156</v>
      </c>
      <c r="D557" s="94">
        <v>6300</v>
      </c>
      <c r="E557" s="94">
        <v>14089</v>
      </c>
      <c r="F557" s="7">
        <f t="shared" si="35"/>
        <v>2.2363492063492063</v>
      </c>
      <c r="G557" s="5" t="s">
        <v>20</v>
      </c>
      <c r="H557" s="5">
        <v>135</v>
      </c>
      <c r="I557" s="96">
        <f t="shared" si="32"/>
        <v>104.36296296296297</v>
      </c>
      <c r="J557" s="5" t="s">
        <v>36</v>
      </c>
      <c r="K557" s="5" t="s">
        <v>37</v>
      </c>
      <c r="L557" s="5">
        <v>1396414800</v>
      </c>
      <c r="M557" s="5">
        <v>1399093200</v>
      </c>
      <c r="N557" s="8">
        <f t="shared" si="33"/>
        <v>41731.208333333336</v>
      </c>
      <c r="O557" s="8">
        <f t="shared" si="34"/>
        <v>41762.208333333336</v>
      </c>
      <c r="P557" s="21" t="str">
        <f>TEXT(CrowdfundingTable[[#This Row],[date_created]],"ddd")</f>
        <v>Wed</v>
      </c>
      <c r="Q557" s="21">
        <f>_xlfn.DAYS(CrowdfundingTable[[#This Row],[date_ended]],CrowdfundingTable[[#This Row],[date_created]])</f>
        <v>31</v>
      </c>
      <c r="R557" s="5" t="b">
        <v>0</v>
      </c>
      <c r="S557" s="5" t="b">
        <v>0</v>
      </c>
      <c r="T557" s="5" t="s">
        <v>23</v>
      </c>
      <c r="U557" s="5" t="s">
        <v>2036</v>
      </c>
      <c r="V557" s="5" t="s">
        <v>2057</v>
      </c>
      <c r="W557" s="5"/>
    </row>
    <row r="558" spans="1:23" ht="17" x14ac:dyDescent="0.2">
      <c r="A558" s="5">
        <v>556</v>
      </c>
      <c r="B558" s="5" t="s">
        <v>442</v>
      </c>
      <c r="C558" s="6" t="s">
        <v>1157</v>
      </c>
      <c r="D558" s="94">
        <v>5200</v>
      </c>
      <c r="E558" s="94">
        <v>12467</v>
      </c>
      <c r="F558" s="7">
        <f t="shared" si="35"/>
        <v>2.3975</v>
      </c>
      <c r="G558" s="5" t="s">
        <v>20</v>
      </c>
      <c r="H558" s="5">
        <v>122</v>
      </c>
      <c r="I558" s="96">
        <f t="shared" si="32"/>
        <v>102.18852459016394</v>
      </c>
      <c r="J558" s="5" t="s">
        <v>21</v>
      </c>
      <c r="K558" s="5" t="s">
        <v>22</v>
      </c>
      <c r="L558" s="5">
        <v>1315285200</v>
      </c>
      <c r="M558" s="5">
        <v>1315890000</v>
      </c>
      <c r="N558" s="8">
        <f t="shared" si="33"/>
        <v>40792.208333333336</v>
      </c>
      <c r="O558" s="8">
        <f t="shared" si="34"/>
        <v>40799.208333333336</v>
      </c>
      <c r="P558" s="21" t="str">
        <f>TEXT(CrowdfundingTable[[#This Row],[date_created]],"ddd")</f>
        <v>Tue</v>
      </c>
      <c r="Q558" s="21">
        <f>_xlfn.DAYS(CrowdfundingTable[[#This Row],[date_ended]],CrowdfundingTable[[#This Row],[date_created]])</f>
        <v>7</v>
      </c>
      <c r="R558" s="5" t="b">
        <v>0</v>
      </c>
      <c r="S558" s="5" t="b">
        <v>1</v>
      </c>
      <c r="T558" s="5" t="s">
        <v>206</v>
      </c>
      <c r="U558" s="5" t="s">
        <v>2038</v>
      </c>
      <c r="V558" s="5" t="s">
        <v>2061</v>
      </c>
      <c r="W558" s="5"/>
    </row>
    <row r="559" spans="1:23" ht="17" x14ac:dyDescent="0.2">
      <c r="A559" s="5">
        <v>557</v>
      </c>
      <c r="B559" s="5" t="s">
        <v>1158</v>
      </c>
      <c r="C559" s="6" t="s">
        <v>1159</v>
      </c>
      <c r="D559" s="94">
        <v>6000</v>
      </c>
      <c r="E559" s="94">
        <v>11960</v>
      </c>
      <c r="F559" s="7">
        <f t="shared" si="35"/>
        <v>1.9933333333333334</v>
      </c>
      <c r="G559" s="5" t="s">
        <v>20</v>
      </c>
      <c r="H559" s="5">
        <v>221</v>
      </c>
      <c r="I559" s="96">
        <f t="shared" si="32"/>
        <v>54.117647058823529</v>
      </c>
      <c r="J559" s="5" t="s">
        <v>21</v>
      </c>
      <c r="K559" s="5" t="s">
        <v>22</v>
      </c>
      <c r="L559" s="5">
        <v>1443762000</v>
      </c>
      <c r="M559" s="5">
        <v>1444021200</v>
      </c>
      <c r="N559" s="8">
        <f t="shared" si="33"/>
        <v>42279.208333333328</v>
      </c>
      <c r="O559" s="8">
        <f t="shared" si="34"/>
        <v>42282.208333333328</v>
      </c>
      <c r="P559" s="21" t="str">
        <f>TEXT(CrowdfundingTable[[#This Row],[date_created]],"ddd")</f>
        <v>Fri</v>
      </c>
      <c r="Q559" s="21">
        <f>_xlfn.DAYS(CrowdfundingTable[[#This Row],[date_ended]],CrowdfundingTable[[#This Row],[date_created]])</f>
        <v>3</v>
      </c>
      <c r="R559" s="5" t="b">
        <v>0</v>
      </c>
      <c r="S559" s="5" t="b">
        <v>1</v>
      </c>
      <c r="T559" s="5" t="s">
        <v>474</v>
      </c>
      <c r="U559" s="5" t="s">
        <v>2032</v>
      </c>
      <c r="V559" s="5" t="s">
        <v>2058</v>
      </c>
      <c r="W559" s="5"/>
    </row>
    <row r="560" spans="1:23" ht="17" x14ac:dyDescent="0.2">
      <c r="A560" s="5">
        <v>558</v>
      </c>
      <c r="B560" s="5" t="s">
        <v>1160</v>
      </c>
      <c r="C560" s="6" t="s">
        <v>1161</v>
      </c>
      <c r="D560" s="94">
        <v>5800</v>
      </c>
      <c r="E560" s="94">
        <v>7966</v>
      </c>
      <c r="F560" s="7">
        <f t="shared" si="35"/>
        <v>1.373448275862069</v>
      </c>
      <c r="G560" s="5" t="s">
        <v>20</v>
      </c>
      <c r="H560" s="5">
        <v>126</v>
      </c>
      <c r="I560" s="96">
        <f t="shared" si="32"/>
        <v>63.222222222222221</v>
      </c>
      <c r="J560" s="5" t="s">
        <v>21</v>
      </c>
      <c r="K560" s="5" t="s">
        <v>22</v>
      </c>
      <c r="L560" s="5">
        <v>1456293600</v>
      </c>
      <c r="M560" s="5">
        <v>1460005200</v>
      </c>
      <c r="N560" s="8">
        <f t="shared" si="33"/>
        <v>42424.25</v>
      </c>
      <c r="O560" s="8">
        <f t="shared" si="34"/>
        <v>42467.208333333328</v>
      </c>
      <c r="P560" s="21" t="str">
        <f>TEXT(CrowdfundingTable[[#This Row],[date_created]],"ddd")</f>
        <v>Wed</v>
      </c>
      <c r="Q560" s="21">
        <f>_xlfn.DAYS(CrowdfundingTable[[#This Row],[date_ended]],CrowdfundingTable[[#This Row],[date_created]])</f>
        <v>43</v>
      </c>
      <c r="R560" s="5" t="b">
        <v>0</v>
      </c>
      <c r="S560" s="5" t="b">
        <v>0</v>
      </c>
      <c r="T560" s="5" t="s">
        <v>33</v>
      </c>
      <c r="U560" s="5" t="s">
        <v>2040</v>
      </c>
      <c r="V560" s="5" t="s">
        <v>2055</v>
      </c>
      <c r="W560" s="5"/>
    </row>
    <row r="561" spans="1:23" ht="17" x14ac:dyDescent="0.2">
      <c r="A561" s="5">
        <v>559</v>
      </c>
      <c r="B561" s="5" t="s">
        <v>1162</v>
      </c>
      <c r="C561" s="6" t="s">
        <v>1163</v>
      </c>
      <c r="D561" s="94">
        <v>105300</v>
      </c>
      <c r="E561" s="94">
        <v>106321</v>
      </c>
      <c r="F561" s="7">
        <f t="shared" si="35"/>
        <v>1.009696106362773</v>
      </c>
      <c r="G561" s="5" t="s">
        <v>20</v>
      </c>
      <c r="H561" s="5">
        <v>1022</v>
      </c>
      <c r="I561" s="96">
        <f t="shared" si="32"/>
        <v>104.03228962818004</v>
      </c>
      <c r="J561" s="5" t="s">
        <v>21</v>
      </c>
      <c r="K561" s="5" t="s">
        <v>22</v>
      </c>
      <c r="L561" s="5">
        <v>1470114000</v>
      </c>
      <c r="M561" s="5">
        <v>1470718800</v>
      </c>
      <c r="N561" s="8">
        <f t="shared" si="33"/>
        <v>42584.208333333328</v>
      </c>
      <c r="O561" s="8">
        <f t="shared" si="34"/>
        <v>42591.208333333328</v>
      </c>
      <c r="P561" s="21" t="str">
        <f>TEXT(CrowdfundingTable[[#This Row],[date_created]],"ddd")</f>
        <v>Tue</v>
      </c>
      <c r="Q561" s="21">
        <f>_xlfn.DAYS(CrowdfundingTable[[#This Row],[date_ended]],CrowdfundingTable[[#This Row],[date_created]])</f>
        <v>7</v>
      </c>
      <c r="R561" s="5" t="b">
        <v>0</v>
      </c>
      <c r="S561" s="5" t="b">
        <v>0</v>
      </c>
      <c r="T561" s="5" t="s">
        <v>33</v>
      </c>
      <c r="U561" s="5" t="s">
        <v>2040</v>
      </c>
      <c r="V561" s="5" t="s">
        <v>2055</v>
      </c>
      <c r="W561" s="5"/>
    </row>
    <row r="562" spans="1:23" ht="17" x14ac:dyDescent="0.2">
      <c r="A562" s="5">
        <v>560</v>
      </c>
      <c r="B562" s="5" t="s">
        <v>1164</v>
      </c>
      <c r="C562" s="6" t="s">
        <v>1165</v>
      </c>
      <c r="D562" s="94">
        <v>20000</v>
      </c>
      <c r="E562" s="94">
        <v>158832</v>
      </c>
      <c r="F562" s="7">
        <f t="shared" si="35"/>
        <v>7.9416000000000002</v>
      </c>
      <c r="G562" s="5" t="s">
        <v>20</v>
      </c>
      <c r="H562" s="5">
        <v>3177</v>
      </c>
      <c r="I562" s="96">
        <f t="shared" si="32"/>
        <v>49.994334277620396</v>
      </c>
      <c r="J562" s="5" t="s">
        <v>21</v>
      </c>
      <c r="K562" s="5" t="s">
        <v>22</v>
      </c>
      <c r="L562" s="5">
        <v>1321596000</v>
      </c>
      <c r="M562" s="5">
        <v>1325052000</v>
      </c>
      <c r="N562" s="8">
        <f t="shared" si="33"/>
        <v>40865.25</v>
      </c>
      <c r="O562" s="8">
        <f t="shared" si="34"/>
        <v>40905.25</v>
      </c>
      <c r="P562" s="21" t="str">
        <f>TEXT(CrowdfundingTable[[#This Row],[date_created]],"ddd")</f>
        <v>Fri</v>
      </c>
      <c r="Q562" s="21">
        <f>_xlfn.DAYS(CrowdfundingTable[[#This Row],[date_ended]],CrowdfundingTable[[#This Row],[date_created]])</f>
        <v>40</v>
      </c>
      <c r="R562" s="5" t="b">
        <v>0</v>
      </c>
      <c r="S562" s="5" t="b">
        <v>0</v>
      </c>
      <c r="T562" s="5" t="s">
        <v>71</v>
      </c>
      <c r="U562" s="5" t="s">
        <v>2032</v>
      </c>
      <c r="V562" s="5" t="s">
        <v>2042</v>
      </c>
      <c r="W562" s="5"/>
    </row>
    <row r="563" spans="1:23" ht="17" x14ac:dyDescent="0.2">
      <c r="A563" s="5">
        <v>561</v>
      </c>
      <c r="B563" s="5" t="s">
        <v>1166</v>
      </c>
      <c r="C563" s="6" t="s">
        <v>1167</v>
      </c>
      <c r="D563" s="94">
        <v>3000</v>
      </c>
      <c r="E563" s="94">
        <v>11091</v>
      </c>
      <c r="F563" s="7">
        <f t="shared" si="35"/>
        <v>3.6970000000000001</v>
      </c>
      <c r="G563" s="5" t="s">
        <v>20</v>
      </c>
      <c r="H563" s="5">
        <v>198</v>
      </c>
      <c r="I563" s="96">
        <f t="shared" si="32"/>
        <v>56.015151515151516</v>
      </c>
      <c r="J563" s="5" t="s">
        <v>98</v>
      </c>
      <c r="K563" s="5" t="s">
        <v>99</v>
      </c>
      <c r="L563" s="5">
        <v>1318827600</v>
      </c>
      <c r="M563" s="5">
        <v>1319000400</v>
      </c>
      <c r="N563" s="8">
        <f t="shared" si="33"/>
        <v>40833.208333333336</v>
      </c>
      <c r="O563" s="8">
        <f t="shared" si="34"/>
        <v>40835.208333333336</v>
      </c>
      <c r="P563" s="21" t="str">
        <f>TEXT(CrowdfundingTable[[#This Row],[date_created]],"ddd")</f>
        <v>Mon</v>
      </c>
      <c r="Q563" s="21">
        <f>_xlfn.DAYS(CrowdfundingTable[[#This Row],[date_ended]],CrowdfundingTable[[#This Row],[date_created]])</f>
        <v>2</v>
      </c>
      <c r="R563" s="5" t="b">
        <v>0</v>
      </c>
      <c r="S563" s="5" t="b">
        <v>0</v>
      </c>
      <c r="T563" s="5" t="s">
        <v>33</v>
      </c>
      <c r="U563" s="5" t="s">
        <v>2040</v>
      </c>
      <c r="V563" s="5" t="s">
        <v>2055</v>
      </c>
      <c r="W563" s="5"/>
    </row>
    <row r="564" spans="1:23" ht="34" x14ac:dyDescent="0.2">
      <c r="A564" s="5">
        <v>562</v>
      </c>
      <c r="B564" s="5" t="s">
        <v>1168</v>
      </c>
      <c r="C564" s="6" t="s">
        <v>1169</v>
      </c>
      <c r="D564" s="94">
        <v>9900</v>
      </c>
      <c r="E564" s="94">
        <v>1269</v>
      </c>
      <c r="F564" s="7">
        <f t="shared" si="35"/>
        <v>0.12818181818181817</v>
      </c>
      <c r="G564" s="5" t="s">
        <v>14</v>
      </c>
      <c r="H564" s="5">
        <v>26</v>
      </c>
      <c r="I564" s="96">
        <f t="shared" si="32"/>
        <v>48.807692307692307</v>
      </c>
      <c r="J564" s="5" t="s">
        <v>98</v>
      </c>
      <c r="K564" s="5" t="s">
        <v>99</v>
      </c>
      <c r="L564" s="5">
        <v>1552366800</v>
      </c>
      <c r="M564" s="5">
        <v>1552539600</v>
      </c>
      <c r="N564" s="8">
        <f t="shared" si="33"/>
        <v>43536.208333333328</v>
      </c>
      <c r="O564" s="8">
        <f t="shared" si="34"/>
        <v>43538.208333333328</v>
      </c>
      <c r="P564" s="21" t="str">
        <f>TEXT(CrowdfundingTable[[#This Row],[date_created]],"ddd")</f>
        <v>Tue</v>
      </c>
      <c r="Q564" s="21">
        <f>_xlfn.DAYS(CrowdfundingTable[[#This Row],[date_ended]],CrowdfundingTable[[#This Row],[date_created]])</f>
        <v>2</v>
      </c>
      <c r="R564" s="5" t="b">
        <v>0</v>
      </c>
      <c r="S564" s="5" t="b">
        <v>0</v>
      </c>
      <c r="T564" s="5" t="s">
        <v>23</v>
      </c>
      <c r="U564" s="5" t="s">
        <v>2036</v>
      </c>
      <c r="V564" s="5" t="s">
        <v>2057</v>
      </c>
      <c r="W564" s="5"/>
    </row>
    <row r="565" spans="1:23" ht="17" x14ac:dyDescent="0.2">
      <c r="A565" s="5">
        <v>563</v>
      </c>
      <c r="B565" s="5" t="s">
        <v>1170</v>
      </c>
      <c r="C565" s="6" t="s">
        <v>1171</v>
      </c>
      <c r="D565" s="94">
        <v>3700</v>
      </c>
      <c r="E565" s="94">
        <v>5107</v>
      </c>
      <c r="F565" s="7">
        <f t="shared" si="35"/>
        <v>1.3802702702702703</v>
      </c>
      <c r="G565" s="5" t="s">
        <v>20</v>
      </c>
      <c r="H565" s="5">
        <v>85</v>
      </c>
      <c r="I565" s="96">
        <f t="shared" si="32"/>
        <v>60.082352941176474</v>
      </c>
      <c r="J565" s="5" t="s">
        <v>26</v>
      </c>
      <c r="K565" s="5" t="s">
        <v>27</v>
      </c>
      <c r="L565" s="5">
        <v>1542088800</v>
      </c>
      <c r="M565" s="5">
        <v>1543816800</v>
      </c>
      <c r="N565" s="8">
        <f t="shared" si="33"/>
        <v>43417.25</v>
      </c>
      <c r="O565" s="8">
        <f t="shared" si="34"/>
        <v>43437.25</v>
      </c>
      <c r="P565" s="21" t="str">
        <f>TEXT(CrowdfundingTable[[#This Row],[date_created]],"ddd")</f>
        <v>Tue</v>
      </c>
      <c r="Q565" s="21">
        <f>_xlfn.DAYS(CrowdfundingTable[[#This Row],[date_ended]],CrowdfundingTable[[#This Row],[date_created]])</f>
        <v>20</v>
      </c>
      <c r="R565" s="5" t="b">
        <v>0</v>
      </c>
      <c r="S565" s="5" t="b">
        <v>0</v>
      </c>
      <c r="T565" s="5" t="s">
        <v>42</v>
      </c>
      <c r="U565" s="5" t="s">
        <v>2032</v>
      </c>
      <c r="V565" s="5" t="s">
        <v>2044</v>
      </c>
      <c r="W565" s="5"/>
    </row>
    <row r="566" spans="1:23" ht="17" x14ac:dyDescent="0.2">
      <c r="A566" s="5">
        <v>564</v>
      </c>
      <c r="B566" s="5" t="s">
        <v>1172</v>
      </c>
      <c r="C566" s="6" t="s">
        <v>1173</v>
      </c>
      <c r="D566" s="94">
        <v>168700</v>
      </c>
      <c r="E566" s="94">
        <v>141393</v>
      </c>
      <c r="F566" s="7">
        <f t="shared" si="35"/>
        <v>0.83813278008298753</v>
      </c>
      <c r="G566" s="5" t="s">
        <v>14</v>
      </c>
      <c r="H566" s="5">
        <v>1790</v>
      </c>
      <c r="I566" s="96">
        <f t="shared" si="32"/>
        <v>78.990502793296088</v>
      </c>
      <c r="J566" s="5" t="s">
        <v>21</v>
      </c>
      <c r="K566" s="5" t="s">
        <v>22</v>
      </c>
      <c r="L566" s="5">
        <v>1426395600</v>
      </c>
      <c r="M566" s="5">
        <v>1427086800</v>
      </c>
      <c r="N566" s="8">
        <f t="shared" si="33"/>
        <v>42078.208333333328</v>
      </c>
      <c r="O566" s="8">
        <f t="shared" si="34"/>
        <v>42086.208333333328</v>
      </c>
      <c r="P566" s="21" t="str">
        <f>TEXT(CrowdfundingTable[[#This Row],[date_created]],"ddd")</f>
        <v>Sun</v>
      </c>
      <c r="Q566" s="21">
        <f>_xlfn.DAYS(CrowdfundingTable[[#This Row],[date_ended]],CrowdfundingTable[[#This Row],[date_created]])</f>
        <v>8</v>
      </c>
      <c r="R566" s="5" t="b">
        <v>0</v>
      </c>
      <c r="S566" s="5" t="b">
        <v>0</v>
      </c>
      <c r="T566" s="5" t="s">
        <v>33</v>
      </c>
      <c r="U566" s="5" t="s">
        <v>2040</v>
      </c>
      <c r="V566" s="5" t="s">
        <v>2055</v>
      </c>
      <c r="W566" s="5"/>
    </row>
    <row r="567" spans="1:23" ht="17" x14ac:dyDescent="0.2">
      <c r="A567" s="5">
        <v>565</v>
      </c>
      <c r="B567" s="5" t="s">
        <v>1174</v>
      </c>
      <c r="C567" s="6" t="s">
        <v>1175</v>
      </c>
      <c r="D567" s="94">
        <v>94900</v>
      </c>
      <c r="E567" s="94">
        <v>194166</v>
      </c>
      <c r="F567" s="7">
        <f t="shared" si="35"/>
        <v>2.0460063224446787</v>
      </c>
      <c r="G567" s="5" t="s">
        <v>20</v>
      </c>
      <c r="H567" s="5">
        <v>3596</v>
      </c>
      <c r="I567" s="96">
        <f t="shared" si="32"/>
        <v>53.99499443826474</v>
      </c>
      <c r="J567" s="5" t="s">
        <v>21</v>
      </c>
      <c r="K567" s="5" t="s">
        <v>22</v>
      </c>
      <c r="L567" s="5">
        <v>1321336800</v>
      </c>
      <c r="M567" s="5">
        <v>1323064800</v>
      </c>
      <c r="N567" s="8">
        <f t="shared" si="33"/>
        <v>40862.25</v>
      </c>
      <c r="O567" s="8">
        <f t="shared" si="34"/>
        <v>40882.25</v>
      </c>
      <c r="P567" s="21" t="str">
        <f>TEXT(CrowdfundingTable[[#This Row],[date_created]],"ddd")</f>
        <v>Tue</v>
      </c>
      <c r="Q567" s="21">
        <f>_xlfn.DAYS(CrowdfundingTable[[#This Row],[date_ended]],CrowdfundingTable[[#This Row],[date_created]])</f>
        <v>20</v>
      </c>
      <c r="R567" s="5" t="b">
        <v>0</v>
      </c>
      <c r="S567" s="5" t="b">
        <v>0</v>
      </c>
      <c r="T567" s="5" t="s">
        <v>33</v>
      </c>
      <c r="U567" s="5" t="s">
        <v>2040</v>
      </c>
      <c r="V567" s="5" t="s">
        <v>2055</v>
      </c>
      <c r="W567" s="5"/>
    </row>
    <row r="568" spans="1:23" ht="17" x14ac:dyDescent="0.2">
      <c r="A568" s="5">
        <v>566</v>
      </c>
      <c r="B568" s="5" t="s">
        <v>1176</v>
      </c>
      <c r="C568" s="6" t="s">
        <v>1177</v>
      </c>
      <c r="D568" s="94">
        <v>9300</v>
      </c>
      <c r="E568" s="94">
        <v>4124</v>
      </c>
      <c r="F568" s="7">
        <f t="shared" si="35"/>
        <v>0.44344086021505374</v>
      </c>
      <c r="G568" s="5" t="s">
        <v>14</v>
      </c>
      <c r="H568" s="5">
        <v>37</v>
      </c>
      <c r="I568" s="96">
        <f t="shared" si="32"/>
        <v>111.45945945945945</v>
      </c>
      <c r="J568" s="5" t="s">
        <v>21</v>
      </c>
      <c r="K568" s="5" t="s">
        <v>22</v>
      </c>
      <c r="L568" s="5">
        <v>1456293600</v>
      </c>
      <c r="M568" s="5">
        <v>1458277200</v>
      </c>
      <c r="N568" s="8">
        <f t="shared" si="33"/>
        <v>42424.25</v>
      </c>
      <c r="O568" s="8">
        <f t="shared" si="34"/>
        <v>42447.208333333328</v>
      </c>
      <c r="P568" s="21" t="str">
        <f>TEXT(CrowdfundingTable[[#This Row],[date_created]],"ddd")</f>
        <v>Wed</v>
      </c>
      <c r="Q568" s="21">
        <f>_xlfn.DAYS(CrowdfundingTable[[#This Row],[date_ended]],CrowdfundingTable[[#This Row],[date_created]])</f>
        <v>23</v>
      </c>
      <c r="R568" s="5" t="b">
        <v>0</v>
      </c>
      <c r="S568" s="5" t="b">
        <v>1</v>
      </c>
      <c r="T568" s="5" t="s">
        <v>50</v>
      </c>
      <c r="U568" s="5" t="s">
        <v>2036</v>
      </c>
      <c r="V568" s="5" t="s">
        <v>2046</v>
      </c>
      <c r="W568" s="5"/>
    </row>
    <row r="569" spans="1:23" ht="17" x14ac:dyDescent="0.2">
      <c r="A569" s="5">
        <v>567</v>
      </c>
      <c r="B569" s="5" t="s">
        <v>1178</v>
      </c>
      <c r="C569" s="6" t="s">
        <v>1179</v>
      </c>
      <c r="D569" s="94">
        <v>6800</v>
      </c>
      <c r="E569" s="94">
        <v>14865</v>
      </c>
      <c r="F569" s="7">
        <f t="shared" si="35"/>
        <v>2.1860294117647059</v>
      </c>
      <c r="G569" s="5" t="s">
        <v>20</v>
      </c>
      <c r="H569" s="5">
        <v>244</v>
      </c>
      <c r="I569" s="96">
        <f t="shared" si="32"/>
        <v>60.922131147540981</v>
      </c>
      <c r="J569" s="5" t="s">
        <v>21</v>
      </c>
      <c r="K569" s="5" t="s">
        <v>22</v>
      </c>
      <c r="L569" s="5">
        <v>1404968400</v>
      </c>
      <c r="M569" s="5">
        <v>1405141200</v>
      </c>
      <c r="N569" s="8">
        <f t="shared" si="33"/>
        <v>41830.208333333336</v>
      </c>
      <c r="O569" s="8">
        <f t="shared" si="34"/>
        <v>41832.208333333336</v>
      </c>
      <c r="P569" s="21" t="str">
        <f>TEXT(CrowdfundingTable[[#This Row],[date_created]],"ddd")</f>
        <v>Thu</v>
      </c>
      <c r="Q569" s="21">
        <f>_xlfn.DAYS(CrowdfundingTable[[#This Row],[date_ended]],CrowdfundingTable[[#This Row],[date_created]])</f>
        <v>2</v>
      </c>
      <c r="R569" s="5" t="b">
        <v>0</v>
      </c>
      <c r="S569" s="5" t="b">
        <v>0</v>
      </c>
      <c r="T569" s="5" t="s">
        <v>23</v>
      </c>
      <c r="U569" s="5" t="s">
        <v>2036</v>
      </c>
      <c r="V569" s="5" t="s">
        <v>2057</v>
      </c>
      <c r="W569" s="5"/>
    </row>
    <row r="570" spans="1:23" ht="17" x14ac:dyDescent="0.2">
      <c r="A570" s="5">
        <v>568</v>
      </c>
      <c r="B570" s="5" t="s">
        <v>1180</v>
      </c>
      <c r="C570" s="6" t="s">
        <v>1181</v>
      </c>
      <c r="D570" s="94">
        <v>72400</v>
      </c>
      <c r="E570" s="94">
        <v>134688</v>
      </c>
      <c r="F570" s="7">
        <f t="shared" si="35"/>
        <v>1.8603314917127072</v>
      </c>
      <c r="G570" s="5" t="s">
        <v>20</v>
      </c>
      <c r="H570" s="5">
        <v>5180</v>
      </c>
      <c r="I570" s="96">
        <f t="shared" si="32"/>
        <v>26.0015444015444</v>
      </c>
      <c r="J570" s="5" t="s">
        <v>21</v>
      </c>
      <c r="K570" s="5" t="s">
        <v>22</v>
      </c>
      <c r="L570" s="5">
        <v>1279170000</v>
      </c>
      <c r="M570" s="5">
        <v>1283058000</v>
      </c>
      <c r="N570" s="8">
        <f t="shared" si="33"/>
        <v>40374.208333333336</v>
      </c>
      <c r="O570" s="8">
        <f t="shared" si="34"/>
        <v>40419.208333333336</v>
      </c>
      <c r="P570" s="21" t="str">
        <f>TEXT(CrowdfundingTable[[#This Row],[date_created]],"ddd")</f>
        <v>Thu</v>
      </c>
      <c r="Q570" s="21">
        <f>_xlfn.DAYS(CrowdfundingTable[[#This Row],[date_ended]],CrowdfundingTable[[#This Row],[date_created]])</f>
        <v>45</v>
      </c>
      <c r="R570" s="5" t="b">
        <v>0</v>
      </c>
      <c r="S570" s="5" t="b">
        <v>0</v>
      </c>
      <c r="T570" s="5" t="s">
        <v>33</v>
      </c>
      <c r="U570" s="5" t="s">
        <v>2040</v>
      </c>
      <c r="V570" s="5" t="s">
        <v>2055</v>
      </c>
      <c r="W570" s="5"/>
    </row>
    <row r="571" spans="1:23" ht="17" x14ac:dyDescent="0.2">
      <c r="A571" s="5">
        <v>569</v>
      </c>
      <c r="B571" s="5" t="s">
        <v>1182</v>
      </c>
      <c r="C571" s="6" t="s">
        <v>1183</v>
      </c>
      <c r="D571" s="94">
        <v>20100</v>
      </c>
      <c r="E571" s="94">
        <v>47705</v>
      </c>
      <c r="F571" s="7">
        <f t="shared" si="35"/>
        <v>2.3733830845771142</v>
      </c>
      <c r="G571" s="5" t="s">
        <v>20</v>
      </c>
      <c r="H571" s="5">
        <v>589</v>
      </c>
      <c r="I571" s="96">
        <f t="shared" si="32"/>
        <v>80.993208828522924</v>
      </c>
      <c r="J571" s="5" t="s">
        <v>107</v>
      </c>
      <c r="K571" s="5" t="s">
        <v>108</v>
      </c>
      <c r="L571" s="5">
        <v>1294725600</v>
      </c>
      <c r="M571" s="5">
        <v>1295762400</v>
      </c>
      <c r="N571" s="8">
        <f t="shared" si="33"/>
        <v>40554.25</v>
      </c>
      <c r="O571" s="8">
        <f t="shared" si="34"/>
        <v>40566.25</v>
      </c>
      <c r="P571" s="21" t="str">
        <f>TEXT(CrowdfundingTable[[#This Row],[date_created]],"ddd")</f>
        <v>Tue</v>
      </c>
      <c r="Q571" s="21">
        <f>_xlfn.DAYS(CrowdfundingTable[[#This Row],[date_ended]],CrowdfundingTable[[#This Row],[date_created]])</f>
        <v>12</v>
      </c>
      <c r="R571" s="5" t="b">
        <v>0</v>
      </c>
      <c r="S571" s="5" t="b">
        <v>0</v>
      </c>
      <c r="T571" s="5" t="s">
        <v>71</v>
      </c>
      <c r="U571" s="5" t="s">
        <v>2032</v>
      </c>
      <c r="V571" s="5" t="s">
        <v>2042</v>
      </c>
      <c r="W571" s="5"/>
    </row>
    <row r="572" spans="1:23" ht="17" x14ac:dyDescent="0.2">
      <c r="A572" s="5">
        <v>570</v>
      </c>
      <c r="B572" s="5" t="s">
        <v>1184</v>
      </c>
      <c r="C572" s="6" t="s">
        <v>1185</v>
      </c>
      <c r="D572" s="94">
        <v>31200</v>
      </c>
      <c r="E572" s="94">
        <v>95364</v>
      </c>
      <c r="F572" s="7">
        <f t="shared" si="35"/>
        <v>3.0565384615384614</v>
      </c>
      <c r="G572" s="5" t="s">
        <v>20</v>
      </c>
      <c r="H572" s="5">
        <v>2725</v>
      </c>
      <c r="I572" s="96">
        <f t="shared" si="32"/>
        <v>34.995963302752294</v>
      </c>
      <c r="J572" s="5" t="s">
        <v>21</v>
      </c>
      <c r="K572" s="5" t="s">
        <v>22</v>
      </c>
      <c r="L572" s="5">
        <v>1419055200</v>
      </c>
      <c r="M572" s="5">
        <v>1419573600</v>
      </c>
      <c r="N572" s="8">
        <f t="shared" si="33"/>
        <v>41993.25</v>
      </c>
      <c r="O572" s="8">
        <f t="shared" si="34"/>
        <v>41999.25</v>
      </c>
      <c r="P572" s="21" t="str">
        <f>TEXT(CrowdfundingTable[[#This Row],[date_created]],"ddd")</f>
        <v>Sat</v>
      </c>
      <c r="Q572" s="21">
        <f>_xlfn.DAYS(CrowdfundingTable[[#This Row],[date_ended]],CrowdfundingTable[[#This Row],[date_created]])</f>
        <v>6</v>
      </c>
      <c r="R572" s="5" t="b">
        <v>0</v>
      </c>
      <c r="S572" s="5" t="b">
        <v>1</v>
      </c>
      <c r="T572" s="5" t="s">
        <v>23</v>
      </c>
      <c r="U572" s="5" t="s">
        <v>2036</v>
      </c>
      <c r="V572" s="5" t="s">
        <v>2057</v>
      </c>
      <c r="W572" s="5"/>
    </row>
    <row r="573" spans="1:23" ht="17" x14ac:dyDescent="0.2">
      <c r="A573" s="5">
        <v>571</v>
      </c>
      <c r="B573" s="5" t="s">
        <v>1186</v>
      </c>
      <c r="C573" s="6" t="s">
        <v>1187</v>
      </c>
      <c r="D573" s="94">
        <v>3500</v>
      </c>
      <c r="E573" s="94">
        <v>3295</v>
      </c>
      <c r="F573" s="7">
        <f t="shared" si="35"/>
        <v>0.94142857142857139</v>
      </c>
      <c r="G573" s="5" t="s">
        <v>14</v>
      </c>
      <c r="H573" s="5">
        <v>35</v>
      </c>
      <c r="I573" s="96">
        <f t="shared" si="32"/>
        <v>94.142857142857139</v>
      </c>
      <c r="J573" s="5" t="s">
        <v>107</v>
      </c>
      <c r="K573" s="5" t="s">
        <v>108</v>
      </c>
      <c r="L573" s="5">
        <v>1434690000</v>
      </c>
      <c r="M573" s="5">
        <v>1438750800</v>
      </c>
      <c r="N573" s="8">
        <f t="shared" si="33"/>
        <v>42174.208333333328</v>
      </c>
      <c r="O573" s="8">
        <f t="shared" si="34"/>
        <v>42221.208333333328</v>
      </c>
      <c r="P573" s="21" t="str">
        <f>TEXT(CrowdfundingTable[[#This Row],[date_created]],"ddd")</f>
        <v>Fri</v>
      </c>
      <c r="Q573" s="21">
        <f>_xlfn.DAYS(CrowdfundingTable[[#This Row],[date_ended]],CrowdfundingTable[[#This Row],[date_created]])</f>
        <v>47</v>
      </c>
      <c r="R573" s="5" t="b">
        <v>0</v>
      </c>
      <c r="S573" s="5" t="b">
        <v>0</v>
      </c>
      <c r="T573" s="5" t="s">
        <v>100</v>
      </c>
      <c r="U573" s="5" t="s">
        <v>2032</v>
      </c>
      <c r="V573" s="5" t="s">
        <v>2059</v>
      </c>
      <c r="W573" s="5"/>
    </row>
    <row r="574" spans="1:23" ht="17" x14ac:dyDescent="0.2">
      <c r="A574" s="5">
        <v>572</v>
      </c>
      <c r="B574" s="5" t="s">
        <v>1188</v>
      </c>
      <c r="C574" s="6" t="s">
        <v>1189</v>
      </c>
      <c r="D574" s="94">
        <v>9000</v>
      </c>
      <c r="E574" s="94">
        <v>4896</v>
      </c>
      <c r="F574" s="7">
        <f t="shared" si="35"/>
        <v>0.54400000000000004</v>
      </c>
      <c r="G574" s="5" t="s">
        <v>74</v>
      </c>
      <c r="H574" s="5">
        <v>94</v>
      </c>
      <c r="I574" s="96">
        <f t="shared" si="32"/>
        <v>52.085106382978722</v>
      </c>
      <c r="J574" s="5" t="s">
        <v>21</v>
      </c>
      <c r="K574" s="5" t="s">
        <v>22</v>
      </c>
      <c r="L574" s="5">
        <v>1443416400</v>
      </c>
      <c r="M574" s="5">
        <v>1444798800</v>
      </c>
      <c r="N574" s="8">
        <f t="shared" si="33"/>
        <v>42275.208333333328</v>
      </c>
      <c r="O574" s="8">
        <f t="shared" si="34"/>
        <v>42291.208333333328</v>
      </c>
      <c r="P574" s="21" t="str">
        <f>TEXT(CrowdfundingTable[[#This Row],[date_created]],"ddd")</f>
        <v>Mon</v>
      </c>
      <c r="Q574" s="21">
        <f>_xlfn.DAYS(CrowdfundingTable[[#This Row],[date_ended]],CrowdfundingTable[[#This Row],[date_created]])</f>
        <v>16</v>
      </c>
      <c r="R574" s="5" t="b">
        <v>0</v>
      </c>
      <c r="S574" s="5" t="b">
        <v>1</v>
      </c>
      <c r="T574" s="5" t="s">
        <v>23</v>
      </c>
      <c r="U574" s="5" t="s">
        <v>2036</v>
      </c>
      <c r="V574" s="5" t="s">
        <v>2057</v>
      </c>
      <c r="W574" s="5"/>
    </row>
    <row r="575" spans="1:23" ht="17" x14ac:dyDescent="0.2">
      <c r="A575" s="5">
        <v>573</v>
      </c>
      <c r="B575" s="5" t="s">
        <v>1190</v>
      </c>
      <c r="C575" s="6" t="s">
        <v>1191</v>
      </c>
      <c r="D575" s="94">
        <v>6700</v>
      </c>
      <c r="E575" s="94">
        <v>7496</v>
      </c>
      <c r="F575" s="7">
        <f t="shared" si="35"/>
        <v>1.1188059701492536</v>
      </c>
      <c r="G575" s="5" t="s">
        <v>20</v>
      </c>
      <c r="H575" s="5">
        <v>300</v>
      </c>
      <c r="I575" s="96">
        <f t="shared" si="32"/>
        <v>24.986666666666668</v>
      </c>
      <c r="J575" s="5" t="s">
        <v>21</v>
      </c>
      <c r="K575" s="5" t="s">
        <v>22</v>
      </c>
      <c r="L575" s="5">
        <v>1399006800</v>
      </c>
      <c r="M575" s="5">
        <v>1399179600</v>
      </c>
      <c r="N575" s="8">
        <f t="shared" si="33"/>
        <v>41761.208333333336</v>
      </c>
      <c r="O575" s="8">
        <f t="shared" si="34"/>
        <v>41763.208333333336</v>
      </c>
      <c r="P575" s="21" t="str">
        <f>TEXT(CrowdfundingTable[[#This Row],[date_created]],"ddd")</f>
        <v>Fri</v>
      </c>
      <c r="Q575" s="21">
        <f>_xlfn.DAYS(CrowdfundingTable[[#This Row],[date_ended]],CrowdfundingTable[[#This Row],[date_created]])</f>
        <v>2</v>
      </c>
      <c r="R575" s="5" t="b">
        <v>0</v>
      </c>
      <c r="S575" s="5" t="b">
        <v>0</v>
      </c>
      <c r="T575" s="5" t="s">
        <v>1029</v>
      </c>
      <c r="U575" s="5" t="s">
        <v>2035</v>
      </c>
      <c r="V575" s="5" t="s">
        <v>2043</v>
      </c>
      <c r="W575" s="5"/>
    </row>
    <row r="576" spans="1:23" ht="17" x14ac:dyDescent="0.2">
      <c r="A576" s="5">
        <v>574</v>
      </c>
      <c r="B576" s="5" t="s">
        <v>1192</v>
      </c>
      <c r="C576" s="6" t="s">
        <v>1193</v>
      </c>
      <c r="D576" s="94">
        <v>2700</v>
      </c>
      <c r="E576" s="94">
        <v>9967</v>
      </c>
      <c r="F576" s="7">
        <f t="shared" si="35"/>
        <v>3.6914814814814814</v>
      </c>
      <c r="G576" s="5" t="s">
        <v>20</v>
      </c>
      <c r="H576" s="5">
        <v>144</v>
      </c>
      <c r="I576" s="96">
        <f t="shared" si="32"/>
        <v>69.215277777777771</v>
      </c>
      <c r="J576" s="5" t="s">
        <v>21</v>
      </c>
      <c r="K576" s="5" t="s">
        <v>22</v>
      </c>
      <c r="L576" s="5">
        <v>1575698400</v>
      </c>
      <c r="M576" s="5">
        <v>1576562400</v>
      </c>
      <c r="N576" s="8">
        <f t="shared" si="33"/>
        <v>43806.25</v>
      </c>
      <c r="O576" s="8">
        <f t="shared" si="34"/>
        <v>43816.25</v>
      </c>
      <c r="P576" s="21" t="str">
        <f>TEXT(CrowdfundingTable[[#This Row],[date_created]],"ddd")</f>
        <v>Sat</v>
      </c>
      <c r="Q576" s="21">
        <f>_xlfn.DAYS(CrowdfundingTable[[#This Row],[date_ended]],CrowdfundingTable[[#This Row],[date_created]])</f>
        <v>10</v>
      </c>
      <c r="R576" s="5" t="b">
        <v>0</v>
      </c>
      <c r="S576" s="5" t="b">
        <v>1</v>
      </c>
      <c r="T576" s="5" t="s">
        <v>17</v>
      </c>
      <c r="U576" s="5" t="s">
        <v>2033</v>
      </c>
      <c r="V576" s="5" t="s">
        <v>2048</v>
      </c>
      <c r="W576" s="5"/>
    </row>
    <row r="577" spans="1:23" ht="17" x14ac:dyDescent="0.2">
      <c r="A577" s="5">
        <v>575</v>
      </c>
      <c r="B577" s="5" t="s">
        <v>1194</v>
      </c>
      <c r="C577" s="6" t="s">
        <v>1195</v>
      </c>
      <c r="D577" s="94">
        <v>83300</v>
      </c>
      <c r="E577" s="94">
        <v>52421</v>
      </c>
      <c r="F577" s="7">
        <f t="shared" si="35"/>
        <v>0.62930372148859548</v>
      </c>
      <c r="G577" s="5" t="s">
        <v>14</v>
      </c>
      <c r="H577" s="5">
        <v>558</v>
      </c>
      <c r="I577" s="96">
        <f t="shared" si="32"/>
        <v>93.944444444444443</v>
      </c>
      <c r="J577" s="5" t="s">
        <v>21</v>
      </c>
      <c r="K577" s="5" t="s">
        <v>22</v>
      </c>
      <c r="L577" s="5">
        <v>1400562000</v>
      </c>
      <c r="M577" s="5">
        <v>1400821200</v>
      </c>
      <c r="N577" s="8">
        <f t="shared" si="33"/>
        <v>41779.208333333336</v>
      </c>
      <c r="O577" s="8">
        <f t="shared" si="34"/>
        <v>41782.208333333336</v>
      </c>
      <c r="P577" s="21" t="str">
        <f>TEXT(CrowdfundingTable[[#This Row],[date_created]],"ddd")</f>
        <v>Tue</v>
      </c>
      <c r="Q577" s="21">
        <f>_xlfn.DAYS(CrowdfundingTable[[#This Row],[date_ended]],CrowdfundingTable[[#This Row],[date_created]])</f>
        <v>3</v>
      </c>
      <c r="R577" s="5" t="b">
        <v>0</v>
      </c>
      <c r="S577" s="5" t="b">
        <v>1</v>
      </c>
      <c r="T577" s="5" t="s">
        <v>33</v>
      </c>
      <c r="U577" s="5" t="s">
        <v>2040</v>
      </c>
      <c r="V577" s="5" t="s">
        <v>2055</v>
      </c>
      <c r="W577" s="5"/>
    </row>
    <row r="578" spans="1:23" ht="17" x14ac:dyDescent="0.2">
      <c r="A578" s="5">
        <v>576</v>
      </c>
      <c r="B578" s="5" t="s">
        <v>1196</v>
      </c>
      <c r="C578" s="6" t="s">
        <v>1197</v>
      </c>
      <c r="D578" s="94">
        <v>9700</v>
      </c>
      <c r="E578" s="94">
        <v>6298</v>
      </c>
      <c r="F578" s="7">
        <f t="shared" si="35"/>
        <v>0.6492783505154639</v>
      </c>
      <c r="G578" s="5" t="s">
        <v>14</v>
      </c>
      <c r="H578" s="5">
        <v>64</v>
      </c>
      <c r="I578" s="96">
        <f t="shared" ref="I578:I641" si="36">IF(H578&lt;&gt;0,E578/H578,0)</f>
        <v>98.40625</v>
      </c>
      <c r="J578" s="5" t="s">
        <v>21</v>
      </c>
      <c r="K578" s="5" t="s">
        <v>22</v>
      </c>
      <c r="L578" s="5">
        <v>1509512400</v>
      </c>
      <c r="M578" s="5">
        <v>1510984800</v>
      </c>
      <c r="N578" s="8">
        <f t="shared" si="33"/>
        <v>43040.208333333328</v>
      </c>
      <c r="O578" s="8">
        <f t="shared" si="34"/>
        <v>43057.25</v>
      </c>
      <c r="P578" s="21" t="str">
        <f>TEXT(CrowdfundingTable[[#This Row],[date_created]],"ddd")</f>
        <v>Wed</v>
      </c>
      <c r="Q578" s="21">
        <f>_xlfn.DAYS(CrowdfundingTable[[#This Row],[date_ended]],CrowdfundingTable[[#This Row],[date_created]])</f>
        <v>17</v>
      </c>
      <c r="R578" s="5" t="b">
        <v>0</v>
      </c>
      <c r="S578" s="5" t="b">
        <v>0</v>
      </c>
      <c r="T578" s="5" t="s">
        <v>33</v>
      </c>
      <c r="U578" s="5" t="s">
        <v>2040</v>
      </c>
      <c r="V578" s="5" t="s">
        <v>2055</v>
      </c>
      <c r="W578" s="5"/>
    </row>
    <row r="579" spans="1:23" ht="17" x14ac:dyDescent="0.2">
      <c r="A579" s="5">
        <v>577</v>
      </c>
      <c r="B579" s="5" t="s">
        <v>1198</v>
      </c>
      <c r="C579" s="6" t="s">
        <v>1199</v>
      </c>
      <c r="D579" s="94">
        <v>8200</v>
      </c>
      <c r="E579" s="94">
        <v>1546</v>
      </c>
      <c r="F579" s="7">
        <f t="shared" si="35"/>
        <v>0.18853658536585366</v>
      </c>
      <c r="G579" s="5" t="s">
        <v>74</v>
      </c>
      <c r="H579" s="5">
        <v>37</v>
      </c>
      <c r="I579" s="96">
        <f t="shared" si="36"/>
        <v>41.783783783783782</v>
      </c>
      <c r="J579" s="5" t="s">
        <v>21</v>
      </c>
      <c r="K579" s="5" t="s">
        <v>22</v>
      </c>
      <c r="L579" s="5">
        <v>1299823200</v>
      </c>
      <c r="M579" s="5">
        <v>1302066000</v>
      </c>
      <c r="N579" s="8">
        <f t="shared" ref="N579:N642" si="37">(((L579/60)/60)/24)+DATE(1970,1,1)</f>
        <v>40613.25</v>
      </c>
      <c r="O579" s="8">
        <f t="shared" ref="O579:O642" si="38">(((M579/60)/60)/24)+DATE(1970,1,1)</f>
        <v>40639.208333333336</v>
      </c>
      <c r="P579" s="21" t="str">
        <f>TEXT(CrowdfundingTable[[#This Row],[date_created]],"ddd")</f>
        <v>Fri</v>
      </c>
      <c r="Q579" s="21">
        <f>_xlfn.DAYS(CrowdfundingTable[[#This Row],[date_ended]],CrowdfundingTable[[#This Row],[date_created]])</f>
        <v>26</v>
      </c>
      <c r="R579" s="5" t="b">
        <v>0</v>
      </c>
      <c r="S579" s="5" t="b">
        <v>0</v>
      </c>
      <c r="T579" s="5" t="s">
        <v>159</v>
      </c>
      <c r="U579" s="5" t="s">
        <v>2036</v>
      </c>
      <c r="V579" s="5" t="s">
        <v>2050</v>
      </c>
      <c r="W579" s="5"/>
    </row>
    <row r="580" spans="1:23" ht="17" x14ac:dyDescent="0.2">
      <c r="A580" s="5">
        <v>578</v>
      </c>
      <c r="B580" s="5" t="s">
        <v>1200</v>
      </c>
      <c r="C580" s="6" t="s">
        <v>1201</v>
      </c>
      <c r="D580" s="94">
        <v>96500</v>
      </c>
      <c r="E580" s="94">
        <v>16168</v>
      </c>
      <c r="F580" s="7">
        <f t="shared" ref="F580:F643" si="39">E580/D580</f>
        <v>0.1675440414507772</v>
      </c>
      <c r="G580" s="5" t="s">
        <v>14</v>
      </c>
      <c r="H580" s="5">
        <v>245</v>
      </c>
      <c r="I580" s="96">
        <f t="shared" si="36"/>
        <v>65.991836734693877</v>
      </c>
      <c r="J580" s="5" t="s">
        <v>21</v>
      </c>
      <c r="K580" s="5" t="s">
        <v>22</v>
      </c>
      <c r="L580" s="5">
        <v>1322719200</v>
      </c>
      <c r="M580" s="5">
        <v>1322978400</v>
      </c>
      <c r="N580" s="8">
        <f t="shared" si="37"/>
        <v>40878.25</v>
      </c>
      <c r="O580" s="8">
        <f t="shared" si="38"/>
        <v>40881.25</v>
      </c>
      <c r="P580" s="21" t="str">
        <f>TEXT(CrowdfundingTable[[#This Row],[date_created]],"ddd")</f>
        <v>Thu</v>
      </c>
      <c r="Q580" s="21">
        <f>_xlfn.DAYS(CrowdfundingTable[[#This Row],[date_ended]],CrowdfundingTable[[#This Row],[date_created]])</f>
        <v>3</v>
      </c>
      <c r="R580" s="5" t="b">
        <v>0</v>
      </c>
      <c r="S580" s="5" t="b">
        <v>0</v>
      </c>
      <c r="T580" s="5" t="s">
        <v>474</v>
      </c>
      <c r="U580" s="5" t="s">
        <v>2032</v>
      </c>
      <c r="V580" s="5" t="s">
        <v>2058</v>
      </c>
      <c r="W580" s="5"/>
    </row>
    <row r="581" spans="1:23" ht="17" x14ac:dyDescent="0.2">
      <c r="A581" s="5">
        <v>579</v>
      </c>
      <c r="B581" s="5" t="s">
        <v>1202</v>
      </c>
      <c r="C581" s="6" t="s">
        <v>1203</v>
      </c>
      <c r="D581" s="94">
        <v>6200</v>
      </c>
      <c r="E581" s="94">
        <v>6269</v>
      </c>
      <c r="F581" s="7">
        <f t="shared" si="39"/>
        <v>1.0111290322580646</v>
      </c>
      <c r="G581" s="5" t="s">
        <v>20</v>
      </c>
      <c r="H581" s="5">
        <v>87</v>
      </c>
      <c r="I581" s="96">
        <f t="shared" si="36"/>
        <v>72.05747126436782</v>
      </c>
      <c r="J581" s="5" t="s">
        <v>21</v>
      </c>
      <c r="K581" s="5" t="s">
        <v>22</v>
      </c>
      <c r="L581" s="5">
        <v>1312693200</v>
      </c>
      <c r="M581" s="5">
        <v>1313730000</v>
      </c>
      <c r="N581" s="8">
        <f t="shared" si="37"/>
        <v>40762.208333333336</v>
      </c>
      <c r="O581" s="8">
        <f t="shared" si="38"/>
        <v>40774.208333333336</v>
      </c>
      <c r="P581" s="21" t="str">
        <f>TEXT(CrowdfundingTable[[#This Row],[date_created]],"ddd")</f>
        <v>Sun</v>
      </c>
      <c r="Q581" s="21">
        <f>_xlfn.DAYS(CrowdfundingTable[[#This Row],[date_ended]],CrowdfundingTable[[#This Row],[date_created]])</f>
        <v>12</v>
      </c>
      <c r="R581" s="5" t="b">
        <v>0</v>
      </c>
      <c r="S581" s="5" t="b">
        <v>0</v>
      </c>
      <c r="T581" s="5" t="s">
        <v>159</v>
      </c>
      <c r="U581" s="5" t="s">
        <v>2036</v>
      </c>
      <c r="V581" s="5" t="s">
        <v>2050</v>
      </c>
      <c r="W581" s="5"/>
    </row>
    <row r="582" spans="1:23" ht="17" x14ac:dyDescent="0.2">
      <c r="A582" s="5">
        <v>580</v>
      </c>
      <c r="B582" s="5" t="s">
        <v>556</v>
      </c>
      <c r="C582" s="6" t="s">
        <v>1204</v>
      </c>
      <c r="D582" s="94">
        <v>43800</v>
      </c>
      <c r="E582" s="94">
        <v>149578</v>
      </c>
      <c r="F582" s="7">
        <f t="shared" si="39"/>
        <v>3.4150228310502282</v>
      </c>
      <c r="G582" s="5" t="s">
        <v>20</v>
      </c>
      <c r="H582" s="5">
        <v>3116</v>
      </c>
      <c r="I582" s="96">
        <f t="shared" si="36"/>
        <v>48.003209242618745</v>
      </c>
      <c r="J582" s="5" t="s">
        <v>21</v>
      </c>
      <c r="K582" s="5" t="s">
        <v>22</v>
      </c>
      <c r="L582" s="5">
        <v>1393394400</v>
      </c>
      <c r="M582" s="5">
        <v>1394085600</v>
      </c>
      <c r="N582" s="8">
        <f t="shared" si="37"/>
        <v>41696.25</v>
      </c>
      <c r="O582" s="8">
        <f t="shared" si="38"/>
        <v>41704.25</v>
      </c>
      <c r="P582" s="21" t="str">
        <f>TEXT(CrowdfundingTable[[#This Row],[date_created]],"ddd")</f>
        <v>Wed</v>
      </c>
      <c r="Q582" s="21">
        <f>_xlfn.DAYS(CrowdfundingTable[[#This Row],[date_ended]],CrowdfundingTable[[#This Row],[date_created]])</f>
        <v>8</v>
      </c>
      <c r="R582" s="5" t="b">
        <v>0</v>
      </c>
      <c r="S582" s="5" t="b">
        <v>0</v>
      </c>
      <c r="T582" s="5" t="s">
        <v>33</v>
      </c>
      <c r="U582" s="5" t="s">
        <v>2040</v>
      </c>
      <c r="V582" s="5" t="s">
        <v>2055</v>
      </c>
      <c r="W582" s="5"/>
    </row>
    <row r="583" spans="1:23" ht="17" x14ac:dyDescent="0.2">
      <c r="A583" s="5">
        <v>581</v>
      </c>
      <c r="B583" s="5" t="s">
        <v>1205</v>
      </c>
      <c r="C583" s="6" t="s">
        <v>1206</v>
      </c>
      <c r="D583" s="94">
        <v>6000</v>
      </c>
      <c r="E583" s="94">
        <v>3841</v>
      </c>
      <c r="F583" s="7">
        <f t="shared" si="39"/>
        <v>0.64016666666666666</v>
      </c>
      <c r="G583" s="5" t="s">
        <v>14</v>
      </c>
      <c r="H583" s="5">
        <v>71</v>
      </c>
      <c r="I583" s="96">
        <f t="shared" si="36"/>
        <v>54.098591549295776</v>
      </c>
      <c r="J583" s="5" t="s">
        <v>21</v>
      </c>
      <c r="K583" s="5" t="s">
        <v>22</v>
      </c>
      <c r="L583" s="5">
        <v>1304053200</v>
      </c>
      <c r="M583" s="5">
        <v>1305349200</v>
      </c>
      <c r="N583" s="8">
        <f t="shared" si="37"/>
        <v>40662.208333333336</v>
      </c>
      <c r="O583" s="8">
        <f t="shared" si="38"/>
        <v>40677.208333333336</v>
      </c>
      <c r="P583" s="21" t="str">
        <f>TEXT(CrowdfundingTable[[#This Row],[date_created]],"ddd")</f>
        <v>Fri</v>
      </c>
      <c r="Q583" s="21">
        <f>_xlfn.DAYS(CrowdfundingTable[[#This Row],[date_ended]],CrowdfundingTable[[#This Row],[date_created]])</f>
        <v>15</v>
      </c>
      <c r="R583" s="5" t="b">
        <v>0</v>
      </c>
      <c r="S583" s="5" t="b">
        <v>0</v>
      </c>
      <c r="T583" s="5" t="s">
        <v>28</v>
      </c>
      <c r="U583" s="5" t="s">
        <v>2039</v>
      </c>
      <c r="V583" s="5" t="s">
        <v>2064</v>
      </c>
      <c r="W583" s="5"/>
    </row>
    <row r="584" spans="1:23" ht="17" x14ac:dyDescent="0.2">
      <c r="A584" s="5">
        <v>582</v>
      </c>
      <c r="B584" s="5" t="s">
        <v>1207</v>
      </c>
      <c r="C584" s="6" t="s">
        <v>1208</v>
      </c>
      <c r="D584" s="94">
        <v>8700</v>
      </c>
      <c r="E584" s="94">
        <v>4531</v>
      </c>
      <c r="F584" s="7">
        <f t="shared" si="39"/>
        <v>0.5208045977011494</v>
      </c>
      <c r="G584" s="5" t="s">
        <v>14</v>
      </c>
      <c r="H584" s="5">
        <v>42</v>
      </c>
      <c r="I584" s="96">
        <f t="shared" si="36"/>
        <v>107.88095238095238</v>
      </c>
      <c r="J584" s="5" t="s">
        <v>21</v>
      </c>
      <c r="K584" s="5" t="s">
        <v>22</v>
      </c>
      <c r="L584" s="5">
        <v>1433912400</v>
      </c>
      <c r="M584" s="5">
        <v>1434344400</v>
      </c>
      <c r="N584" s="8">
        <f t="shared" si="37"/>
        <v>42165.208333333328</v>
      </c>
      <c r="O584" s="8">
        <f t="shared" si="38"/>
        <v>42170.208333333328</v>
      </c>
      <c r="P584" s="21" t="str">
        <f>TEXT(CrowdfundingTable[[#This Row],[date_created]],"ddd")</f>
        <v>Wed</v>
      </c>
      <c r="Q584" s="21">
        <f>_xlfn.DAYS(CrowdfundingTable[[#This Row],[date_ended]],CrowdfundingTable[[#This Row],[date_created]])</f>
        <v>5</v>
      </c>
      <c r="R584" s="5" t="b">
        <v>0</v>
      </c>
      <c r="S584" s="5" t="b">
        <v>1</v>
      </c>
      <c r="T584" s="5" t="s">
        <v>89</v>
      </c>
      <c r="U584" s="5" t="s">
        <v>2034</v>
      </c>
      <c r="V584" s="5" t="s">
        <v>2062</v>
      </c>
      <c r="W584" s="5"/>
    </row>
    <row r="585" spans="1:23" ht="34" x14ac:dyDescent="0.2">
      <c r="A585" s="5">
        <v>583</v>
      </c>
      <c r="B585" s="5" t="s">
        <v>1209</v>
      </c>
      <c r="C585" s="6" t="s">
        <v>1210</v>
      </c>
      <c r="D585" s="94">
        <v>18900</v>
      </c>
      <c r="E585" s="94">
        <v>60934</v>
      </c>
      <c r="F585" s="7">
        <f t="shared" si="39"/>
        <v>3.2240211640211642</v>
      </c>
      <c r="G585" s="5" t="s">
        <v>20</v>
      </c>
      <c r="H585" s="5">
        <v>909</v>
      </c>
      <c r="I585" s="96">
        <f t="shared" si="36"/>
        <v>67.034103410341032</v>
      </c>
      <c r="J585" s="5" t="s">
        <v>21</v>
      </c>
      <c r="K585" s="5" t="s">
        <v>22</v>
      </c>
      <c r="L585" s="5">
        <v>1329717600</v>
      </c>
      <c r="M585" s="5">
        <v>1331186400</v>
      </c>
      <c r="N585" s="8">
        <f t="shared" si="37"/>
        <v>40959.25</v>
      </c>
      <c r="O585" s="8">
        <f t="shared" si="38"/>
        <v>40976.25</v>
      </c>
      <c r="P585" s="21" t="str">
        <f>TEXT(CrowdfundingTable[[#This Row],[date_created]],"ddd")</f>
        <v>Mon</v>
      </c>
      <c r="Q585" s="21">
        <f>_xlfn.DAYS(CrowdfundingTable[[#This Row],[date_ended]],CrowdfundingTable[[#This Row],[date_created]])</f>
        <v>17</v>
      </c>
      <c r="R585" s="5" t="b">
        <v>0</v>
      </c>
      <c r="S585" s="5" t="b">
        <v>0</v>
      </c>
      <c r="T585" s="5" t="s">
        <v>42</v>
      </c>
      <c r="U585" s="5" t="s">
        <v>2032</v>
      </c>
      <c r="V585" s="5" t="s">
        <v>2044</v>
      </c>
      <c r="W585" s="5"/>
    </row>
    <row r="586" spans="1:23" ht="17" x14ac:dyDescent="0.2">
      <c r="A586" s="5">
        <v>584</v>
      </c>
      <c r="B586" s="5" t="s">
        <v>45</v>
      </c>
      <c r="C586" s="6" t="s">
        <v>1211</v>
      </c>
      <c r="D586" s="94">
        <v>86400</v>
      </c>
      <c r="E586" s="94">
        <v>103255</v>
      </c>
      <c r="F586" s="7">
        <f t="shared" si="39"/>
        <v>1.1950810185185186</v>
      </c>
      <c r="G586" s="5" t="s">
        <v>20</v>
      </c>
      <c r="H586" s="5">
        <v>1613</v>
      </c>
      <c r="I586" s="96">
        <f t="shared" si="36"/>
        <v>64.01425914445133</v>
      </c>
      <c r="J586" s="5" t="s">
        <v>21</v>
      </c>
      <c r="K586" s="5" t="s">
        <v>22</v>
      </c>
      <c r="L586" s="5">
        <v>1335330000</v>
      </c>
      <c r="M586" s="5">
        <v>1336539600</v>
      </c>
      <c r="N586" s="8">
        <f t="shared" si="37"/>
        <v>41024.208333333336</v>
      </c>
      <c r="O586" s="8">
        <f t="shared" si="38"/>
        <v>41038.208333333336</v>
      </c>
      <c r="P586" s="21" t="str">
        <f>TEXT(CrowdfundingTable[[#This Row],[date_created]],"ddd")</f>
        <v>Wed</v>
      </c>
      <c r="Q586" s="21">
        <f>_xlfn.DAYS(CrowdfundingTable[[#This Row],[date_ended]],CrowdfundingTable[[#This Row],[date_created]])</f>
        <v>14</v>
      </c>
      <c r="R586" s="5" t="b">
        <v>0</v>
      </c>
      <c r="S586" s="5" t="b">
        <v>0</v>
      </c>
      <c r="T586" s="5" t="s">
        <v>28</v>
      </c>
      <c r="U586" s="5" t="s">
        <v>2039</v>
      </c>
      <c r="V586" s="5" t="s">
        <v>2064</v>
      </c>
      <c r="W586" s="5"/>
    </row>
    <row r="587" spans="1:23" ht="17" x14ac:dyDescent="0.2">
      <c r="A587" s="5">
        <v>585</v>
      </c>
      <c r="B587" s="5" t="s">
        <v>1212</v>
      </c>
      <c r="C587" s="6" t="s">
        <v>1213</v>
      </c>
      <c r="D587" s="94">
        <v>8900</v>
      </c>
      <c r="E587" s="94">
        <v>13065</v>
      </c>
      <c r="F587" s="7">
        <f t="shared" si="39"/>
        <v>1.4679775280898877</v>
      </c>
      <c r="G587" s="5" t="s">
        <v>20</v>
      </c>
      <c r="H587" s="5">
        <v>136</v>
      </c>
      <c r="I587" s="96">
        <f t="shared" si="36"/>
        <v>96.066176470588232</v>
      </c>
      <c r="J587" s="5" t="s">
        <v>21</v>
      </c>
      <c r="K587" s="5" t="s">
        <v>22</v>
      </c>
      <c r="L587" s="5">
        <v>1268888400</v>
      </c>
      <c r="M587" s="5">
        <v>1269752400</v>
      </c>
      <c r="N587" s="8">
        <f t="shared" si="37"/>
        <v>40255.208333333336</v>
      </c>
      <c r="O587" s="8">
        <f t="shared" si="38"/>
        <v>40265.208333333336</v>
      </c>
      <c r="P587" s="21" t="str">
        <f>TEXT(CrowdfundingTable[[#This Row],[date_created]],"ddd")</f>
        <v>Thu</v>
      </c>
      <c r="Q587" s="21">
        <f>_xlfn.DAYS(CrowdfundingTable[[#This Row],[date_ended]],CrowdfundingTable[[#This Row],[date_created]])</f>
        <v>10</v>
      </c>
      <c r="R587" s="5" t="b">
        <v>0</v>
      </c>
      <c r="S587" s="5" t="b">
        <v>0</v>
      </c>
      <c r="T587" s="5" t="s">
        <v>206</v>
      </c>
      <c r="U587" s="5" t="s">
        <v>2038</v>
      </c>
      <c r="V587" s="5" t="s">
        <v>2061</v>
      </c>
      <c r="W587" s="5"/>
    </row>
    <row r="588" spans="1:23" ht="17" x14ac:dyDescent="0.2">
      <c r="A588" s="5">
        <v>586</v>
      </c>
      <c r="B588" s="5" t="s">
        <v>1214</v>
      </c>
      <c r="C588" s="6" t="s">
        <v>1215</v>
      </c>
      <c r="D588" s="94">
        <v>700</v>
      </c>
      <c r="E588" s="94">
        <v>6654</v>
      </c>
      <c r="F588" s="7">
        <f t="shared" si="39"/>
        <v>9.5057142857142853</v>
      </c>
      <c r="G588" s="5" t="s">
        <v>20</v>
      </c>
      <c r="H588" s="5">
        <v>130</v>
      </c>
      <c r="I588" s="96">
        <f t="shared" si="36"/>
        <v>51.184615384615384</v>
      </c>
      <c r="J588" s="5" t="s">
        <v>21</v>
      </c>
      <c r="K588" s="5" t="s">
        <v>22</v>
      </c>
      <c r="L588" s="5">
        <v>1289973600</v>
      </c>
      <c r="M588" s="5">
        <v>1291615200</v>
      </c>
      <c r="N588" s="8">
        <f t="shared" si="37"/>
        <v>40499.25</v>
      </c>
      <c r="O588" s="8">
        <f t="shared" si="38"/>
        <v>40518.25</v>
      </c>
      <c r="P588" s="21" t="str">
        <f>TEXT(CrowdfundingTable[[#This Row],[date_created]],"ddd")</f>
        <v>Wed</v>
      </c>
      <c r="Q588" s="21">
        <f>_xlfn.DAYS(CrowdfundingTable[[#This Row],[date_ended]],CrowdfundingTable[[#This Row],[date_created]])</f>
        <v>19</v>
      </c>
      <c r="R588" s="5" t="b">
        <v>0</v>
      </c>
      <c r="S588" s="5" t="b">
        <v>0</v>
      </c>
      <c r="T588" s="5" t="s">
        <v>23</v>
      </c>
      <c r="U588" s="5" t="s">
        <v>2036</v>
      </c>
      <c r="V588" s="5" t="s">
        <v>2057</v>
      </c>
      <c r="W588" s="5"/>
    </row>
    <row r="589" spans="1:23" ht="17" x14ac:dyDescent="0.2">
      <c r="A589" s="5">
        <v>587</v>
      </c>
      <c r="B589" s="5" t="s">
        <v>1216</v>
      </c>
      <c r="C589" s="6" t="s">
        <v>1217</v>
      </c>
      <c r="D589" s="94">
        <v>9400</v>
      </c>
      <c r="E589" s="94">
        <v>6852</v>
      </c>
      <c r="F589" s="7">
        <f t="shared" si="39"/>
        <v>0.72893617021276591</v>
      </c>
      <c r="G589" s="5" t="s">
        <v>14</v>
      </c>
      <c r="H589" s="5">
        <v>156</v>
      </c>
      <c r="I589" s="96">
        <f t="shared" si="36"/>
        <v>43.92307692307692</v>
      </c>
      <c r="J589" s="5" t="s">
        <v>15</v>
      </c>
      <c r="K589" s="5" t="s">
        <v>16</v>
      </c>
      <c r="L589" s="5">
        <v>1547877600</v>
      </c>
      <c r="M589" s="5">
        <v>1552366800</v>
      </c>
      <c r="N589" s="8">
        <f t="shared" si="37"/>
        <v>43484.25</v>
      </c>
      <c r="O589" s="8">
        <f t="shared" si="38"/>
        <v>43536.208333333328</v>
      </c>
      <c r="P589" s="21" t="str">
        <f>TEXT(CrowdfundingTable[[#This Row],[date_created]],"ddd")</f>
        <v>Sat</v>
      </c>
      <c r="Q589" s="21">
        <f>_xlfn.DAYS(CrowdfundingTable[[#This Row],[date_ended]],CrowdfundingTable[[#This Row],[date_created]])</f>
        <v>52</v>
      </c>
      <c r="R589" s="5" t="b">
        <v>0</v>
      </c>
      <c r="S589" s="5" t="b">
        <v>1</v>
      </c>
      <c r="T589" s="5" t="s">
        <v>17</v>
      </c>
      <c r="U589" s="5" t="s">
        <v>2033</v>
      </c>
      <c r="V589" s="5" t="s">
        <v>2048</v>
      </c>
      <c r="W589" s="5"/>
    </row>
    <row r="590" spans="1:23" ht="17" x14ac:dyDescent="0.2">
      <c r="A590" s="5">
        <v>588</v>
      </c>
      <c r="B590" s="5" t="s">
        <v>1218</v>
      </c>
      <c r="C590" s="6" t="s">
        <v>1219</v>
      </c>
      <c r="D590" s="94">
        <v>157600</v>
      </c>
      <c r="E590" s="94">
        <v>124517</v>
      </c>
      <c r="F590" s="7">
        <f t="shared" si="39"/>
        <v>0.7900824873096447</v>
      </c>
      <c r="G590" s="5" t="s">
        <v>14</v>
      </c>
      <c r="H590" s="5">
        <v>1368</v>
      </c>
      <c r="I590" s="96">
        <f t="shared" si="36"/>
        <v>91.021198830409361</v>
      </c>
      <c r="J590" s="5" t="s">
        <v>40</v>
      </c>
      <c r="K590" s="5" t="s">
        <v>41</v>
      </c>
      <c r="L590" s="5">
        <v>1269493200</v>
      </c>
      <c r="M590" s="5">
        <v>1272171600</v>
      </c>
      <c r="N590" s="8">
        <f t="shared" si="37"/>
        <v>40262.208333333336</v>
      </c>
      <c r="O590" s="8">
        <f t="shared" si="38"/>
        <v>40293.208333333336</v>
      </c>
      <c r="P590" s="21" t="str">
        <f>TEXT(CrowdfundingTable[[#This Row],[date_created]],"ddd")</f>
        <v>Thu</v>
      </c>
      <c r="Q590" s="21">
        <f>_xlfn.DAYS(CrowdfundingTable[[#This Row],[date_ended]],CrowdfundingTable[[#This Row],[date_created]])</f>
        <v>31</v>
      </c>
      <c r="R590" s="5" t="b">
        <v>0</v>
      </c>
      <c r="S590" s="5" t="b">
        <v>0</v>
      </c>
      <c r="T590" s="5" t="s">
        <v>33</v>
      </c>
      <c r="U590" s="5" t="s">
        <v>2040</v>
      </c>
      <c r="V590" s="5" t="s">
        <v>2055</v>
      </c>
      <c r="W590" s="5"/>
    </row>
    <row r="591" spans="1:23" ht="17" x14ac:dyDescent="0.2">
      <c r="A591" s="5">
        <v>589</v>
      </c>
      <c r="B591" s="5" t="s">
        <v>1220</v>
      </c>
      <c r="C591" s="6" t="s">
        <v>1221</v>
      </c>
      <c r="D591" s="94">
        <v>7900</v>
      </c>
      <c r="E591" s="94">
        <v>5113</v>
      </c>
      <c r="F591" s="7">
        <f t="shared" si="39"/>
        <v>0.64721518987341775</v>
      </c>
      <c r="G591" s="5" t="s">
        <v>14</v>
      </c>
      <c r="H591" s="5">
        <v>102</v>
      </c>
      <c r="I591" s="96">
        <f t="shared" si="36"/>
        <v>50.127450980392155</v>
      </c>
      <c r="J591" s="5" t="s">
        <v>21</v>
      </c>
      <c r="K591" s="5" t="s">
        <v>22</v>
      </c>
      <c r="L591" s="5">
        <v>1436072400</v>
      </c>
      <c r="M591" s="5">
        <v>1436677200</v>
      </c>
      <c r="N591" s="8">
        <f t="shared" si="37"/>
        <v>42190.208333333328</v>
      </c>
      <c r="O591" s="8">
        <f t="shared" si="38"/>
        <v>42197.208333333328</v>
      </c>
      <c r="P591" s="21" t="str">
        <f>TEXT(CrowdfundingTable[[#This Row],[date_created]],"ddd")</f>
        <v>Sun</v>
      </c>
      <c r="Q591" s="21">
        <f>_xlfn.DAYS(CrowdfundingTable[[#This Row],[date_ended]],CrowdfundingTable[[#This Row],[date_created]])</f>
        <v>7</v>
      </c>
      <c r="R591" s="5" t="b">
        <v>0</v>
      </c>
      <c r="S591" s="5" t="b">
        <v>0</v>
      </c>
      <c r="T591" s="5" t="s">
        <v>42</v>
      </c>
      <c r="U591" s="5" t="s">
        <v>2032</v>
      </c>
      <c r="V591" s="5" t="s">
        <v>2044</v>
      </c>
      <c r="W591" s="5"/>
    </row>
    <row r="592" spans="1:23" ht="34" x14ac:dyDescent="0.2">
      <c r="A592" s="5">
        <v>590</v>
      </c>
      <c r="B592" s="5" t="s">
        <v>1222</v>
      </c>
      <c r="C592" s="6" t="s">
        <v>1223</v>
      </c>
      <c r="D592" s="94">
        <v>7100</v>
      </c>
      <c r="E592" s="94">
        <v>5824</v>
      </c>
      <c r="F592" s="7">
        <f t="shared" si="39"/>
        <v>0.82028169014084507</v>
      </c>
      <c r="G592" s="5" t="s">
        <v>14</v>
      </c>
      <c r="H592" s="5">
        <v>86</v>
      </c>
      <c r="I592" s="96">
        <f t="shared" si="36"/>
        <v>67.720930232558146</v>
      </c>
      <c r="J592" s="5" t="s">
        <v>26</v>
      </c>
      <c r="K592" s="5" t="s">
        <v>27</v>
      </c>
      <c r="L592" s="5">
        <v>1419141600</v>
      </c>
      <c r="M592" s="5">
        <v>1420092000</v>
      </c>
      <c r="N592" s="8">
        <f t="shared" si="37"/>
        <v>41994.25</v>
      </c>
      <c r="O592" s="8">
        <f t="shared" si="38"/>
        <v>42005.25</v>
      </c>
      <c r="P592" s="21" t="str">
        <f>TEXT(CrowdfundingTable[[#This Row],[date_created]],"ddd")</f>
        <v>Sun</v>
      </c>
      <c r="Q592" s="21">
        <f>_xlfn.DAYS(CrowdfundingTable[[#This Row],[date_ended]],CrowdfundingTable[[#This Row],[date_created]])</f>
        <v>11</v>
      </c>
      <c r="R592" s="5" t="b">
        <v>0</v>
      </c>
      <c r="S592" s="5" t="b">
        <v>0</v>
      </c>
      <c r="T592" s="5" t="s">
        <v>133</v>
      </c>
      <c r="U592" s="5" t="s">
        <v>2038</v>
      </c>
      <c r="V592" s="5" t="s">
        <v>2056</v>
      </c>
      <c r="W592" s="5"/>
    </row>
    <row r="593" spans="1:23" ht="17" x14ac:dyDescent="0.2">
      <c r="A593" s="5">
        <v>591</v>
      </c>
      <c r="B593" s="5" t="s">
        <v>1224</v>
      </c>
      <c r="C593" s="6" t="s">
        <v>1225</v>
      </c>
      <c r="D593" s="94">
        <v>600</v>
      </c>
      <c r="E593" s="94">
        <v>6226</v>
      </c>
      <c r="F593" s="7">
        <f t="shared" si="39"/>
        <v>10.376666666666667</v>
      </c>
      <c r="G593" s="5" t="s">
        <v>20</v>
      </c>
      <c r="H593" s="5">
        <v>102</v>
      </c>
      <c r="I593" s="96">
        <f t="shared" si="36"/>
        <v>61.03921568627451</v>
      </c>
      <c r="J593" s="5" t="s">
        <v>21</v>
      </c>
      <c r="K593" s="5" t="s">
        <v>22</v>
      </c>
      <c r="L593" s="5">
        <v>1279083600</v>
      </c>
      <c r="M593" s="5">
        <v>1279947600</v>
      </c>
      <c r="N593" s="8">
        <f t="shared" si="37"/>
        <v>40373.208333333336</v>
      </c>
      <c r="O593" s="8">
        <f t="shared" si="38"/>
        <v>40383.208333333336</v>
      </c>
      <c r="P593" s="21" t="str">
        <f>TEXT(CrowdfundingTable[[#This Row],[date_created]],"ddd")</f>
        <v>Wed</v>
      </c>
      <c r="Q593" s="21">
        <f>_xlfn.DAYS(CrowdfundingTable[[#This Row],[date_ended]],CrowdfundingTable[[#This Row],[date_created]])</f>
        <v>10</v>
      </c>
      <c r="R593" s="5" t="b">
        <v>0</v>
      </c>
      <c r="S593" s="5" t="b">
        <v>0</v>
      </c>
      <c r="T593" s="5" t="s">
        <v>89</v>
      </c>
      <c r="U593" s="5" t="s">
        <v>2034</v>
      </c>
      <c r="V593" s="5" t="s">
        <v>2062</v>
      </c>
      <c r="W593" s="5"/>
    </row>
    <row r="594" spans="1:23" ht="34" x14ac:dyDescent="0.2">
      <c r="A594" s="5">
        <v>592</v>
      </c>
      <c r="B594" s="5" t="s">
        <v>1226</v>
      </c>
      <c r="C594" s="6" t="s">
        <v>1227</v>
      </c>
      <c r="D594" s="94">
        <v>156800</v>
      </c>
      <c r="E594" s="94">
        <v>20243</v>
      </c>
      <c r="F594" s="7">
        <f t="shared" si="39"/>
        <v>0.12910076530612244</v>
      </c>
      <c r="G594" s="5" t="s">
        <v>14</v>
      </c>
      <c r="H594" s="5">
        <v>253</v>
      </c>
      <c r="I594" s="96">
        <f t="shared" si="36"/>
        <v>80.011857707509876</v>
      </c>
      <c r="J594" s="5" t="s">
        <v>21</v>
      </c>
      <c r="K594" s="5" t="s">
        <v>22</v>
      </c>
      <c r="L594" s="5">
        <v>1401426000</v>
      </c>
      <c r="M594" s="5">
        <v>1402203600</v>
      </c>
      <c r="N594" s="8">
        <f t="shared" si="37"/>
        <v>41789.208333333336</v>
      </c>
      <c r="O594" s="8">
        <f t="shared" si="38"/>
        <v>41798.208333333336</v>
      </c>
      <c r="P594" s="21" t="str">
        <f>TEXT(CrowdfundingTable[[#This Row],[date_created]],"ddd")</f>
        <v>Fri</v>
      </c>
      <c r="Q594" s="21">
        <f>_xlfn.DAYS(CrowdfundingTable[[#This Row],[date_ended]],CrowdfundingTable[[#This Row],[date_created]])</f>
        <v>9</v>
      </c>
      <c r="R594" s="5" t="b">
        <v>0</v>
      </c>
      <c r="S594" s="5" t="b">
        <v>0</v>
      </c>
      <c r="T594" s="5" t="s">
        <v>33</v>
      </c>
      <c r="U594" s="5" t="s">
        <v>2040</v>
      </c>
      <c r="V594" s="5" t="s">
        <v>2055</v>
      </c>
      <c r="W594" s="5"/>
    </row>
    <row r="595" spans="1:23" ht="17" x14ac:dyDescent="0.2">
      <c r="A595" s="5">
        <v>593</v>
      </c>
      <c r="B595" s="5" t="s">
        <v>1228</v>
      </c>
      <c r="C595" s="6" t="s">
        <v>1229</v>
      </c>
      <c r="D595" s="94">
        <v>121600</v>
      </c>
      <c r="E595" s="94">
        <v>188288</v>
      </c>
      <c r="F595" s="7">
        <f t="shared" si="39"/>
        <v>1.5484210526315789</v>
      </c>
      <c r="G595" s="5" t="s">
        <v>20</v>
      </c>
      <c r="H595" s="5">
        <v>4006</v>
      </c>
      <c r="I595" s="96">
        <f t="shared" si="36"/>
        <v>47.001497753369947</v>
      </c>
      <c r="J595" s="5" t="s">
        <v>21</v>
      </c>
      <c r="K595" s="5" t="s">
        <v>22</v>
      </c>
      <c r="L595" s="5">
        <v>1395810000</v>
      </c>
      <c r="M595" s="5">
        <v>1396933200</v>
      </c>
      <c r="N595" s="8">
        <f t="shared" si="37"/>
        <v>41724.208333333336</v>
      </c>
      <c r="O595" s="8">
        <f t="shared" si="38"/>
        <v>41737.208333333336</v>
      </c>
      <c r="P595" s="21" t="str">
        <f>TEXT(CrowdfundingTable[[#This Row],[date_created]],"ddd")</f>
        <v>Wed</v>
      </c>
      <c r="Q595" s="21">
        <f>_xlfn.DAYS(CrowdfundingTable[[#This Row],[date_ended]],CrowdfundingTable[[#This Row],[date_created]])</f>
        <v>13</v>
      </c>
      <c r="R595" s="5" t="b">
        <v>0</v>
      </c>
      <c r="S595" s="5" t="b">
        <v>0</v>
      </c>
      <c r="T595" s="5" t="s">
        <v>71</v>
      </c>
      <c r="U595" s="5" t="s">
        <v>2032</v>
      </c>
      <c r="V595" s="5" t="s">
        <v>2042</v>
      </c>
      <c r="W595" s="5"/>
    </row>
    <row r="596" spans="1:23" ht="34" x14ac:dyDescent="0.2">
      <c r="A596" s="5">
        <v>594</v>
      </c>
      <c r="B596" s="5" t="s">
        <v>1230</v>
      </c>
      <c r="C596" s="6" t="s">
        <v>1231</v>
      </c>
      <c r="D596" s="94">
        <v>157300</v>
      </c>
      <c r="E596" s="94">
        <v>11167</v>
      </c>
      <c r="F596" s="7">
        <f t="shared" si="39"/>
        <v>7.0991735537190084E-2</v>
      </c>
      <c r="G596" s="5" t="s">
        <v>14</v>
      </c>
      <c r="H596" s="5">
        <v>157</v>
      </c>
      <c r="I596" s="96">
        <f t="shared" si="36"/>
        <v>71.127388535031841</v>
      </c>
      <c r="J596" s="5" t="s">
        <v>21</v>
      </c>
      <c r="K596" s="5" t="s">
        <v>22</v>
      </c>
      <c r="L596" s="5">
        <v>1467003600</v>
      </c>
      <c r="M596" s="5">
        <v>1467262800</v>
      </c>
      <c r="N596" s="8">
        <f t="shared" si="37"/>
        <v>42548.208333333328</v>
      </c>
      <c r="O596" s="8">
        <f t="shared" si="38"/>
        <v>42551.208333333328</v>
      </c>
      <c r="P596" s="21" t="str">
        <f>TEXT(CrowdfundingTable[[#This Row],[date_created]],"ddd")</f>
        <v>Mon</v>
      </c>
      <c r="Q596" s="21">
        <f>_xlfn.DAYS(CrowdfundingTable[[#This Row],[date_ended]],CrowdfundingTable[[#This Row],[date_created]])</f>
        <v>3</v>
      </c>
      <c r="R596" s="5" t="b">
        <v>0</v>
      </c>
      <c r="S596" s="5" t="b">
        <v>1</v>
      </c>
      <c r="T596" s="5" t="s">
        <v>33</v>
      </c>
      <c r="U596" s="5" t="s">
        <v>2040</v>
      </c>
      <c r="V596" s="5" t="s">
        <v>2055</v>
      </c>
      <c r="W596" s="5"/>
    </row>
    <row r="597" spans="1:23" ht="34" x14ac:dyDescent="0.2">
      <c r="A597" s="5">
        <v>595</v>
      </c>
      <c r="B597" s="5" t="s">
        <v>1232</v>
      </c>
      <c r="C597" s="6" t="s">
        <v>1233</v>
      </c>
      <c r="D597" s="94">
        <v>70300</v>
      </c>
      <c r="E597" s="94">
        <v>146595</v>
      </c>
      <c r="F597" s="7">
        <f t="shared" si="39"/>
        <v>2.0852773826458035</v>
      </c>
      <c r="G597" s="5" t="s">
        <v>20</v>
      </c>
      <c r="H597" s="5">
        <v>1629</v>
      </c>
      <c r="I597" s="96">
        <f t="shared" si="36"/>
        <v>89.99079189686924</v>
      </c>
      <c r="J597" s="5" t="s">
        <v>21</v>
      </c>
      <c r="K597" s="5" t="s">
        <v>22</v>
      </c>
      <c r="L597" s="5">
        <v>1268715600</v>
      </c>
      <c r="M597" s="5">
        <v>1270530000</v>
      </c>
      <c r="N597" s="8">
        <f t="shared" si="37"/>
        <v>40253.208333333336</v>
      </c>
      <c r="O597" s="8">
        <f t="shared" si="38"/>
        <v>40274.208333333336</v>
      </c>
      <c r="P597" s="21" t="str">
        <f>TEXT(CrowdfundingTable[[#This Row],[date_created]],"ddd")</f>
        <v>Tue</v>
      </c>
      <c r="Q597" s="21">
        <f>_xlfn.DAYS(CrowdfundingTable[[#This Row],[date_ended]],CrowdfundingTable[[#This Row],[date_created]])</f>
        <v>21</v>
      </c>
      <c r="R597" s="5" t="b">
        <v>0</v>
      </c>
      <c r="S597" s="5" t="b">
        <v>1</v>
      </c>
      <c r="T597" s="5" t="s">
        <v>33</v>
      </c>
      <c r="U597" s="5" t="s">
        <v>2040</v>
      </c>
      <c r="V597" s="5" t="s">
        <v>2055</v>
      </c>
      <c r="W597" s="5"/>
    </row>
    <row r="598" spans="1:23" ht="17" x14ac:dyDescent="0.2">
      <c r="A598" s="5">
        <v>596</v>
      </c>
      <c r="B598" s="5" t="s">
        <v>1234</v>
      </c>
      <c r="C598" s="6" t="s">
        <v>1235</v>
      </c>
      <c r="D598" s="94">
        <v>7900</v>
      </c>
      <c r="E598" s="94">
        <v>7875</v>
      </c>
      <c r="F598" s="7">
        <f t="shared" si="39"/>
        <v>0.99683544303797467</v>
      </c>
      <c r="G598" s="5" t="s">
        <v>14</v>
      </c>
      <c r="H598" s="5">
        <v>183</v>
      </c>
      <c r="I598" s="96">
        <f t="shared" si="36"/>
        <v>43.032786885245905</v>
      </c>
      <c r="J598" s="5" t="s">
        <v>21</v>
      </c>
      <c r="K598" s="5" t="s">
        <v>22</v>
      </c>
      <c r="L598" s="5">
        <v>1457157600</v>
      </c>
      <c r="M598" s="5">
        <v>1457762400</v>
      </c>
      <c r="N598" s="8">
        <f t="shared" si="37"/>
        <v>42434.25</v>
      </c>
      <c r="O598" s="8">
        <f t="shared" si="38"/>
        <v>42441.25</v>
      </c>
      <c r="P598" s="21" t="str">
        <f>TEXT(CrowdfundingTable[[#This Row],[date_created]],"ddd")</f>
        <v>Sat</v>
      </c>
      <c r="Q598" s="21">
        <f>_xlfn.DAYS(CrowdfundingTable[[#This Row],[date_ended]],CrowdfundingTable[[#This Row],[date_created]])</f>
        <v>7</v>
      </c>
      <c r="R598" s="5" t="b">
        <v>0</v>
      </c>
      <c r="S598" s="5" t="b">
        <v>1</v>
      </c>
      <c r="T598" s="5" t="s">
        <v>53</v>
      </c>
      <c r="U598" s="5" t="s">
        <v>2032</v>
      </c>
      <c r="V598" s="5" t="s">
        <v>2045</v>
      </c>
      <c r="W598" s="5"/>
    </row>
    <row r="599" spans="1:23" ht="17" x14ac:dyDescent="0.2">
      <c r="A599" s="5">
        <v>597</v>
      </c>
      <c r="B599" s="5" t="s">
        <v>1236</v>
      </c>
      <c r="C599" s="6" t="s">
        <v>1237</v>
      </c>
      <c r="D599" s="94">
        <v>73800</v>
      </c>
      <c r="E599" s="94">
        <v>148779</v>
      </c>
      <c r="F599" s="7">
        <f t="shared" si="39"/>
        <v>2.0159756097560977</v>
      </c>
      <c r="G599" s="5" t="s">
        <v>20</v>
      </c>
      <c r="H599" s="5">
        <v>2188</v>
      </c>
      <c r="I599" s="96">
        <f t="shared" si="36"/>
        <v>67.997714808043881</v>
      </c>
      <c r="J599" s="5" t="s">
        <v>21</v>
      </c>
      <c r="K599" s="5" t="s">
        <v>22</v>
      </c>
      <c r="L599" s="5">
        <v>1573970400</v>
      </c>
      <c r="M599" s="5">
        <v>1575525600</v>
      </c>
      <c r="N599" s="8">
        <f t="shared" si="37"/>
        <v>43786.25</v>
      </c>
      <c r="O599" s="8">
        <f t="shared" si="38"/>
        <v>43804.25</v>
      </c>
      <c r="P599" s="21" t="str">
        <f>TEXT(CrowdfundingTable[[#This Row],[date_created]],"ddd")</f>
        <v>Sun</v>
      </c>
      <c r="Q599" s="21">
        <f>_xlfn.DAYS(CrowdfundingTable[[#This Row],[date_ended]],CrowdfundingTable[[#This Row],[date_created]])</f>
        <v>18</v>
      </c>
      <c r="R599" s="5" t="b">
        <v>0</v>
      </c>
      <c r="S599" s="5" t="b">
        <v>0</v>
      </c>
      <c r="T599" s="5" t="s">
        <v>33</v>
      </c>
      <c r="U599" s="5" t="s">
        <v>2040</v>
      </c>
      <c r="V599" s="5" t="s">
        <v>2055</v>
      </c>
      <c r="W599" s="5"/>
    </row>
    <row r="600" spans="1:23" ht="17" x14ac:dyDescent="0.2">
      <c r="A600" s="5">
        <v>598</v>
      </c>
      <c r="B600" s="5" t="s">
        <v>1238</v>
      </c>
      <c r="C600" s="6" t="s">
        <v>1239</v>
      </c>
      <c r="D600" s="94">
        <v>108500</v>
      </c>
      <c r="E600" s="94">
        <v>175868</v>
      </c>
      <c r="F600" s="7">
        <f t="shared" si="39"/>
        <v>1.6209032258064515</v>
      </c>
      <c r="G600" s="5" t="s">
        <v>20</v>
      </c>
      <c r="H600" s="5">
        <v>2409</v>
      </c>
      <c r="I600" s="96">
        <f t="shared" si="36"/>
        <v>73.004566210045667</v>
      </c>
      <c r="J600" s="5" t="s">
        <v>107</v>
      </c>
      <c r="K600" s="5" t="s">
        <v>108</v>
      </c>
      <c r="L600" s="5">
        <v>1276578000</v>
      </c>
      <c r="M600" s="5">
        <v>1279083600</v>
      </c>
      <c r="N600" s="8">
        <f t="shared" si="37"/>
        <v>40344.208333333336</v>
      </c>
      <c r="O600" s="8">
        <f t="shared" si="38"/>
        <v>40373.208333333336</v>
      </c>
      <c r="P600" s="21" t="str">
        <f>TEXT(CrowdfundingTable[[#This Row],[date_created]],"ddd")</f>
        <v>Tue</v>
      </c>
      <c r="Q600" s="21">
        <f>_xlfn.DAYS(CrowdfundingTable[[#This Row],[date_ended]],CrowdfundingTable[[#This Row],[date_created]])</f>
        <v>29</v>
      </c>
      <c r="R600" s="5" t="b">
        <v>0</v>
      </c>
      <c r="S600" s="5" t="b">
        <v>0</v>
      </c>
      <c r="T600" s="5" t="s">
        <v>23</v>
      </c>
      <c r="U600" s="5" t="s">
        <v>2036</v>
      </c>
      <c r="V600" s="5" t="s">
        <v>2057</v>
      </c>
      <c r="W600" s="5"/>
    </row>
    <row r="601" spans="1:23" ht="34" x14ac:dyDescent="0.2">
      <c r="A601" s="5">
        <v>599</v>
      </c>
      <c r="B601" s="5" t="s">
        <v>1240</v>
      </c>
      <c r="C601" s="6" t="s">
        <v>1241</v>
      </c>
      <c r="D601" s="94">
        <v>140300</v>
      </c>
      <c r="E601" s="94">
        <v>5112</v>
      </c>
      <c r="F601" s="7">
        <f t="shared" si="39"/>
        <v>3.6436208125445471E-2</v>
      </c>
      <c r="G601" s="5" t="s">
        <v>14</v>
      </c>
      <c r="H601" s="5">
        <v>82</v>
      </c>
      <c r="I601" s="96">
        <f t="shared" si="36"/>
        <v>62.341463414634148</v>
      </c>
      <c r="J601" s="5" t="s">
        <v>36</v>
      </c>
      <c r="K601" s="5" t="s">
        <v>37</v>
      </c>
      <c r="L601" s="5">
        <v>1423720800</v>
      </c>
      <c r="M601" s="5">
        <v>1424412000</v>
      </c>
      <c r="N601" s="8">
        <f t="shared" si="37"/>
        <v>42047.25</v>
      </c>
      <c r="O601" s="8">
        <f t="shared" si="38"/>
        <v>42055.25</v>
      </c>
      <c r="P601" s="21" t="str">
        <f>TEXT(CrowdfundingTable[[#This Row],[date_created]],"ddd")</f>
        <v>Thu</v>
      </c>
      <c r="Q601" s="21">
        <f>_xlfn.DAYS(CrowdfundingTable[[#This Row],[date_ended]],CrowdfundingTable[[#This Row],[date_created]])</f>
        <v>8</v>
      </c>
      <c r="R601" s="5" t="b">
        <v>0</v>
      </c>
      <c r="S601" s="5" t="b">
        <v>0</v>
      </c>
      <c r="T601" s="5" t="s">
        <v>42</v>
      </c>
      <c r="U601" s="5" t="s">
        <v>2032</v>
      </c>
      <c r="V601" s="5" t="s">
        <v>2044</v>
      </c>
      <c r="W601" s="5"/>
    </row>
    <row r="602" spans="1:23" ht="17" x14ac:dyDescent="0.2">
      <c r="A602" s="5">
        <v>600</v>
      </c>
      <c r="B602" s="5" t="s">
        <v>1242</v>
      </c>
      <c r="C602" s="6" t="s">
        <v>1243</v>
      </c>
      <c r="D602" s="94">
        <v>100</v>
      </c>
      <c r="E602" s="94">
        <v>5</v>
      </c>
      <c r="F602" s="7">
        <f t="shared" si="39"/>
        <v>0.05</v>
      </c>
      <c r="G602" s="5" t="s">
        <v>14</v>
      </c>
      <c r="H602" s="5">
        <v>1</v>
      </c>
      <c r="I602" s="96">
        <f t="shared" si="36"/>
        <v>5</v>
      </c>
      <c r="J602" s="5" t="s">
        <v>40</v>
      </c>
      <c r="K602" s="5" t="s">
        <v>41</v>
      </c>
      <c r="L602" s="5">
        <v>1375160400</v>
      </c>
      <c r="M602" s="5">
        <v>1376197200</v>
      </c>
      <c r="N602" s="8">
        <f t="shared" si="37"/>
        <v>41485.208333333336</v>
      </c>
      <c r="O602" s="8">
        <f t="shared" si="38"/>
        <v>41497.208333333336</v>
      </c>
      <c r="P602" s="21" t="str">
        <f>TEXT(CrowdfundingTable[[#This Row],[date_created]],"ddd")</f>
        <v>Tue</v>
      </c>
      <c r="Q602" s="21">
        <f>_xlfn.DAYS(CrowdfundingTable[[#This Row],[date_ended]],CrowdfundingTable[[#This Row],[date_created]])</f>
        <v>12</v>
      </c>
      <c r="R602" s="5" t="b">
        <v>0</v>
      </c>
      <c r="S602" s="5" t="b">
        <v>0</v>
      </c>
      <c r="T602" s="5" t="s">
        <v>17</v>
      </c>
      <c r="U602" s="5" t="s">
        <v>2033</v>
      </c>
      <c r="V602" s="5" t="s">
        <v>2048</v>
      </c>
      <c r="W602" s="5"/>
    </row>
    <row r="603" spans="1:23" ht="17" x14ac:dyDescent="0.2">
      <c r="A603" s="5">
        <v>601</v>
      </c>
      <c r="B603" s="5" t="s">
        <v>1244</v>
      </c>
      <c r="C603" s="6" t="s">
        <v>1245</v>
      </c>
      <c r="D603" s="94">
        <v>6300</v>
      </c>
      <c r="E603" s="94">
        <v>13018</v>
      </c>
      <c r="F603" s="7">
        <f t="shared" si="39"/>
        <v>2.0663492063492064</v>
      </c>
      <c r="G603" s="5" t="s">
        <v>20</v>
      </c>
      <c r="H603" s="5">
        <v>194</v>
      </c>
      <c r="I603" s="96">
        <f t="shared" si="36"/>
        <v>67.103092783505161</v>
      </c>
      <c r="J603" s="5" t="s">
        <v>21</v>
      </c>
      <c r="K603" s="5" t="s">
        <v>22</v>
      </c>
      <c r="L603" s="5">
        <v>1401426000</v>
      </c>
      <c r="M603" s="5">
        <v>1402894800</v>
      </c>
      <c r="N603" s="8">
        <f t="shared" si="37"/>
        <v>41789.208333333336</v>
      </c>
      <c r="O603" s="8">
        <f t="shared" si="38"/>
        <v>41806.208333333336</v>
      </c>
      <c r="P603" s="21" t="str">
        <f>TEXT(CrowdfundingTable[[#This Row],[date_created]],"ddd")</f>
        <v>Fri</v>
      </c>
      <c r="Q603" s="21">
        <f>_xlfn.DAYS(CrowdfundingTable[[#This Row],[date_ended]],CrowdfundingTable[[#This Row],[date_created]])</f>
        <v>17</v>
      </c>
      <c r="R603" s="5" t="b">
        <v>1</v>
      </c>
      <c r="S603" s="5" t="b">
        <v>0</v>
      </c>
      <c r="T603" s="5" t="s">
        <v>65</v>
      </c>
      <c r="U603" s="5" t="s">
        <v>2039</v>
      </c>
      <c r="V603" s="5" t="s">
        <v>2063</v>
      </c>
      <c r="W603" s="5"/>
    </row>
    <row r="604" spans="1:23" ht="17" x14ac:dyDescent="0.2">
      <c r="A604" s="5">
        <v>602</v>
      </c>
      <c r="B604" s="5" t="s">
        <v>1246</v>
      </c>
      <c r="C604" s="6" t="s">
        <v>1247</v>
      </c>
      <c r="D604" s="94">
        <v>71100</v>
      </c>
      <c r="E604" s="94">
        <v>91176</v>
      </c>
      <c r="F604" s="7">
        <f t="shared" si="39"/>
        <v>1.2823628691983122</v>
      </c>
      <c r="G604" s="5" t="s">
        <v>20</v>
      </c>
      <c r="H604" s="5">
        <v>1140</v>
      </c>
      <c r="I604" s="96">
        <f t="shared" si="36"/>
        <v>79.978947368421046</v>
      </c>
      <c r="J604" s="5" t="s">
        <v>21</v>
      </c>
      <c r="K604" s="5" t="s">
        <v>22</v>
      </c>
      <c r="L604" s="5">
        <v>1433480400</v>
      </c>
      <c r="M604" s="5">
        <v>1434430800</v>
      </c>
      <c r="N604" s="8">
        <f t="shared" si="37"/>
        <v>42160.208333333328</v>
      </c>
      <c r="O604" s="8">
        <f t="shared" si="38"/>
        <v>42171.208333333328</v>
      </c>
      <c r="P604" s="21" t="str">
        <f>TEXT(CrowdfundingTable[[#This Row],[date_created]],"ddd")</f>
        <v>Fri</v>
      </c>
      <c r="Q604" s="21">
        <f>_xlfn.DAYS(CrowdfundingTable[[#This Row],[date_ended]],CrowdfundingTable[[#This Row],[date_created]])</f>
        <v>11</v>
      </c>
      <c r="R604" s="5" t="b">
        <v>0</v>
      </c>
      <c r="S604" s="5" t="b">
        <v>0</v>
      </c>
      <c r="T604" s="5" t="s">
        <v>33</v>
      </c>
      <c r="U604" s="5" t="s">
        <v>2040</v>
      </c>
      <c r="V604" s="5" t="s">
        <v>2055</v>
      </c>
      <c r="W604" s="5"/>
    </row>
    <row r="605" spans="1:23" ht="17" x14ac:dyDescent="0.2">
      <c r="A605" s="5">
        <v>603</v>
      </c>
      <c r="B605" s="5" t="s">
        <v>1248</v>
      </c>
      <c r="C605" s="6" t="s">
        <v>1249</v>
      </c>
      <c r="D605" s="94">
        <v>5300</v>
      </c>
      <c r="E605" s="94">
        <v>6342</v>
      </c>
      <c r="F605" s="7">
        <f t="shared" si="39"/>
        <v>1.1966037735849056</v>
      </c>
      <c r="G605" s="5" t="s">
        <v>20</v>
      </c>
      <c r="H605" s="5">
        <v>102</v>
      </c>
      <c r="I605" s="96">
        <f t="shared" si="36"/>
        <v>62.176470588235297</v>
      </c>
      <c r="J605" s="5" t="s">
        <v>21</v>
      </c>
      <c r="K605" s="5" t="s">
        <v>22</v>
      </c>
      <c r="L605" s="5">
        <v>1555563600</v>
      </c>
      <c r="M605" s="5">
        <v>1557896400</v>
      </c>
      <c r="N605" s="8">
        <f t="shared" si="37"/>
        <v>43573.208333333328</v>
      </c>
      <c r="O605" s="8">
        <f t="shared" si="38"/>
        <v>43600.208333333328</v>
      </c>
      <c r="P605" s="21" t="str">
        <f>TEXT(CrowdfundingTable[[#This Row],[date_created]],"ddd")</f>
        <v>Thu</v>
      </c>
      <c r="Q605" s="21">
        <f>_xlfn.DAYS(CrowdfundingTable[[#This Row],[date_ended]],CrowdfundingTable[[#This Row],[date_created]])</f>
        <v>27</v>
      </c>
      <c r="R605" s="5" t="b">
        <v>0</v>
      </c>
      <c r="S605" s="5" t="b">
        <v>0</v>
      </c>
      <c r="T605" s="5" t="s">
        <v>33</v>
      </c>
      <c r="U605" s="5" t="s">
        <v>2040</v>
      </c>
      <c r="V605" s="5" t="s">
        <v>2055</v>
      </c>
      <c r="W605" s="5"/>
    </row>
    <row r="606" spans="1:23" ht="17" x14ac:dyDescent="0.2">
      <c r="A606" s="5">
        <v>604</v>
      </c>
      <c r="B606" s="5" t="s">
        <v>1250</v>
      </c>
      <c r="C606" s="6" t="s">
        <v>1251</v>
      </c>
      <c r="D606" s="94">
        <v>88700</v>
      </c>
      <c r="E606" s="94">
        <v>151438</v>
      </c>
      <c r="F606" s="7">
        <f t="shared" si="39"/>
        <v>1.7073055242390078</v>
      </c>
      <c r="G606" s="5" t="s">
        <v>20</v>
      </c>
      <c r="H606" s="5">
        <v>2857</v>
      </c>
      <c r="I606" s="96">
        <f t="shared" si="36"/>
        <v>53.005950297514879</v>
      </c>
      <c r="J606" s="5" t="s">
        <v>21</v>
      </c>
      <c r="K606" s="5" t="s">
        <v>22</v>
      </c>
      <c r="L606" s="5">
        <v>1295676000</v>
      </c>
      <c r="M606" s="5">
        <v>1297490400</v>
      </c>
      <c r="N606" s="8">
        <f t="shared" si="37"/>
        <v>40565.25</v>
      </c>
      <c r="O606" s="8">
        <f t="shared" si="38"/>
        <v>40586.25</v>
      </c>
      <c r="P606" s="21" t="str">
        <f>TEXT(CrowdfundingTable[[#This Row],[date_created]],"ddd")</f>
        <v>Sat</v>
      </c>
      <c r="Q606" s="21">
        <f>_xlfn.DAYS(CrowdfundingTable[[#This Row],[date_ended]],CrowdfundingTable[[#This Row],[date_created]])</f>
        <v>21</v>
      </c>
      <c r="R606" s="5" t="b">
        <v>0</v>
      </c>
      <c r="S606" s="5" t="b">
        <v>0</v>
      </c>
      <c r="T606" s="5" t="s">
        <v>33</v>
      </c>
      <c r="U606" s="5" t="s">
        <v>2040</v>
      </c>
      <c r="V606" s="5" t="s">
        <v>2055</v>
      </c>
      <c r="W606" s="5"/>
    </row>
    <row r="607" spans="1:23" ht="17" x14ac:dyDescent="0.2">
      <c r="A607" s="5">
        <v>605</v>
      </c>
      <c r="B607" s="5" t="s">
        <v>1252</v>
      </c>
      <c r="C607" s="6" t="s">
        <v>1253</v>
      </c>
      <c r="D607" s="94">
        <v>3300</v>
      </c>
      <c r="E607" s="94">
        <v>6178</v>
      </c>
      <c r="F607" s="7">
        <f t="shared" si="39"/>
        <v>1.8721212121212121</v>
      </c>
      <c r="G607" s="5" t="s">
        <v>20</v>
      </c>
      <c r="H607" s="5">
        <v>107</v>
      </c>
      <c r="I607" s="96">
        <f t="shared" si="36"/>
        <v>57.738317757009348</v>
      </c>
      <c r="J607" s="5" t="s">
        <v>21</v>
      </c>
      <c r="K607" s="5" t="s">
        <v>22</v>
      </c>
      <c r="L607" s="5">
        <v>1443848400</v>
      </c>
      <c r="M607" s="5">
        <v>1447394400</v>
      </c>
      <c r="N607" s="8">
        <f t="shared" si="37"/>
        <v>42280.208333333328</v>
      </c>
      <c r="O607" s="8">
        <f t="shared" si="38"/>
        <v>42321.25</v>
      </c>
      <c r="P607" s="21" t="str">
        <f>TEXT(CrowdfundingTable[[#This Row],[date_created]],"ddd")</f>
        <v>Sat</v>
      </c>
      <c r="Q607" s="21">
        <f>_xlfn.DAYS(CrowdfundingTable[[#This Row],[date_ended]],CrowdfundingTable[[#This Row],[date_created]])</f>
        <v>41</v>
      </c>
      <c r="R607" s="5" t="b">
        <v>0</v>
      </c>
      <c r="S607" s="5" t="b">
        <v>0</v>
      </c>
      <c r="T607" s="5" t="s">
        <v>68</v>
      </c>
      <c r="U607" s="5" t="s">
        <v>2038</v>
      </c>
      <c r="V607" s="5" t="s">
        <v>2053</v>
      </c>
      <c r="W607" s="5"/>
    </row>
    <row r="608" spans="1:23" ht="17" x14ac:dyDescent="0.2">
      <c r="A608" s="5">
        <v>606</v>
      </c>
      <c r="B608" s="5" t="s">
        <v>1254</v>
      </c>
      <c r="C608" s="6" t="s">
        <v>1255</v>
      </c>
      <c r="D608" s="94">
        <v>3400</v>
      </c>
      <c r="E608" s="94">
        <v>6405</v>
      </c>
      <c r="F608" s="7">
        <f t="shared" si="39"/>
        <v>1.8838235294117647</v>
      </c>
      <c r="G608" s="5" t="s">
        <v>20</v>
      </c>
      <c r="H608" s="5">
        <v>160</v>
      </c>
      <c r="I608" s="96">
        <f t="shared" si="36"/>
        <v>40.03125</v>
      </c>
      <c r="J608" s="5" t="s">
        <v>40</v>
      </c>
      <c r="K608" s="5" t="s">
        <v>41</v>
      </c>
      <c r="L608" s="5">
        <v>1457330400</v>
      </c>
      <c r="M608" s="5">
        <v>1458277200</v>
      </c>
      <c r="N608" s="8">
        <f t="shared" si="37"/>
        <v>42436.25</v>
      </c>
      <c r="O608" s="8">
        <f t="shared" si="38"/>
        <v>42447.208333333328</v>
      </c>
      <c r="P608" s="21" t="str">
        <f>TEXT(CrowdfundingTable[[#This Row],[date_created]],"ddd")</f>
        <v>Mon</v>
      </c>
      <c r="Q608" s="21">
        <f>_xlfn.DAYS(CrowdfundingTable[[#This Row],[date_ended]],CrowdfundingTable[[#This Row],[date_created]])</f>
        <v>11</v>
      </c>
      <c r="R608" s="5" t="b">
        <v>0</v>
      </c>
      <c r="S608" s="5" t="b">
        <v>0</v>
      </c>
      <c r="T608" s="5" t="s">
        <v>23</v>
      </c>
      <c r="U608" s="5" t="s">
        <v>2036</v>
      </c>
      <c r="V608" s="5" t="s">
        <v>2057</v>
      </c>
      <c r="W608" s="5"/>
    </row>
    <row r="609" spans="1:23" ht="17" x14ac:dyDescent="0.2">
      <c r="A609" s="5">
        <v>607</v>
      </c>
      <c r="B609" s="5" t="s">
        <v>1256</v>
      </c>
      <c r="C609" s="6" t="s">
        <v>1257</v>
      </c>
      <c r="D609" s="94">
        <v>137600</v>
      </c>
      <c r="E609" s="94">
        <v>180667</v>
      </c>
      <c r="F609" s="7">
        <f t="shared" si="39"/>
        <v>1.3129869186046512</v>
      </c>
      <c r="G609" s="5" t="s">
        <v>20</v>
      </c>
      <c r="H609" s="5">
        <v>2230</v>
      </c>
      <c r="I609" s="96">
        <f t="shared" si="36"/>
        <v>81.016591928251117</v>
      </c>
      <c r="J609" s="5" t="s">
        <v>21</v>
      </c>
      <c r="K609" s="5" t="s">
        <v>22</v>
      </c>
      <c r="L609" s="5">
        <v>1395550800</v>
      </c>
      <c r="M609" s="5">
        <v>1395723600</v>
      </c>
      <c r="N609" s="8">
        <f t="shared" si="37"/>
        <v>41721.208333333336</v>
      </c>
      <c r="O609" s="8">
        <f t="shared" si="38"/>
        <v>41723.208333333336</v>
      </c>
      <c r="P609" s="21" t="str">
        <f>TEXT(CrowdfundingTable[[#This Row],[date_created]],"ddd")</f>
        <v>Sun</v>
      </c>
      <c r="Q609" s="21">
        <f>_xlfn.DAYS(CrowdfundingTable[[#This Row],[date_ended]],CrowdfundingTable[[#This Row],[date_created]])</f>
        <v>2</v>
      </c>
      <c r="R609" s="5" t="b">
        <v>0</v>
      </c>
      <c r="S609" s="5" t="b">
        <v>0</v>
      </c>
      <c r="T609" s="5" t="s">
        <v>17</v>
      </c>
      <c r="U609" s="5" t="s">
        <v>2033</v>
      </c>
      <c r="V609" s="5" t="s">
        <v>2048</v>
      </c>
      <c r="W609" s="5"/>
    </row>
    <row r="610" spans="1:23" ht="17" x14ac:dyDescent="0.2">
      <c r="A610" s="5">
        <v>608</v>
      </c>
      <c r="B610" s="5" t="s">
        <v>1258</v>
      </c>
      <c r="C610" s="6" t="s">
        <v>1259</v>
      </c>
      <c r="D610" s="94">
        <v>3900</v>
      </c>
      <c r="E610" s="94">
        <v>11075</v>
      </c>
      <c r="F610" s="7">
        <f t="shared" si="39"/>
        <v>2.8397435897435899</v>
      </c>
      <c r="G610" s="5" t="s">
        <v>20</v>
      </c>
      <c r="H610" s="5">
        <v>316</v>
      </c>
      <c r="I610" s="96">
        <f t="shared" si="36"/>
        <v>35.047468354430379</v>
      </c>
      <c r="J610" s="5" t="s">
        <v>21</v>
      </c>
      <c r="K610" s="5" t="s">
        <v>22</v>
      </c>
      <c r="L610" s="5">
        <v>1551852000</v>
      </c>
      <c r="M610" s="5">
        <v>1552197600</v>
      </c>
      <c r="N610" s="8">
        <f t="shared" si="37"/>
        <v>43530.25</v>
      </c>
      <c r="O610" s="8">
        <f t="shared" si="38"/>
        <v>43534.25</v>
      </c>
      <c r="P610" s="21" t="str">
        <f>TEXT(CrowdfundingTable[[#This Row],[date_created]],"ddd")</f>
        <v>Wed</v>
      </c>
      <c r="Q610" s="21">
        <f>_xlfn.DAYS(CrowdfundingTable[[#This Row],[date_ended]],CrowdfundingTable[[#This Row],[date_created]])</f>
        <v>4</v>
      </c>
      <c r="R610" s="5" t="b">
        <v>0</v>
      </c>
      <c r="S610" s="5" t="b">
        <v>1</v>
      </c>
      <c r="T610" s="5" t="s">
        <v>159</v>
      </c>
      <c r="U610" s="5" t="s">
        <v>2036</v>
      </c>
      <c r="V610" s="5" t="s">
        <v>2050</v>
      </c>
      <c r="W610" s="5"/>
    </row>
    <row r="611" spans="1:23" ht="17" x14ac:dyDescent="0.2">
      <c r="A611" s="5">
        <v>609</v>
      </c>
      <c r="B611" s="5" t="s">
        <v>1260</v>
      </c>
      <c r="C611" s="6" t="s">
        <v>1261</v>
      </c>
      <c r="D611" s="94">
        <v>10000</v>
      </c>
      <c r="E611" s="94">
        <v>12042</v>
      </c>
      <c r="F611" s="7">
        <f t="shared" si="39"/>
        <v>1.2041999999999999</v>
      </c>
      <c r="G611" s="5" t="s">
        <v>20</v>
      </c>
      <c r="H611" s="5">
        <v>117</v>
      </c>
      <c r="I611" s="96">
        <f t="shared" si="36"/>
        <v>102.92307692307692</v>
      </c>
      <c r="J611" s="5" t="s">
        <v>21</v>
      </c>
      <c r="K611" s="5" t="s">
        <v>22</v>
      </c>
      <c r="L611" s="5">
        <v>1547618400</v>
      </c>
      <c r="M611" s="5">
        <v>1549087200</v>
      </c>
      <c r="N611" s="8">
        <f t="shared" si="37"/>
        <v>43481.25</v>
      </c>
      <c r="O611" s="8">
        <f t="shared" si="38"/>
        <v>43498.25</v>
      </c>
      <c r="P611" s="21" t="str">
        <f>TEXT(CrowdfundingTable[[#This Row],[date_created]],"ddd")</f>
        <v>Wed</v>
      </c>
      <c r="Q611" s="21">
        <f>_xlfn.DAYS(CrowdfundingTable[[#This Row],[date_ended]],CrowdfundingTable[[#This Row],[date_created]])</f>
        <v>17</v>
      </c>
      <c r="R611" s="5" t="b">
        <v>0</v>
      </c>
      <c r="S611" s="5" t="b">
        <v>0</v>
      </c>
      <c r="T611" s="5" t="s">
        <v>474</v>
      </c>
      <c r="U611" s="5" t="s">
        <v>2032</v>
      </c>
      <c r="V611" s="5" t="s">
        <v>2058</v>
      </c>
      <c r="W611" s="5"/>
    </row>
    <row r="612" spans="1:23" ht="17" x14ac:dyDescent="0.2">
      <c r="A612" s="5">
        <v>610</v>
      </c>
      <c r="B612" s="5" t="s">
        <v>1262</v>
      </c>
      <c r="C612" s="6" t="s">
        <v>1263</v>
      </c>
      <c r="D612" s="94">
        <v>42800</v>
      </c>
      <c r="E612" s="94">
        <v>179356</v>
      </c>
      <c r="F612" s="7">
        <f t="shared" si="39"/>
        <v>4.1905607476635511</v>
      </c>
      <c r="G612" s="5" t="s">
        <v>20</v>
      </c>
      <c r="H612" s="5">
        <v>6406</v>
      </c>
      <c r="I612" s="96">
        <f t="shared" si="36"/>
        <v>27.998126756166094</v>
      </c>
      <c r="J612" s="5" t="s">
        <v>21</v>
      </c>
      <c r="K612" s="5" t="s">
        <v>22</v>
      </c>
      <c r="L612" s="5">
        <v>1355637600</v>
      </c>
      <c r="M612" s="5">
        <v>1356847200</v>
      </c>
      <c r="N612" s="8">
        <f t="shared" si="37"/>
        <v>41259.25</v>
      </c>
      <c r="O612" s="8">
        <f t="shared" si="38"/>
        <v>41273.25</v>
      </c>
      <c r="P612" s="21" t="str">
        <f>TEXT(CrowdfundingTable[[#This Row],[date_created]],"ddd")</f>
        <v>Sun</v>
      </c>
      <c r="Q612" s="21">
        <f>_xlfn.DAYS(CrowdfundingTable[[#This Row],[date_ended]],CrowdfundingTable[[#This Row],[date_created]])</f>
        <v>14</v>
      </c>
      <c r="R612" s="5" t="b">
        <v>0</v>
      </c>
      <c r="S612" s="5" t="b">
        <v>0</v>
      </c>
      <c r="T612" s="5" t="s">
        <v>33</v>
      </c>
      <c r="U612" s="5" t="s">
        <v>2040</v>
      </c>
      <c r="V612" s="5" t="s">
        <v>2055</v>
      </c>
      <c r="W612" s="5"/>
    </row>
    <row r="613" spans="1:23" ht="17" x14ac:dyDescent="0.2">
      <c r="A613" s="5">
        <v>611</v>
      </c>
      <c r="B613" s="5" t="s">
        <v>1264</v>
      </c>
      <c r="C613" s="6" t="s">
        <v>1265</v>
      </c>
      <c r="D613" s="94">
        <v>8200</v>
      </c>
      <c r="E613" s="94">
        <v>1136</v>
      </c>
      <c r="F613" s="7">
        <f t="shared" si="39"/>
        <v>0.13853658536585367</v>
      </c>
      <c r="G613" s="5" t="s">
        <v>74</v>
      </c>
      <c r="H613" s="5">
        <v>15</v>
      </c>
      <c r="I613" s="96">
        <f t="shared" si="36"/>
        <v>75.733333333333334</v>
      </c>
      <c r="J613" s="5" t="s">
        <v>21</v>
      </c>
      <c r="K613" s="5" t="s">
        <v>22</v>
      </c>
      <c r="L613" s="5">
        <v>1374728400</v>
      </c>
      <c r="M613" s="5">
        <v>1375765200</v>
      </c>
      <c r="N613" s="8">
        <f t="shared" si="37"/>
        <v>41480.208333333336</v>
      </c>
      <c r="O613" s="8">
        <f t="shared" si="38"/>
        <v>41492.208333333336</v>
      </c>
      <c r="P613" s="21" t="str">
        <f>TEXT(CrowdfundingTable[[#This Row],[date_created]],"ddd")</f>
        <v>Thu</v>
      </c>
      <c r="Q613" s="21">
        <f>_xlfn.DAYS(CrowdfundingTable[[#This Row],[date_ended]],CrowdfundingTable[[#This Row],[date_created]])</f>
        <v>12</v>
      </c>
      <c r="R613" s="5" t="b">
        <v>0</v>
      </c>
      <c r="S613" s="5" t="b">
        <v>0</v>
      </c>
      <c r="T613" s="5" t="s">
        <v>33</v>
      </c>
      <c r="U613" s="5" t="s">
        <v>2040</v>
      </c>
      <c r="V613" s="5" t="s">
        <v>2055</v>
      </c>
      <c r="W613" s="5"/>
    </row>
    <row r="614" spans="1:23" ht="17" x14ac:dyDescent="0.2">
      <c r="A614" s="5">
        <v>612</v>
      </c>
      <c r="B614" s="5" t="s">
        <v>1266</v>
      </c>
      <c r="C614" s="6" t="s">
        <v>1267</v>
      </c>
      <c r="D614" s="94">
        <v>6200</v>
      </c>
      <c r="E614" s="94">
        <v>8645</v>
      </c>
      <c r="F614" s="7">
        <f t="shared" si="39"/>
        <v>1.3943548387096774</v>
      </c>
      <c r="G614" s="5" t="s">
        <v>20</v>
      </c>
      <c r="H614" s="5">
        <v>192</v>
      </c>
      <c r="I614" s="96">
        <f t="shared" si="36"/>
        <v>45.026041666666664</v>
      </c>
      <c r="J614" s="5" t="s">
        <v>21</v>
      </c>
      <c r="K614" s="5" t="s">
        <v>22</v>
      </c>
      <c r="L614" s="5">
        <v>1287810000</v>
      </c>
      <c r="M614" s="5">
        <v>1289800800</v>
      </c>
      <c r="N614" s="8">
        <f t="shared" si="37"/>
        <v>40474.208333333336</v>
      </c>
      <c r="O614" s="8">
        <f t="shared" si="38"/>
        <v>40497.25</v>
      </c>
      <c r="P614" s="21" t="str">
        <f>TEXT(CrowdfundingTable[[#This Row],[date_created]],"ddd")</f>
        <v>Sat</v>
      </c>
      <c r="Q614" s="21">
        <f>_xlfn.DAYS(CrowdfundingTable[[#This Row],[date_ended]],CrowdfundingTable[[#This Row],[date_created]])</f>
        <v>23</v>
      </c>
      <c r="R614" s="5" t="b">
        <v>0</v>
      </c>
      <c r="S614" s="5" t="b">
        <v>0</v>
      </c>
      <c r="T614" s="5" t="s">
        <v>50</v>
      </c>
      <c r="U614" s="5" t="s">
        <v>2036</v>
      </c>
      <c r="V614" s="5" t="s">
        <v>2046</v>
      </c>
      <c r="W614" s="5"/>
    </row>
    <row r="615" spans="1:23" ht="17" x14ac:dyDescent="0.2">
      <c r="A615" s="5">
        <v>613</v>
      </c>
      <c r="B615" s="5" t="s">
        <v>1268</v>
      </c>
      <c r="C615" s="6" t="s">
        <v>1269</v>
      </c>
      <c r="D615" s="94">
        <v>1100</v>
      </c>
      <c r="E615" s="94">
        <v>1914</v>
      </c>
      <c r="F615" s="7">
        <f t="shared" si="39"/>
        <v>1.74</v>
      </c>
      <c r="G615" s="5" t="s">
        <v>20</v>
      </c>
      <c r="H615" s="5">
        <v>26</v>
      </c>
      <c r="I615" s="96">
        <f t="shared" si="36"/>
        <v>73.615384615384613</v>
      </c>
      <c r="J615" s="5" t="s">
        <v>15</v>
      </c>
      <c r="K615" s="5" t="s">
        <v>16</v>
      </c>
      <c r="L615" s="5">
        <v>1503723600</v>
      </c>
      <c r="M615" s="5">
        <v>1504501200</v>
      </c>
      <c r="N615" s="8">
        <f t="shared" si="37"/>
        <v>42973.208333333328</v>
      </c>
      <c r="O615" s="8">
        <f t="shared" si="38"/>
        <v>42982.208333333328</v>
      </c>
      <c r="P615" s="21" t="str">
        <f>TEXT(CrowdfundingTable[[#This Row],[date_created]],"ddd")</f>
        <v>Sat</v>
      </c>
      <c r="Q615" s="21">
        <f>_xlfn.DAYS(CrowdfundingTable[[#This Row],[date_ended]],CrowdfundingTable[[#This Row],[date_created]])</f>
        <v>9</v>
      </c>
      <c r="R615" s="5" t="b">
        <v>0</v>
      </c>
      <c r="S615" s="5" t="b">
        <v>0</v>
      </c>
      <c r="T615" s="5" t="s">
        <v>33</v>
      </c>
      <c r="U615" s="5" t="s">
        <v>2040</v>
      </c>
      <c r="V615" s="5" t="s">
        <v>2055</v>
      </c>
      <c r="W615" s="5"/>
    </row>
    <row r="616" spans="1:23" ht="34" x14ac:dyDescent="0.2">
      <c r="A616" s="5">
        <v>614</v>
      </c>
      <c r="B616" s="5" t="s">
        <v>1270</v>
      </c>
      <c r="C616" s="6" t="s">
        <v>1271</v>
      </c>
      <c r="D616" s="94">
        <v>26500</v>
      </c>
      <c r="E616" s="94">
        <v>41205</v>
      </c>
      <c r="F616" s="7">
        <f t="shared" si="39"/>
        <v>1.5549056603773586</v>
      </c>
      <c r="G616" s="5" t="s">
        <v>20</v>
      </c>
      <c r="H616" s="5">
        <v>723</v>
      </c>
      <c r="I616" s="96">
        <f t="shared" si="36"/>
        <v>56.991701244813278</v>
      </c>
      <c r="J616" s="5" t="s">
        <v>21</v>
      </c>
      <c r="K616" s="5" t="s">
        <v>22</v>
      </c>
      <c r="L616" s="5">
        <v>1484114400</v>
      </c>
      <c r="M616" s="5">
        <v>1485669600</v>
      </c>
      <c r="N616" s="8">
        <f t="shared" si="37"/>
        <v>42746.25</v>
      </c>
      <c r="O616" s="8">
        <f t="shared" si="38"/>
        <v>42764.25</v>
      </c>
      <c r="P616" s="21" t="str">
        <f>TEXT(CrowdfundingTable[[#This Row],[date_created]],"ddd")</f>
        <v>Wed</v>
      </c>
      <c r="Q616" s="21">
        <f>_xlfn.DAYS(CrowdfundingTable[[#This Row],[date_ended]],CrowdfundingTable[[#This Row],[date_created]])</f>
        <v>18</v>
      </c>
      <c r="R616" s="5" t="b">
        <v>0</v>
      </c>
      <c r="S616" s="5" t="b">
        <v>0</v>
      </c>
      <c r="T616" s="5" t="s">
        <v>33</v>
      </c>
      <c r="U616" s="5" t="s">
        <v>2040</v>
      </c>
      <c r="V616" s="5" t="s">
        <v>2055</v>
      </c>
      <c r="W616" s="5"/>
    </row>
    <row r="617" spans="1:23" ht="17" x14ac:dyDescent="0.2">
      <c r="A617" s="5">
        <v>615</v>
      </c>
      <c r="B617" s="5" t="s">
        <v>1272</v>
      </c>
      <c r="C617" s="6" t="s">
        <v>1273</v>
      </c>
      <c r="D617" s="94">
        <v>8500</v>
      </c>
      <c r="E617" s="94">
        <v>14488</v>
      </c>
      <c r="F617" s="7">
        <f t="shared" si="39"/>
        <v>1.7044705882352942</v>
      </c>
      <c r="G617" s="5" t="s">
        <v>20</v>
      </c>
      <c r="H617" s="5">
        <v>170</v>
      </c>
      <c r="I617" s="96">
        <f t="shared" si="36"/>
        <v>85.223529411764702</v>
      </c>
      <c r="J617" s="5" t="s">
        <v>107</v>
      </c>
      <c r="K617" s="5" t="s">
        <v>108</v>
      </c>
      <c r="L617" s="5">
        <v>1461906000</v>
      </c>
      <c r="M617" s="5">
        <v>1462770000</v>
      </c>
      <c r="N617" s="8">
        <f t="shared" si="37"/>
        <v>42489.208333333328</v>
      </c>
      <c r="O617" s="8">
        <f t="shared" si="38"/>
        <v>42499.208333333328</v>
      </c>
      <c r="P617" s="21" t="str">
        <f>TEXT(CrowdfundingTable[[#This Row],[date_created]],"ddd")</f>
        <v>Fri</v>
      </c>
      <c r="Q617" s="21">
        <f>_xlfn.DAYS(CrowdfundingTable[[#This Row],[date_ended]],CrowdfundingTable[[#This Row],[date_created]])</f>
        <v>10</v>
      </c>
      <c r="R617" s="5" t="b">
        <v>0</v>
      </c>
      <c r="S617" s="5" t="b">
        <v>0</v>
      </c>
      <c r="T617" s="5" t="s">
        <v>33</v>
      </c>
      <c r="U617" s="5" t="s">
        <v>2040</v>
      </c>
      <c r="V617" s="5" t="s">
        <v>2055</v>
      </c>
      <c r="W617" s="5"/>
    </row>
    <row r="618" spans="1:23" ht="17" x14ac:dyDescent="0.2">
      <c r="A618" s="5">
        <v>616</v>
      </c>
      <c r="B618" s="5" t="s">
        <v>1274</v>
      </c>
      <c r="C618" s="6" t="s">
        <v>1275</v>
      </c>
      <c r="D618" s="94">
        <v>6400</v>
      </c>
      <c r="E618" s="94">
        <v>12129</v>
      </c>
      <c r="F618" s="7">
        <f t="shared" si="39"/>
        <v>1.8951562500000001</v>
      </c>
      <c r="G618" s="5" t="s">
        <v>20</v>
      </c>
      <c r="H618" s="5">
        <v>238</v>
      </c>
      <c r="I618" s="96">
        <f t="shared" si="36"/>
        <v>50.962184873949582</v>
      </c>
      <c r="J618" s="5" t="s">
        <v>40</v>
      </c>
      <c r="K618" s="5" t="s">
        <v>41</v>
      </c>
      <c r="L618" s="5">
        <v>1379653200</v>
      </c>
      <c r="M618" s="5">
        <v>1379739600</v>
      </c>
      <c r="N618" s="8">
        <f t="shared" si="37"/>
        <v>41537.208333333336</v>
      </c>
      <c r="O618" s="8">
        <f t="shared" si="38"/>
        <v>41538.208333333336</v>
      </c>
      <c r="P618" s="21" t="str">
        <f>TEXT(CrowdfundingTable[[#This Row],[date_created]],"ddd")</f>
        <v>Fri</v>
      </c>
      <c r="Q618" s="21">
        <f>_xlfn.DAYS(CrowdfundingTable[[#This Row],[date_ended]],CrowdfundingTable[[#This Row],[date_created]])</f>
        <v>1</v>
      </c>
      <c r="R618" s="5" t="b">
        <v>0</v>
      </c>
      <c r="S618" s="5" t="b">
        <v>1</v>
      </c>
      <c r="T618" s="5" t="s">
        <v>60</v>
      </c>
      <c r="U618" s="5" t="s">
        <v>2036</v>
      </c>
      <c r="V618" s="5" t="s">
        <v>2049</v>
      </c>
      <c r="W618" s="5"/>
    </row>
    <row r="619" spans="1:23" ht="17" x14ac:dyDescent="0.2">
      <c r="A619" s="5">
        <v>617</v>
      </c>
      <c r="B619" s="5" t="s">
        <v>1276</v>
      </c>
      <c r="C619" s="6" t="s">
        <v>1277</v>
      </c>
      <c r="D619" s="94">
        <v>1400</v>
      </c>
      <c r="E619" s="94">
        <v>3496</v>
      </c>
      <c r="F619" s="7">
        <f t="shared" si="39"/>
        <v>2.4971428571428573</v>
      </c>
      <c r="G619" s="5" t="s">
        <v>20</v>
      </c>
      <c r="H619" s="5">
        <v>55</v>
      </c>
      <c r="I619" s="96">
        <f t="shared" si="36"/>
        <v>63.563636363636363</v>
      </c>
      <c r="J619" s="5" t="s">
        <v>21</v>
      </c>
      <c r="K619" s="5" t="s">
        <v>22</v>
      </c>
      <c r="L619" s="5">
        <v>1401858000</v>
      </c>
      <c r="M619" s="5">
        <v>1402722000</v>
      </c>
      <c r="N619" s="8">
        <f t="shared" si="37"/>
        <v>41794.208333333336</v>
      </c>
      <c r="O619" s="8">
        <f t="shared" si="38"/>
        <v>41804.208333333336</v>
      </c>
      <c r="P619" s="21" t="str">
        <f>TEXT(CrowdfundingTable[[#This Row],[date_created]],"ddd")</f>
        <v>Wed</v>
      </c>
      <c r="Q619" s="21">
        <f>_xlfn.DAYS(CrowdfundingTable[[#This Row],[date_ended]],CrowdfundingTable[[#This Row],[date_created]])</f>
        <v>10</v>
      </c>
      <c r="R619" s="5" t="b">
        <v>0</v>
      </c>
      <c r="S619" s="5" t="b">
        <v>0</v>
      </c>
      <c r="T619" s="5" t="s">
        <v>33</v>
      </c>
      <c r="U619" s="5" t="s">
        <v>2040</v>
      </c>
      <c r="V619" s="5" t="s">
        <v>2055</v>
      </c>
      <c r="W619" s="5"/>
    </row>
    <row r="620" spans="1:23" ht="17" x14ac:dyDescent="0.2">
      <c r="A620" s="5">
        <v>618</v>
      </c>
      <c r="B620" s="5" t="s">
        <v>1278</v>
      </c>
      <c r="C620" s="6" t="s">
        <v>1279</v>
      </c>
      <c r="D620" s="94">
        <v>198600</v>
      </c>
      <c r="E620" s="94">
        <v>97037</v>
      </c>
      <c r="F620" s="7">
        <f t="shared" si="39"/>
        <v>0.48860523665659616</v>
      </c>
      <c r="G620" s="5" t="s">
        <v>14</v>
      </c>
      <c r="H620" s="5">
        <v>1198</v>
      </c>
      <c r="I620" s="96">
        <f t="shared" si="36"/>
        <v>80.999165275459092</v>
      </c>
      <c r="J620" s="5" t="s">
        <v>21</v>
      </c>
      <c r="K620" s="5" t="s">
        <v>22</v>
      </c>
      <c r="L620" s="5">
        <v>1367470800</v>
      </c>
      <c r="M620" s="5">
        <v>1369285200</v>
      </c>
      <c r="N620" s="8">
        <f t="shared" si="37"/>
        <v>41396.208333333336</v>
      </c>
      <c r="O620" s="8">
        <f t="shared" si="38"/>
        <v>41417.208333333336</v>
      </c>
      <c r="P620" s="21" t="str">
        <f>TEXT(CrowdfundingTable[[#This Row],[date_created]],"ddd")</f>
        <v>Thu</v>
      </c>
      <c r="Q620" s="21">
        <f>_xlfn.DAYS(CrowdfundingTable[[#This Row],[date_ended]],CrowdfundingTable[[#This Row],[date_created]])</f>
        <v>21</v>
      </c>
      <c r="R620" s="5" t="b">
        <v>0</v>
      </c>
      <c r="S620" s="5" t="b">
        <v>0</v>
      </c>
      <c r="T620" s="5" t="s">
        <v>68</v>
      </c>
      <c r="U620" s="5" t="s">
        <v>2038</v>
      </c>
      <c r="V620" s="5" t="s">
        <v>2053</v>
      </c>
      <c r="W620" s="5"/>
    </row>
    <row r="621" spans="1:23" ht="17" x14ac:dyDescent="0.2">
      <c r="A621" s="5">
        <v>619</v>
      </c>
      <c r="B621" s="5" t="s">
        <v>1280</v>
      </c>
      <c r="C621" s="6" t="s">
        <v>1281</v>
      </c>
      <c r="D621" s="94">
        <v>195900</v>
      </c>
      <c r="E621" s="94">
        <v>55757</v>
      </c>
      <c r="F621" s="7">
        <f t="shared" si="39"/>
        <v>0.28461970393057684</v>
      </c>
      <c r="G621" s="5" t="s">
        <v>14</v>
      </c>
      <c r="H621" s="5">
        <v>648</v>
      </c>
      <c r="I621" s="96">
        <f t="shared" si="36"/>
        <v>86.044753086419746</v>
      </c>
      <c r="J621" s="5" t="s">
        <v>21</v>
      </c>
      <c r="K621" s="5" t="s">
        <v>22</v>
      </c>
      <c r="L621" s="5">
        <v>1304658000</v>
      </c>
      <c r="M621" s="5">
        <v>1304744400</v>
      </c>
      <c r="N621" s="8">
        <f t="shared" si="37"/>
        <v>40669.208333333336</v>
      </c>
      <c r="O621" s="8">
        <f t="shared" si="38"/>
        <v>40670.208333333336</v>
      </c>
      <c r="P621" s="21" t="str">
        <f>TEXT(CrowdfundingTable[[#This Row],[date_created]],"ddd")</f>
        <v>Fri</v>
      </c>
      <c r="Q621" s="21">
        <f>_xlfn.DAYS(CrowdfundingTable[[#This Row],[date_ended]],CrowdfundingTable[[#This Row],[date_created]])</f>
        <v>1</v>
      </c>
      <c r="R621" s="5" t="b">
        <v>1</v>
      </c>
      <c r="S621" s="5" t="b">
        <v>1</v>
      </c>
      <c r="T621" s="5" t="s">
        <v>33</v>
      </c>
      <c r="U621" s="5" t="s">
        <v>2040</v>
      </c>
      <c r="V621" s="5" t="s">
        <v>2055</v>
      </c>
      <c r="W621" s="5"/>
    </row>
    <row r="622" spans="1:23" ht="17" x14ac:dyDescent="0.2">
      <c r="A622" s="5">
        <v>620</v>
      </c>
      <c r="B622" s="5" t="s">
        <v>1282</v>
      </c>
      <c r="C622" s="6" t="s">
        <v>1283</v>
      </c>
      <c r="D622" s="94">
        <v>4300</v>
      </c>
      <c r="E622" s="94">
        <v>11525</v>
      </c>
      <c r="F622" s="7">
        <f t="shared" si="39"/>
        <v>2.6802325581395348</v>
      </c>
      <c r="G622" s="5" t="s">
        <v>20</v>
      </c>
      <c r="H622" s="5">
        <v>128</v>
      </c>
      <c r="I622" s="96">
        <f t="shared" si="36"/>
        <v>90.0390625</v>
      </c>
      <c r="J622" s="5" t="s">
        <v>26</v>
      </c>
      <c r="K622" s="5" t="s">
        <v>27</v>
      </c>
      <c r="L622" s="5">
        <v>1467954000</v>
      </c>
      <c r="M622" s="5">
        <v>1468299600</v>
      </c>
      <c r="N622" s="8">
        <f t="shared" si="37"/>
        <v>42559.208333333328</v>
      </c>
      <c r="O622" s="8">
        <f t="shared" si="38"/>
        <v>42563.208333333328</v>
      </c>
      <c r="P622" s="21" t="str">
        <f>TEXT(CrowdfundingTable[[#This Row],[date_created]],"ddd")</f>
        <v>Fri</v>
      </c>
      <c r="Q622" s="21">
        <f>_xlfn.DAYS(CrowdfundingTable[[#This Row],[date_ended]],CrowdfundingTable[[#This Row],[date_created]])</f>
        <v>4</v>
      </c>
      <c r="R622" s="5" t="b">
        <v>0</v>
      </c>
      <c r="S622" s="5" t="b">
        <v>0</v>
      </c>
      <c r="T622" s="5" t="s">
        <v>122</v>
      </c>
      <c r="U622" s="5" t="s">
        <v>2037</v>
      </c>
      <c r="V622" s="5" t="s">
        <v>2054</v>
      </c>
      <c r="W622" s="5"/>
    </row>
    <row r="623" spans="1:23" ht="17" x14ac:dyDescent="0.2">
      <c r="A623" s="5">
        <v>621</v>
      </c>
      <c r="B623" s="5" t="s">
        <v>1284</v>
      </c>
      <c r="C623" s="6" t="s">
        <v>1285</v>
      </c>
      <c r="D623" s="94">
        <v>25600</v>
      </c>
      <c r="E623" s="94">
        <v>158669</v>
      </c>
      <c r="F623" s="7">
        <f t="shared" si="39"/>
        <v>6.1980078125000002</v>
      </c>
      <c r="G623" s="5" t="s">
        <v>20</v>
      </c>
      <c r="H623" s="5">
        <v>2144</v>
      </c>
      <c r="I623" s="96">
        <f t="shared" si="36"/>
        <v>74.006063432835816</v>
      </c>
      <c r="J623" s="5" t="s">
        <v>21</v>
      </c>
      <c r="K623" s="5" t="s">
        <v>22</v>
      </c>
      <c r="L623" s="5">
        <v>1473742800</v>
      </c>
      <c r="M623" s="5">
        <v>1474174800</v>
      </c>
      <c r="N623" s="8">
        <f t="shared" si="37"/>
        <v>42626.208333333328</v>
      </c>
      <c r="O623" s="8">
        <f t="shared" si="38"/>
        <v>42631.208333333328</v>
      </c>
      <c r="P623" s="21" t="str">
        <f>TEXT(CrowdfundingTable[[#This Row],[date_created]],"ddd")</f>
        <v>Tue</v>
      </c>
      <c r="Q623" s="21">
        <f>_xlfn.DAYS(CrowdfundingTable[[#This Row],[date_ended]],CrowdfundingTable[[#This Row],[date_created]])</f>
        <v>5</v>
      </c>
      <c r="R623" s="5" t="b">
        <v>0</v>
      </c>
      <c r="S623" s="5" t="b">
        <v>0</v>
      </c>
      <c r="T623" s="5" t="s">
        <v>33</v>
      </c>
      <c r="U623" s="5" t="s">
        <v>2040</v>
      </c>
      <c r="V623" s="5" t="s">
        <v>2055</v>
      </c>
      <c r="W623" s="5"/>
    </row>
    <row r="624" spans="1:23" ht="17" x14ac:dyDescent="0.2">
      <c r="A624" s="5">
        <v>622</v>
      </c>
      <c r="B624" s="5" t="s">
        <v>1286</v>
      </c>
      <c r="C624" s="6" t="s">
        <v>1287</v>
      </c>
      <c r="D624" s="94">
        <v>189000</v>
      </c>
      <c r="E624" s="94">
        <v>5916</v>
      </c>
      <c r="F624" s="7">
        <f t="shared" si="39"/>
        <v>3.1301587301587303E-2</v>
      </c>
      <c r="G624" s="5" t="s">
        <v>14</v>
      </c>
      <c r="H624" s="5">
        <v>64</v>
      </c>
      <c r="I624" s="96">
        <f t="shared" si="36"/>
        <v>92.4375</v>
      </c>
      <c r="J624" s="5" t="s">
        <v>21</v>
      </c>
      <c r="K624" s="5" t="s">
        <v>22</v>
      </c>
      <c r="L624" s="5">
        <v>1523768400</v>
      </c>
      <c r="M624" s="5">
        <v>1526014800</v>
      </c>
      <c r="N624" s="8">
        <f t="shared" si="37"/>
        <v>43205.208333333328</v>
      </c>
      <c r="O624" s="8">
        <f t="shared" si="38"/>
        <v>43231.208333333328</v>
      </c>
      <c r="P624" s="21" t="str">
        <f>TEXT(CrowdfundingTable[[#This Row],[date_created]],"ddd")</f>
        <v>Sun</v>
      </c>
      <c r="Q624" s="21">
        <f>_xlfn.DAYS(CrowdfundingTable[[#This Row],[date_ended]],CrowdfundingTable[[#This Row],[date_created]])</f>
        <v>26</v>
      </c>
      <c r="R624" s="5" t="b">
        <v>0</v>
      </c>
      <c r="S624" s="5" t="b">
        <v>0</v>
      </c>
      <c r="T624" s="5" t="s">
        <v>60</v>
      </c>
      <c r="U624" s="5" t="s">
        <v>2036</v>
      </c>
      <c r="V624" s="5" t="s">
        <v>2049</v>
      </c>
      <c r="W624" s="5"/>
    </row>
    <row r="625" spans="1:23" ht="17" x14ac:dyDescent="0.2">
      <c r="A625" s="5">
        <v>623</v>
      </c>
      <c r="B625" s="5" t="s">
        <v>1288</v>
      </c>
      <c r="C625" s="6" t="s">
        <v>1289</v>
      </c>
      <c r="D625" s="94">
        <v>94300</v>
      </c>
      <c r="E625" s="94">
        <v>150806</v>
      </c>
      <c r="F625" s="7">
        <f t="shared" si="39"/>
        <v>1.5992152704135738</v>
      </c>
      <c r="G625" s="5" t="s">
        <v>20</v>
      </c>
      <c r="H625" s="5">
        <v>2693</v>
      </c>
      <c r="I625" s="96">
        <f t="shared" si="36"/>
        <v>55.999257333828446</v>
      </c>
      <c r="J625" s="5" t="s">
        <v>40</v>
      </c>
      <c r="K625" s="5" t="s">
        <v>41</v>
      </c>
      <c r="L625" s="5">
        <v>1437022800</v>
      </c>
      <c r="M625" s="5">
        <v>1437454800</v>
      </c>
      <c r="N625" s="8">
        <f t="shared" si="37"/>
        <v>42201.208333333328</v>
      </c>
      <c r="O625" s="8">
        <f t="shared" si="38"/>
        <v>42206.208333333328</v>
      </c>
      <c r="P625" s="21" t="str">
        <f>TEXT(CrowdfundingTable[[#This Row],[date_created]],"ddd")</f>
        <v>Thu</v>
      </c>
      <c r="Q625" s="21">
        <f>_xlfn.DAYS(CrowdfundingTable[[#This Row],[date_ended]],CrowdfundingTable[[#This Row],[date_created]])</f>
        <v>5</v>
      </c>
      <c r="R625" s="5" t="b">
        <v>0</v>
      </c>
      <c r="S625" s="5" t="b">
        <v>0</v>
      </c>
      <c r="T625" s="5" t="s">
        <v>33</v>
      </c>
      <c r="U625" s="5" t="s">
        <v>2040</v>
      </c>
      <c r="V625" s="5" t="s">
        <v>2055</v>
      </c>
      <c r="W625" s="5"/>
    </row>
    <row r="626" spans="1:23" ht="17" x14ac:dyDescent="0.2">
      <c r="A626" s="5">
        <v>624</v>
      </c>
      <c r="B626" s="5" t="s">
        <v>1290</v>
      </c>
      <c r="C626" s="6" t="s">
        <v>1291</v>
      </c>
      <c r="D626" s="94">
        <v>5100</v>
      </c>
      <c r="E626" s="94">
        <v>14249</v>
      </c>
      <c r="F626" s="7">
        <f t="shared" si="39"/>
        <v>2.793921568627451</v>
      </c>
      <c r="G626" s="5" t="s">
        <v>20</v>
      </c>
      <c r="H626" s="5">
        <v>432</v>
      </c>
      <c r="I626" s="96">
        <f t="shared" si="36"/>
        <v>32.983796296296298</v>
      </c>
      <c r="J626" s="5" t="s">
        <v>21</v>
      </c>
      <c r="K626" s="5" t="s">
        <v>22</v>
      </c>
      <c r="L626" s="5">
        <v>1422165600</v>
      </c>
      <c r="M626" s="5">
        <v>1422684000</v>
      </c>
      <c r="N626" s="8">
        <f t="shared" si="37"/>
        <v>42029.25</v>
      </c>
      <c r="O626" s="8">
        <f t="shared" si="38"/>
        <v>42035.25</v>
      </c>
      <c r="P626" s="21" t="str">
        <f>TEXT(CrowdfundingTable[[#This Row],[date_created]],"ddd")</f>
        <v>Sun</v>
      </c>
      <c r="Q626" s="21">
        <f>_xlfn.DAYS(CrowdfundingTable[[#This Row],[date_ended]],CrowdfundingTable[[#This Row],[date_created]])</f>
        <v>6</v>
      </c>
      <c r="R626" s="5" t="b">
        <v>0</v>
      </c>
      <c r="S626" s="5" t="b">
        <v>0</v>
      </c>
      <c r="T626" s="5" t="s">
        <v>122</v>
      </c>
      <c r="U626" s="5" t="s">
        <v>2037</v>
      </c>
      <c r="V626" s="5" t="s">
        <v>2054</v>
      </c>
      <c r="W626" s="5"/>
    </row>
    <row r="627" spans="1:23" ht="34" x14ac:dyDescent="0.2">
      <c r="A627" s="5">
        <v>625</v>
      </c>
      <c r="B627" s="5" t="s">
        <v>1292</v>
      </c>
      <c r="C627" s="6" t="s">
        <v>1293</v>
      </c>
      <c r="D627" s="94">
        <v>7500</v>
      </c>
      <c r="E627" s="94">
        <v>5803</v>
      </c>
      <c r="F627" s="7">
        <f t="shared" si="39"/>
        <v>0.77373333333333338</v>
      </c>
      <c r="G627" s="5" t="s">
        <v>14</v>
      </c>
      <c r="H627" s="5">
        <v>62</v>
      </c>
      <c r="I627" s="96">
        <f t="shared" si="36"/>
        <v>93.596774193548384</v>
      </c>
      <c r="J627" s="5" t="s">
        <v>21</v>
      </c>
      <c r="K627" s="5" t="s">
        <v>22</v>
      </c>
      <c r="L627" s="5">
        <v>1580104800</v>
      </c>
      <c r="M627" s="5">
        <v>1581314400</v>
      </c>
      <c r="N627" s="8">
        <f t="shared" si="37"/>
        <v>43857.25</v>
      </c>
      <c r="O627" s="8">
        <f t="shared" si="38"/>
        <v>43871.25</v>
      </c>
      <c r="P627" s="21" t="str">
        <f>TEXT(CrowdfundingTable[[#This Row],[date_created]],"ddd")</f>
        <v>Mon</v>
      </c>
      <c r="Q627" s="21">
        <f>_xlfn.DAYS(CrowdfundingTable[[#This Row],[date_ended]],CrowdfundingTable[[#This Row],[date_created]])</f>
        <v>14</v>
      </c>
      <c r="R627" s="5" t="b">
        <v>0</v>
      </c>
      <c r="S627" s="5" t="b">
        <v>0</v>
      </c>
      <c r="T627" s="5" t="s">
        <v>33</v>
      </c>
      <c r="U627" s="5" t="s">
        <v>2040</v>
      </c>
      <c r="V627" s="5" t="s">
        <v>2055</v>
      </c>
      <c r="W627" s="5"/>
    </row>
    <row r="628" spans="1:23" ht="34" x14ac:dyDescent="0.2">
      <c r="A628" s="5">
        <v>626</v>
      </c>
      <c r="B628" s="5" t="s">
        <v>1294</v>
      </c>
      <c r="C628" s="6" t="s">
        <v>1295</v>
      </c>
      <c r="D628" s="94">
        <v>6400</v>
      </c>
      <c r="E628" s="94">
        <v>13205</v>
      </c>
      <c r="F628" s="7">
        <f t="shared" si="39"/>
        <v>2.0632812500000002</v>
      </c>
      <c r="G628" s="5" t="s">
        <v>20</v>
      </c>
      <c r="H628" s="5">
        <v>189</v>
      </c>
      <c r="I628" s="96">
        <f t="shared" si="36"/>
        <v>69.867724867724874</v>
      </c>
      <c r="J628" s="5" t="s">
        <v>21</v>
      </c>
      <c r="K628" s="5" t="s">
        <v>22</v>
      </c>
      <c r="L628" s="5">
        <v>1285650000</v>
      </c>
      <c r="M628" s="5">
        <v>1286427600</v>
      </c>
      <c r="N628" s="8">
        <f t="shared" si="37"/>
        <v>40449.208333333336</v>
      </c>
      <c r="O628" s="8">
        <f t="shared" si="38"/>
        <v>40458.208333333336</v>
      </c>
      <c r="P628" s="21" t="str">
        <f>TEXT(CrowdfundingTable[[#This Row],[date_created]],"ddd")</f>
        <v>Tue</v>
      </c>
      <c r="Q628" s="21">
        <f>_xlfn.DAYS(CrowdfundingTable[[#This Row],[date_ended]],CrowdfundingTable[[#This Row],[date_created]])</f>
        <v>9</v>
      </c>
      <c r="R628" s="5" t="b">
        <v>0</v>
      </c>
      <c r="S628" s="5" t="b">
        <v>1</v>
      </c>
      <c r="T628" s="5" t="s">
        <v>33</v>
      </c>
      <c r="U628" s="5" t="s">
        <v>2040</v>
      </c>
      <c r="V628" s="5" t="s">
        <v>2055</v>
      </c>
      <c r="W628" s="5"/>
    </row>
    <row r="629" spans="1:23" ht="17" x14ac:dyDescent="0.2">
      <c r="A629" s="5">
        <v>627</v>
      </c>
      <c r="B629" s="5" t="s">
        <v>1296</v>
      </c>
      <c r="C629" s="6" t="s">
        <v>1297</v>
      </c>
      <c r="D629" s="94">
        <v>1600</v>
      </c>
      <c r="E629" s="94">
        <v>11108</v>
      </c>
      <c r="F629" s="7">
        <f t="shared" si="39"/>
        <v>6.9424999999999999</v>
      </c>
      <c r="G629" s="5" t="s">
        <v>20</v>
      </c>
      <c r="H629" s="5">
        <v>154</v>
      </c>
      <c r="I629" s="96">
        <f t="shared" si="36"/>
        <v>72.129870129870127</v>
      </c>
      <c r="J629" s="5" t="s">
        <v>40</v>
      </c>
      <c r="K629" s="5" t="s">
        <v>41</v>
      </c>
      <c r="L629" s="5">
        <v>1276664400</v>
      </c>
      <c r="M629" s="5">
        <v>1278738000</v>
      </c>
      <c r="N629" s="8">
        <f t="shared" si="37"/>
        <v>40345.208333333336</v>
      </c>
      <c r="O629" s="8">
        <f t="shared" si="38"/>
        <v>40369.208333333336</v>
      </c>
      <c r="P629" s="21" t="str">
        <f>TEXT(CrowdfundingTable[[#This Row],[date_created]],"ddd")</f>
        <v>Wed</v>
      </c>
      <c r="Q629" s="21">
        <f>_xlfn.DAYS(CrowdfundingTable[[#This Row],[date_ended]],CrowdfundingTable[[#This Row],[date_created]])</f>
        <v>24</v>
      </c>
      <c r="R629" s="5" t="b">
        <v>1</v>
      </c>
      <c r="S629" s="5" t="b">
        <v>0</v>
      </c>
      <c r="T629" s="5" t="s">
        <v>17</v>
      </c>
      <c r="U629" s="5" t="s">
        <v>2033</v>
      </c>
      <c r="V629" s="5" t="s">
        <v>2048</v>
      </c>
      <c r="W629" s="5"/>
    </row>
    <row r="630" spans="1:23" ht="17" x14ac:dyDescent="0.2">
      <c r="A630" s="5">
        <v>628</v>
      </c>
      <c r="B630" s="5" t="s">
        <v>1298</v>
      </c>
      <c r="C630" s="6" t="s">
        <v>1299</v>
      </c>
      <c r="D630" s="94">
        <v>1900</v>
      </c>
      <c r="E630" s="94">
        <v>2884</v>
      </c>
      <c r="F630" s="7">
        <f t="shared" si="39"/>
        <v>1.5178947368421052</v>
      </c>
      <c r="G630" s="5" t="s">
        <v>20</v>
      </c>
      <c r="H630" s="5">
        <v>96</v>
      </c>
      <c r="I630" s="96">
        <f t="shared" si="36"/>
        <v>30.041666666666668</v>
      </c>
      <c r="J630" s="5" t="s">
        <v>21</v>
      </c>
      <c r="K630" s="5" t="s">
        <v>22</v>
      </c>
      <c r="L630" s="5">
        <v>1286168400</v>
      </c>
      <c r="M630" s="5">
        <v>1286427600</v>
      </c>
      <c r="N630" s="8">
        <f t="shared" si="37"/>
        <v>40455.208333333336</v>
      </c>
      <c r="O630" s="8">
        <f t="shared" si="38"/>
        <v>40458.208333333336</v>
      </c>
      <c r="P630" s="21" t="str">
        <f>TEXT(CrowdfundingTable[[#This Row],[date_created]],"ddd")</f>
        <v>Mon</v>
      </c>
      <c r="Q630" s="21">
        <f>_xlfn.DAYS(CrowdfundingTable[[#This Row],[date_ended]],CrowdfundingTable[[#This Row],[date_created]])</f>
        <v>3</v>
      </c>
      <c r="R630" s="5" t="b">
        <v>0</v>
      </c>
      <c r="S630" s="5" t="b">
        <v>0</v>
      </c>
      <c r="T630" s="5" t="s">
        <v>60</v>
      </c>
      <c r="U630" s="5" t="s">
        <v>2036</v>
      </c>
      <c r="V630" s="5" t="s">
        <v>2049</v>
      </c>
      <c r="W630" s="5"/>
    </row>
    <row r="631" spans="1:23" ht="17" x14ac:dyDescent="0.2">
      <c r="A631" s="5">
        <v>629</v>
      </c>
      <c r="B631" s="5" t="s">
        <v>1300</v>
      </c>
      <c r="C631" s="6" t="s">
        <v>1301</v>
      </c>
      <c r="D631" s="94">
        <v>85900</v>
      </c>
      <c r="E631" s="94">
        <v>55476</v>
      </c>
      <c r="F631" s="7">
        <f t="shared" si="39"/>
        <v>0.64582072176949945</v>
      </c>
      <c r="G631" s="5" t="s">
        <v>14</v>
      </c>
      <c r="H631" s="5">
        <v>750</v>
      </c>
      <c r="I631" s="96">
        <f t="shared" si="36"/>
        <v>73.968000000000004</v>
      </c>
      <c r="J631" s="5" t="s">
        <v>21</v>
      </c>
      <c r="K631" s="5" t="s">
        <v>22</v>
      </c>
      <c r="L631" s="5">
        <v>1467781200</v>
      </c>
      <c r="M631" s="5">
        <v>1467954000</v>
      </c>
      <c r="N631" s="8">
        <f t="shared" si="37"/>
        <v>42557.208333333328</v>
      </c>
      <c r="O631" s="8">
        <f t="shared" si="38"/>
        <v>42559.208333333328</v>
      </c>
      <c r="P631" s="21" t="str">
        <f>TEXT(CrowdfundingTable[[#This Row],[date_created]],"ddd")</f>
        <v>Wed</v>
      </c>
      <c r="Q631" s="21">
        <f>_xlfn.DAYS(CrowdfundingTable[[#This Row],[date_ended]],CrowdfundingTable[[#This Row],[date_created]])</f>
        <v>2</v>
      </c>
      <c r="R631" s="5" t="b">
        <v>0</v>
      </c>
      <c r="S631" s="5" t="b">
        <v>1</v>
      </c>
      <c r="T631" s="5" t="s">
        <v>33</v>
      </c>
      <c r="U631" s="5" t="s">
        <v>2040</v>
      </c>
      <c r="V631" s="5" t="s">
        <v>2055</v>
      </c>
      <c r="W631" s="5"/>
    </row>
    <row r="632" spans="1:23" ht="17" x14ac:dyDescent="0.2">
      <c r="A632" s="5">
        <v>630</v>
      </c>
      <c r="B632" s="5" t="s">
        <v>1302</v>
      </c>
      <c r="C632" s="6" t="s">
        <v>1303</v>
      </c>
      <c r="D632" s="94">
        <v>9500</v>
      </c>
      <c r="E632" s="94">
        <v>5973</v>
      </c>
      <c r="F632" s="7">
        <f t="shared" si="39"/>
        <v>0.62873684210526315</v>
      </c>
      <c r="G632" s="5" t="s">
        <v>74</v>
      </c>
      <c r="H632" s="5">
        <v>87</v>
      </c>
      <c r="I632" s="96">
        <f t="shared" si="36"/>
        <v>68.65517241379311</v>
      </c>
      <c r="J632" s="5" t="s">
        <v>21</v>
      </c>
      <c r="K632" s="5" t="s">
        <v>22</v>
      </c>
      <c r="L632" s="5">
        <v>1556686800</v>
      </c>
      <c r="M632" s="5">
        <v>1557637200</v>
      </c>
      <c r="N632" s="8">
        <f t="shared" si="37"/>
        <v>43586.208333333328</v>
      </c>
      <c r="O632" s="8">
        <f t="shared" si="38"/>
        <v>43597.208333333328</v>
      </c>
      <c r="P632" s="21" t="str">
        <f>TEXT(CrowdfundingTable[[#This Row],[date_created]],"ddd")</f>
        <v>Wed</v>
      </c>
      <c r="Q632" s="21">
        <f>_xlfn.DAYS(CrowdfundingTable[[#This Row],[date_ended]],CrowdfundingTable[[#This Row],[date_created]])</f>
        <v>11</v>
      </c>
      <c r="R632" s="5" t="b">
        <v>0</v>
      </c>
      <c r="S632" s="5" t="b">
        <v>1</v>
      </c>
      <c r="T632" s="5" t="s">
        <v>33</v>
      </c>
      <c r="U632" s="5" t="s">
        <v>2040</v>
      </c>
      <c r="V632" s="5" t="s">
        <v>2055</v>
      </c>
      <c r="W632" s="5"/>
    </row>
    <row r="633" spans="1:23" ht="17" x14ac:dyDescent="0.2">
      <c r="A633" s="5">
        <v>631</v>
      </c>
      <c r="B633" s="5" t="s">
        <v>1304</v>
      </c>
      <c r="C633" s="6" t="s">
        <v>1305</v>
      </c>
      <c r="D633" s="94">
        <v>59200</v>
      </c>
      <c r="E633" s="94">
        <v>183756</v>
      </c>
      <c r="F633" s="7">
        <f t="shared" si="39"/>
        <v>3.1039864864864866</v>
      </c>
      <c r="G633" s="5" t="s">
        <v>20</v>
      </c>
      <c r="H633" s="5">
        <v>3063</v>
      </c>
      <c r="I633" s="96">
        <f t="shared" si="36"/>
        <v>59.992164544564154</v>
      </c>
      <c r="J633" s="5" t="s">
        <v>21</v>
      </c>
      <c r="K633" s="5" t="s">
        <v>22</v>
      </c>
      <c r="L633" s="5">
        <v>1553576400</v>
      </c>
      <c r="M633" s="5">
        <v>1553922000</v>
      </c>
      <c r="N633" s="8">
        <f t="shared" si="37"/>
        <v>43550.208333333328</v>
      </c>
      <c r="O633" s="8">
        <f t="shared" si="38"/>
        <v>43554.208333333328</v>
      </c>
      <c r="P633" s="21" t="str">
        <f>TEXT(CrowdfundingTable[[#This Row],[date_created]],"ddd")</f>
        <v>Tue</v>
      </c>
      <c r="Q633" s="21">
        <f>_xlfn.DAYS(CrowdfundingTable[[#This Row],[date_ended]],CrowdfundingTable[[#This Row],[date_created]])</f>
        <v>4</v>
      </c>
      <c r="R633" s="5" t="b">
        <v>0</v>
      </c>
      <c r="S633" s="5" t="b">
        <v>0</v>
      </c>
      <c r="T633" s="5" t="s">
        <v>33</v>
      </c>
      <c r="U633" s="5" t="s">
        <v>2040</v>
      </c>
      <c r="V633" s="5" t="s">
        <v>2055</v>
      </c>
      <c r="W633" s="5"/>
    </row>
    <row r="634" spans="1:23" ht="17" x14ac:dyDescent="0.2">
      <c r="A634" s="5">
        <v>632</v>
      </c>
      <c r="B634" s="5" t="s">
        <v>1306</v>
      </c>
      <c r="C634" s="6" t="s">
        <v>1307</v>
      </c>
      <c r="D634" s="94">
        <v>72100</v>
      </c>
      <c r="E634" s="94">
        <v>30902</v>
      </c>
      <c r="F634" s="7">
        <f t="shared" si="39"/>
        <v>0.42859916782246882</v>
      </c>
      <c r="G634" s="5" t="s">
        <v>47</v>
      </c>
      <c r="H634" s="5">
        <v>278</v>
      </c>
      <c r="I634" s="96">
        <f t="shared" si="36"/>
        <v>111.15827338129496</v>
      </c>
      <c r="J634" s="5" t="s">
        <v>21</v>
      </c>
      <c r="K634" s="5" t="s">
        <v>22</v>
      </c>
      <c r="L634" s="5">
        <v>1414904400</v>
      </c>
      <c r="M634" s="5">
        <v>1416463200</v>
      </c>
      <c r="N634" s="8">
        <f t="shared" si="37"/>
        <v>41945.208333333336</v>
      </c>
      <c r="O634" s="8">
        <f t="shared" si="38"/>
        <v>41963.25</v>
      </c>
      <c r="P634" s="21" t="str">
        <f>TEXT(CrowdfundingTable[[#This Row],[date_created]],"ddd")</f>
        <v>Sun</v>
      </c>
      <c r="Q634" s="21">
        <f>_xlfn.DAYS(CrowdfundingTable[[#This Row],[date_ended]],CrowdfundingTable[[#This Row],[date_created]])</f>
        <v>18</v>
      </c>
      <c r="R634" s="5" t="b">
        <v>0</v>
      </c>
      <c r="S634" s="5" t="b">
        <v>0</v>
      </c>
      <c r="T634" s="5" t="s">
        <v>33</v>
      </c>
      <c r="U634" s="5" t="s">
        <v>2040</v>
      </c>
      <c r="V634" s="5" t="s">
        <v>2055</v>
      </c>
      <c r="W634" s="5"/>
    </row>
    <row r="635" spans="1:23" ht="17" x14ac:dyDescent="0.2">
      <c r="A635" s="5">
        <v>633</v>
      </c>
      <c r="B635" s="5" t="s">
        <v>1308</v>
      </c>
      <c r="C635" s="6" t="s">
        <v>1309</v>
      </c>
      <c r="D635" s="94">
        <v>6700</v>
      </c>
      <c r="E635" s="94">
        <v>5569</v>
      </c>
      <c r="F635" s="7">
        <f t="shared" si="39"/>
        <v>0.83119402985074631</v>
      </c>
      <c r="G635" s="5" t="s">
        <v>14</v>
      </c>
      <c r="H635" s="5">
        <v>105</v>
      </c>
      <c r="I635" s="96">
        <f t="shared" si="36"/>
        <v>53.038095238095238</v>
      </c>
      <c r="J635" s="5" t="s">
        <v>21</v>
      </c>
      <c r="K635" s="5" t="s">
        <v>22</v>
      </c>
      <c r="L635" s="5">
        <v>1446876000</v>
      </c>
      <c r="M635" s="5">
        <v>1447221600</v>
      </c>
      <c r="N635" s="8">
        <f t="shared" si="37"/>
        <v>42315.25</v>
      </c>
      <c r="O635" s="8">
        <f t="shared" si="38"/>
        <v>42319.25</v>
      </c>
      <c r="P635" s="21" t="str">
        <f>TEXT(CrowdfundingTable[[#This Row],[date_created]],"ddd")</f>
        <v>Sat</v>
      </c>
      <c r="Q635" s="21">
        <f>_xlfn.DAYS(CrowdfundingTable[[#This Row],[date_ended]],CrowdfundingTable[[#This Row],[date_created]])</f>
        <v>4</v>
      </c>
      <c r="R635" s="5" t="b">
        <v>0</v>
      </c>
      <c r="S635" s="5" t="b">
        <v>0</v>
      </c>
      <c r="T635" s="5" t="s">
        <v>71</v>
      </c>
      <c r="U635" s="5" t="s">
        <v>2032</v>
      </c>
      <c r="V635" s="5" t="s">
        <v>2042</v>
      </c>
      <c r="W635" s="5"/>
    </row>
    <row r="636" spans="1:23" ht="17" x14ac:dyDescent="0.2">
      <c r="A636" s="5">
        <v>634</v>
      </c>
      <c r="B636" s="5" t="s">
        <v>1310</v>
      </c>
      <c r="C636" s="6" t="s">
        <v>1311</v>
      </c>
      <c r="D636" s="94">
        <v>118200</v>
      </c>
      <c r="E636" s="94">
        <v>92824</v>
      </c>
      <c r="F636" s="7">
        <f t="shared" si="39"/>
        <v>0.78531302876480547</v>
      </c>
      <c r="G636" s="5" t="s">
        <v>74</v>
      </c>
      <c r="H636" s="5">
        <v>1658</v>
      </c>
      <c r="I636" s="96">
        <f t="shared" si="36"/>
        <v>55.985524728588658</v>
      </c>
      <c r="J636" s="5" t="s">
        <v>21</v>
      </c>
      <c r="K636" s="5" t="s">
        <v>22</v>
      </c>
      <c r="L636" s="5">
        <v>1490418000</v>
      </c>
      <c r="M636" s="5">
        <v>1491627600</v>
      </c>
      <c r="N636" s="8">
        <f t="shared" si="37"/>
        <v>42819.208333333328</v>
      </c>
      <c r="O636" s="8">
        <f t="shared" si="38"/>
        <v>42833.208333333328</v>
      </c>
      <c r="P636" s="21" t="str">
        <f>TEXT(CrowdfundingTable[[#This Row],[date_created]],"ddd")</f>
        <v>Sat</v>
      </c>
      <c r="Q636" s="21">
        <f>_xlfn.DAYS(CrowdfundingTable[[#This Row],[date_ended]],CrowdfundingTable[[#This Row],[date_created]])</f>
        <v>14</v>
      </c>
      <c r="R636" s="5" t="b">
        <v>0</v>
      </c>
      <c r="S636" s="5" t="b">
        <v>0</v>
      </c>
      <c r="T636" s="5" t="s">
        <v>269</v>
      </c>
      <c r="U636" s="5" t="s">
        <v>2032</v>
      </c>
      <c r="V636" s="5" t="s">
        <v>2060</v>
      </c>
      <c r="W636" s="5"/>
    </row>
    <row r="637" spans="1:23" ht="17" x14ac:dyDescent="0.2">
      <c r="A637" s="5">
        <v>635</v>
      </c>
      <c r="B637" s="5" t="s">
        <v>1312</v>
      </c>
      <c r="C637" s="6" t="s">
        <v>1313</v>
      </c>
      <c r="D637" s="94">
        <v>139000</v>
      </c>
      <c r="E637" s="94">
        <v>158590</v>
      </c>
      <c r="F637" s="7">
        <f t="shared" si="39"/>
        <v>1.1409352517985611</v>
      </c>
      <c r="G637" s="5" t="s">
        <v>20</v>
      </c>
      <c r="H637" s="5">
        <v>2266</v>
      </c>
      <c r="I637" s="96">
        <f t="shared" si="36"/>
        <v>69.986760812003524</v>
      </c>
      <c r="J637" s="5" t="s">
        <v>21</v>
      </c>
      <c r="K637" s="5" t="s">
        <v>22</v>
      </c>
      <c r="L637" s="5">
        <v>1360389600</v>
      </c>
      <c r="M637" s="5">
        <v>1363150800</v>
      </c>
      <c r="N637" s="8">
        <f t="shared" si="37"/>
        <v>41314.25</v>
      </c>
      <c r="O637" s="8">
        <f t="shared" si="38"/>
        <v>41346.208333333336</v>
      </c>
      <c r="P637" s="21" t="str">
        <f>TEXT(CrowdfundingTable[[#This Row],[date_created]],"ddd")</f>
        <v>Sat</v>
      </c>
      <c r="Q637" s="21">
        <f>_xlfn.DAYS(CrowdfundingTable[[#This Row],[date_ended]],CrowdfundingTable[[#This Row],[date_created]])</f>
        <v>32</v>
      </c>
      <c r="R637" s="5" t="b">
        <v>0</v>
      </c>
      <c r="S637" s="5" t="b">
        <v>0</v>
      </c>
      <c r="T637" s="5" t="s">
        <v>269</v>
      </c>
      <c r="U637" s="5" t="s">
        <v>2032</v>
      </c>
      <c r="V637" s="5" t="s">
        <v>2060</v>
      </c>
      <c r="W637" s="5"/>
    </row>
    <row r="638" spans="1:23" ht="17" x14ac:dyDescent="0.2">
      <c r="A638" s="5">
        <v>636</v>
      </c>
      <c r="B638" s="5" t="s">
        <v>1314</v>
      </c>
      <c r="C638" s="6" t="s">
        <v>1315</v>
      </c>
      <c r="D638" s="94">
        <v>197700</v>
      </c>
      <c r="E638" s="94">
        <v>127591</v>
      </c>
      <c r="F638" s="7">
        <f t="shared" si="39"/>
        <v>0.64537683358624176</v>
      </c>
      <c r="G638" s="5" t="s">
        <v>14</v>
      </c>
      <c r="H638" s="5">
        <v>2604</v>
      </c>
      <c r="I638" s="96">
        <f t="shared" si="36"/>
        <v>48.998079877112133</v>
      </c>
      <c r="J638" s="5" t="s">
        <v>36</v>
      </c>
      <c r="K638" s="5" t="s">
        <v>37</v>
      </c>
      <c r="L638" s="5">
        <v>1326866400</v>
      </c>
      <c r="M638" s="5">
        <v>1330754400</v>
      </c>
      <c r="N638" s="8">
        <f t="shared" si="37"/>
        <v>40926.25</v>
      </c>
      <c r="O638" s="8">
        <f t="shared" si="38"/>
        <v>40971.25</v>
      </c>
      <c r="P638" s="21" t="str">
        <f>TEXT(CrowdfundingTable[[#This Row],[date_created]],"ddd")</f>
        <v>Wed</v>
      </c>
      <c r="Q638" s="21">
        <f>_xlfn.DAYS(CrowdfundingTable[[#This Row],[date_ended]],CrowdfundingTable[[#This Row],[date_created]])</f>
        <v>45</v>
      </c>
      <c r="R638" s="5" t="b">
        <v>0</v>
      </c>
      <c r="S638" s="5" t="b">
        <v>1</v>
      </c>
      <c r="T638" s="5" t="s">
        <v>71</v>
      </c>
      <c r="U638" s="5" t="s">
        <v>2032</v>
      </c>
      <c r="V638" s="5" t="s">
        <v>2042</v>
      </c>
      <c r="W638" s="5"/>
    </row>
    <row r="639" spans="1:23" ht="17" x14ac:dyDescent="0.2">
      <c r="A639" s="5">
        <v>637</v>
      </c>
      <c r="B639" s="5" t="s">
        <v>1316</v>
      </c>
      <c r="C639" s="6" t="s">
        <v>1317</v>
      </c>
      <c r="D639" s="94">
        <v>8500</v>
      </c>
      <c r="E639" s="94">
        <v>6750</v>
      </c>
      <c r="F639" s="7">
        <f t="shared" si="39"/>
        <v>0.79411764705882348</v>
      </c>
      <c r="G639" s="5" t="s">
        <v>14</v>
      </c>
      <c r="H639" s="5">
        <v>65</v>
      </c>
      <c r="I639" s="96">
        <f t="shared" si="36"/>
        <v>103.84615384615384</v>
      </c>
      <c r="J639" s="5" t="s">
        <v>21</v>
      </c>
      <c r="K639" s="5" t="s">
        <v>22</v>
      </c>
      <c r="L639" s="5">
        <v>1479103200</v>
      </c>
      <c r="M639" s="5">
        <v>1479794400</v>
      </c>
      <c r="N639" s="8">
        <f t="shared" si="37"/>
        <v>42688.25</v>
      </c>
      <c r="O639" s="8">
        <f t="shared" si="38"/>
        <v>42696.25</v>
      </c>
      <c r="P639" s="21" t="str">
        <f>TEXT(CrowdfundingTable[[#This Row],[date_created]],"ddd")</f>
        <v>Mon</v>
      </c>
      <c r="Q639" s="21">
        <f>_xlfn.DAYS(CrowdfundingTable[[#This Row],[date_ended]],CrowdfundingTable[[#This Row],[date_created]])</f>
        <v>8</v>
      </c>
      <c r="R639" s="5" t="b">
        <v>0</v>
      </c>
      <c r="S639" s="5" t="b">
        <v>0</v>
      </c>
      <c r="T639" s="5" t="s">
        <v>33</v>
      </c>
      <c r="U639" s="5" t="s">
        <v>2040</v>
      </c>
      <c r="V639" s="5" t="s">
        <v>2055</v>
      </c>
      <c r="W639" s="5"/>
    </row>
    <row r="640" spans="1:23" ht="17" x14ac:dyDescent="0.2">
      <c r="A640" s="5">
        <v>638</v>
      </c>
      <c r="B640" s="5" t="s">
        <v>1318</v>
      </c>
      <c r="C640" s="6" t="s">
        <v>1319</v>
      </c>
      <c r="D640" s="94">
        <v>81600</v>
      </c>
      <c r="E640" s="94">
        <v>9318</v>
      </c>
      <c r="F640" s="7">
        <f t="shared" si="39"/>
        <v>0.11419117647058824</v>
      </c>
      <c r="G640" s="5" t="s">
        <v>14</v>
      </c>
      <c r="H640" s="5">
        <v>94</v>
      </c>
      <c r="I640" s="96">
        <f t="shared" si="36"/>
        <v>99.127659574468083</v>
      </c>
      <c r="J640" s="5" t="s">
        <v>21</v>
      </c>
      <c r="K640" s="5" t="s">
        <v>22</v>
      </c>
      <c r="L640" s="5">
        <v>1280206800</v>
      </c>
      <c r="M640" s="5">
        <v>1281243600</v>
      </c>
      <c r="N640" s="8">
        <f t="shared" si="37"/>
        <v>40386.208333333336</v>
      </c>
      <c r="O640" s="8">
        <f t="shared" si="38"/>
        <v>40398.208333333336</v>
      </c>
      <c r="P640" s="21" t="str">
        <f>TEXT(CrowdfundingTable[[#This Row],[date_created]],"ddd")</f>
        <v>Tue</v>
      </c>
      <c r="Q640" s="21">
        <f>_xlfn.DAYS(CrowdfundingTable[[#This Row],[date_ended]],CrowdfundingTable[[#This Row],[date_created]])</f>
        <v>12</v>
      </c>
      <c r="R640" s="5" t="b">
        <v>0</v>
      </c>
      <c r="S640" s="5" t="b">
        <v>1</v>
      </c>
      <c r="T640" s="5" t="s">
        <v>33</v>
      </c>
      <c r="U640" s="5" t="s">
        <v>2040</v>
      </c>
      <c r="V640" s="5" t="s">
        <v>2055</v>
      </c>
      <c r="W640" s="5"/>
    </row>
    <row r="641" spans="1:23" ht="17" x14ac:dyDescent="0.2">
      <c r="A641" s="5">
        <v>639</v>
      </c>
      <c r="B641" s="5" t="s">
        <v>1320</v>
      </c>
      <c r="C641" s="6" t="s">
        <v>1321</v>
      </c>
      <c r="D641" s="94">
        <v>8600</v>
      </c>
      <c r="E641" s="94">
        <v>4832</v>
      </c>
      <c r="F641" s="7">
        <f t="shared" si="39"/>
        <v>0.56186046511627907</v>
      </c>
      <c r="G641" s="5" t="s">
        <v>47</v>
      </c>
      <c r="H641" s="5">
        <v>45</v>
      </c>
      <c r="I641" s="96">
        <f t="shared" si="36"/>
        <v>107.37777777777778</v>
      </c>
      <c r="J641" s="5" t="s">
        <v>21</v>
      </c>
      <c r="K641" s="5" t="s">
        <v>22</v>
      </c>
      <c r="L641" s="5">
        <v>1532754000</v>
      </c>
      <c r="M641" s="5">
        <v>1532754000</v>
      </c>
      <c r="N641" s="8">
        <f t="shared" si="37"/>
        <v>43309.208333333328</v>
      </c>
      <c r="O641" s="8">
        <f t="shared" si="38"/>
        <v>43309.208333333328</v>
      </c>
      <c r="P641" s="21" t="str">
        <f>TEXT(CrowdfundingTable[[#This Row],[date_created]],"ddd")</f>
        <v>Sat</v>
      </c>
      <c r="Q641" s="21">
        <f>_xlfn.DAYS(CrowdfundingTable[[#This Row],[date_ended]],CrowdfundingTable[[#This Row],[date_created]])</f>
        <v>0</v>
      </c>
      <c r="R641" s="5" t="b">
        <v>0</v>
      </c>
      <c r="S641" s="5" t="b">
        <v>1</v>
      </c>
      <c r="T641" s="5" t="s">
        <v>53</v>
      </c>
      <c r="U641" s="5" t="s">
        <v>2032</v>
      </c>
      <c r="V641" s="5" t="s">
        <v>2045</v>
      </c>
      <c r="W641" s="5"/>
    </row>
    <row r="642" spans="1:23" ht="17" x14ac:dyDescent="0.2">
      <c r="A642" s="5">
        <v>640</v>
      </c>
      <c r="B642" s="5" t="s">
        <v>1322</v>
      </c>
      <c r="C642" s="6" t="s">
        <v>1323</v>
      </c>
      <c r="D642" s="94">
        <v>119800</v>
      </c>
      <c r="E642" s="94">
        <v>19769</v>
      </c>
      <c r="F642" s="7">
        <f t="shared" si="39"/>
        <v>0.16501669449081802</v>
      </c>
      <c r="G642" s="5" t="s">
        <v>14</v>
      </c>
      <c r="H642" s="5">
        <v>257</v>
      </c>
      <c r="I642" s="96">
        <f t="shared" ref="I642:I705" si="40">IF(H642&lt;&gt;0,E642/H642,0)</f>
        <v>76.922178988326849</v>
      </c>
      <c r="J642" s="5" t="s">
        <v>21</v>
      </c>
      <c r="K642" s="5" t="s">
        <v>22</v>
      </c>
      <c r="L642" s="5">
        <v>1453096800</v>
      </c>
      <c r="M642" s="5">
        <v>1453356000</v>
      </c>
      <c r="N642" s="8">
        <f t="shared" si="37"/>
        <v>42387.25</v>
      </c>
      <c r="O642" s="8">
        <f t="shared" si="38"/>
        <v>42390.25</v>
      </c>
      <c r="P642" s="21" t="str">
        <f>TEXT(CrowdfundingTable[[#This Row],[date_created]],"ddd")</f>
        <v>Mon</v>
      </c>
      <c r="Q642" s="21">
        <f>_xlfn.DAYS(CrowdfundingTable[[#This Row],[date_ended]],CrowdfundingTable[[#This Row],[date_created]])</f>
        <v>3</v>
      </c>
      <c r="R642" s="5" t="b">
        <v>0</v>
      </c>
      <c r="S642" s="5" t="b">
        <v>0</v>
      </c>
      <c r="T642" s="5" t="s">
        <v>33</v>
      </c>
      <c r="U642" s="5" t="s">
        <v>2040</v>
      </c>
      <c r="V642" s="5" t="s">
        <v>2055</v>
      </c>
      <c r="W642" s="5"/>
    </row>
    <row r="643" spans="1:23" ht="34" x14ac:dyDescent="0.2">
      <c r="A643" s="5">
        <v>641</v>
      </c>
      <c r="B643" s="5" t="s">
        <v>1324</v>
      </c>
      <c r="C643" s="6" t="s">
        <v>1325</v>
      </c>
      <c r="D643" s="94">
        <v>9400</v>
      </c>
      <c r="E643" s="94">
        <v>11277</v>
      </c>
      <c r="F643" s="7">
        <f t="shared" si="39"/>
        <v>1.1996808510638297</v>
      </c>
      <c r="G643" s="5" t="s">
        <v>20</v>
      </c>
      <c r="H643" s="5">
        <v>194</v>
      </c>
      <c r="I643" s="96">
        <f t="shared" si="40"/>
        <v>58.128865979381445</v>
      </c>
      <c r="J643" s="5" t="s">
        <v>98</v>
      </c>
      <c r="K643" s="5" t="s">
        <v>99</v>
      </c>
      <c r="L643" s="5">
        <v>1487570400</v>
      </c>
      <c r="M643" s="5">
        <v>1489986000</v>
      </c>
      <c r="N643" s="8">
        <f t="shared" ref="N643:N706" si="41">(((L643/60)/60)/24)+DATE(1970,1,1)</f>
        <v>42786.25</v>
      </c>
      <c r="O643" s="8">
        <f t="shared" ref="O643:O706" si="42">(((M643/60)/60)/24)+DATE(1970,1,1)</f>
        <v>42814.208333333328</v>
      </c>
      <c r="P643" s="21" t="str">
        <f>TEXT(CrowdfundingTable[[#This Row],[date_created]],"ddd")</f>
        <v>Mon</v>
      </c>
      <c r="Q643" s="21">
        <f>_xlfn.DAYS(CrowdfundingTable[[#This Row],[date_ended]],CrowdfundingTable[[#This Row],[date_created]])</f>
        <v>28</v>
      </c>
      <c r="R643" s="5" t="b">
        <v>0</v>
      </c>
      <c r="S643" s="5" t="b">
        <v>0</v>
      </c>
      <c r="T643" s="5" t="s">
        <v>33</v>
      </c>
      <c r="U643" s="5" t="s">
        <v>2040</v>
      </c>
      <c r="V643" s="5" t="s">
        <v>2055</v>
      </c>
      <c r="W643" s="5"/>
    </row>
    <row r="644" spans="1:23" ht="17" x14ac:dyDescent="0.2">
      <c r="A644" s="5">
        <v>642</v>
      </c>
      <c r="B644" s="5" t="s">
        <v>1326</v>
      </c>
      <c r="C644" s="6" t="s">
        <v>1327</v>
      </c>
      <c r="D644" s="94">
        <v>9200</v>
      </c>
      <c r="E644" s="94">
        <v>13382</v>
      </c>
      <c r="F644" s="7">
        <f t="shared" ref="F644:F707" si="43">E644/D644</f>
        <v>1.4545652173913044</v>
      </c>
      <c r="G644" s="5" t="s">
        <v>20</v>
      </c>
      <c r="H644" s="5">
        <v>129</v>
      </c>
      <c r="I644" s="96">
        <f t="shared" si="40"/>
        <v>103.73643410852713</v>
      </c>
      <c r="J644" s="5" t="s">
        <v>15</v>
      </c>
      <c r="K644" s="5" t="s">
        <v>16</v>
      </c>
      <c r="L644" s="5">
        <v>1545026400</v>
      </c>
      <c r="M644" s="5">
        <v>1545804000</v>
      </c>
      <c r="N644" s="8">
        <f t="shared" si="41"/>
        <v>43451.25</v>
      </c>
      <c r="O644" s="8">
        <f t="shared" si="42"/>
        <v>43460.25</v>
      </c>
      <c r="P644" s="21" t="str">
        <f>TEXT(CrowdfundingTable[[#This Row],[date_created]],"ddd")</f>
        <v>Mon</v>
      </c>
      <c r="Q644" s="21">
        <f>_xlfn.DAYS(CrowdfundingTable[[#This Row],[date_ended]],CrowdfundingTable[[#This Row],[date_created]])</f>
        <v>9</v>
      </c>
      <c r="R644" s="5" t="b">
        <v>0</v>
      </c>
      <c r="S644" s="5" t="b">
        <v>0</v>
      </c>
      <c r="T644" s="5" t="s">
        <v>65</v>
      </c>
      <c r="U644" s="5" t="s">
        <v>2039</v>
      </c>
      <c r="V644" s="5" t="s">
        <v>2063</v>
      </c>
      <c r="W644" s="5"/>
    </row>
    <row r="645" spans="1:23" ht="17" x14ac:dyDescent="0.2">
      <c r="A645" s="5">
        <v>643</v>
      </c>
      <c r="B645" s="5" t="s">
        <v>1328</v>
      </c>
      <c r="C645" s="6" t="s">
        <v>1329</v>
      </c>
      <c r="D645" s="94">
        <v>14900</v>
      </c>
      <c r="E645" s="94">
        <v>32986</v>
      </c>
      <c r="F645" s="7">
        <f t="shared" si="43"/>
        <v>2.2138255033557046</v>
      </c>
      <c r="G645" s="5" t="s">
        <v>20</v>
      </c>
      <c r="H645" s="5">
        <v>375</v>
      </c>
      <c r="I645" s="96">
        <f t="shared" si="40"/>
        <v>87.962666666666664</v>
      </c>
      <c r="J645" s="5" t="s">
        <v>21</v>
      </c>
      <c r="K645" s="5" t="s">
        <v>22</v>
      </c>
      <c r="L645" s="5">
        <v>1488348000</v>
      </c>
      <c r="M645" s="5">
        <v>1489899600</v>
      </c>
      <c r="N645" s="8">
        <f t="shared" si="41"/>
        <v>42795.25</v>
      </c>
      <c r="O645" s="8">
        <f t="shared" si="42"/>
        <v>42813.208333333328</v>
      </c>
      <c r="P645" s="21" t="str">
        <f>TEXT(CrowdfundingTable[[#This Row],[date_created]],"ddd")</f>
        <v>Wed</v>
      </c>
      <c r="Q645" s="21">
        <f>_xlfn.DAYS(CrowdfundingTable[[#This Row],[date_ended]],CrowdfundingTable[[#This Row],[date_created]])</f>
        <v>18</v>
      </c>
      <c r="R645" s="5" t="b">
        <v>0</v>
      </c>
      <c r="S645" s="5" t="b">
        <v>0</v>
      </c>
      <c r="T645" s="5" t="s">
        <v>33</v>
      </c>
      <c r="U645" s="5" t="s">
        <v>2040</v>
      </c>
      <c r="V645" s="5" t="s">
        <v>2055</v>
      </c>
      <c r="W645" s="5"/>
    </row>
    <row r="646" spans="1:23" ht="17" x14ac:dyDescent="0.2">
      <c r="A646" s="5">
        <v>644</v>
      </c>
      <c r="B646" s="5" t="s">
        <v>1330</v>
      </c>
      <c r="C646" s="6" t="s">
        <v>1331</v>
      </c>
      <c r="D646" s="94">
        <v>169400</v>
      </c>
      <c r="E646" s="94">
        <v>81984</v>
      </c>
      <c r="F646" s="7">
        <f t="shared" si="43"/>
        <v>0.48396694214876035</v>
      </c>
      <c r="G646" s="5" t="s">
        <v>14</v>
      </c>
      <c r="H646" s="5">
        <v>2928</v>
      </c>
      <c r="I646" s="96">
        <f t="shared" si="40"/>
        <v>28</v>
      </c>
      <c r="J646" s="5" t="s">
        <v>15</v>
      </c>
      <c r="K646" s="5" t="s">
        <v>16</v>
      </c>
      <c r="L646" s="5">
        <v>1545112800</v>
      </c>
      <c r="M646" s="5">
        <v>1546495200</v>
      </c>
      <c r="N646" s="8">
        <f t="shared" si="41"/>
        <v>43452.25</v>
      </c>
      <c r="O646" s="8">
        <f t="shared" si="42"/>
        <v>43468.25</v>
      </c>
      <c r="P646" s="21" t="str">
        <f>TEXT(CrowdfundingTable[[#This Row],[date_created]],"ddd")</f>
        <v>Tue</v>
      </c>
      <c r="Q646" s="21">
        <f>_xlfn.DAYS(CrowdfundingTable[[#This Row],[date_ended]],CrowdfundingTable[[#This Row],[date_created]])</f>
        <v>16</v>
      </c>
      <c r="R646" s="5" t="b">
        <v>0</v>
      </c>
      <c r="S646" s="5" t="b">
        <v>0</v>
      </c>
      <c r="T646" s="5" t="s">
        <v>33</v>
      </c>
      <c r="U646" s="5" t="s">
        <v>2040</v>
      </c>
      <c r="V646" s="5" t="s">
        <v>2055</v>
      </c>
      <c r="W646" s="5"/>
    </row>
    <row r="647" spans="1:23" ht="17" x14ac:dyDescent="0.2">
      <c r="A647" s="5">
        <v>645</v>
      </c>
      <c r="B647" s="5" t="s">
        <v>1332</v>
      </c>
      <c r="C647" s="6" t="s">
        <v>1333</v>
      </c>
      <c r="D647" s="94">
        <v>192100</v>
      </c>
      <c r="E647" s="94">
        <v>178483</v>
      </c>
      <c r="F647" s="7">
        <f t="shared" si="43"/>
        <v>0.92911504424778757</v>
      </c>
      <c r="G647" s="5" t="s">
        <v>14</v>
      </c>
      <c r="H647" s="5">
        <v>4697</v>
      </c>
      <c r="I647" s="96">
        <f t="shared" si="40"/>
        <v>37.999361294443261</v>
      </c>
      <c r="J647" s="5" t="s">
        <v>21</v>
      </c>
      <c r="K647" s="5" t="s">
        <v>22</v>
      </c>
      <c r="L647" s="5">
        <v>1537938000</v>
      </c>
      <c r="M647" s="5">
        <v>1539752400</v>
      </c>
      <c r="N647" s="8">
        <f t="shared" si="41"/>
        <v>43369.208333333328</v>
      </c>
      <c r="O647" s="8">
        <f t="shared" si="42"/>
        <v>43390.208333333328</v>
      </c>
      <c r="P647" s="21" t="str">
        <f>TEXT(CrowdfundingTable[[#This Row],[date_created]],"ddd")</f>
        <v>Wed</v>
      </c>
      <c r="Q647" s="21">
        <f>_xlfn.DAYS(CrowdfundingTable[[#This Row],[date_ended]],CrowdfundingTable[[#This Row],[date_created]])</f>
        <v>21</v>
      </c>
      <c r="R647" s="5" t="b">
        <v>0</v>
      </c>
      <c r="S647" s="5" t="b">
        <v>1</v>
      </c>
      <c r="T647" s="5" t="s">
        <v>23</v>
      </c>
      <c r="U647" s="5" t="s">
        <v>2036</v>
      </c>
      <c r="V647" s="5" t="s">
        <v>2057</v>
      </c>
      <c r="W647" s="5"/>
    </row>
    <row r="648" spans="1:23" ht="17" x14ac:dyDescent="0.2">
      <c r="A648" s="5">
        <v>646</v>
      </c>
      <c r="B648" s="5" t="s">
        <v>1334</v>
      </c>
      <c r="C648" s="6" t="s">
        <v>1335</v>
      </c>
      <c r="D648" s="94">
        <v>98700</v>
      </c>
      <c r="E648" s="94">
        <v>87448</v>
      </c>
      <c r="F648" s="7">
        <f t="shared" si="43"/>
        <v>0.88599797365754818</v>
      </c>
      <c r="G648" s="5" t="s">
        <v>14</v>
      </c>
      <c r="H648" s="5">
        <v>2915</v>
      </c>
      <c r="I648" s="96">
        <f t="shared" si="40"/>
        <v>29.999313893653515</v>
      </c>
      <c r="J648" s="5" t="s">
        <v>21</v>
      </c>
      <c r="K648" s="5" t="s">
        <v>22</v>
      </c>
      <c r="L648" s="5">
        <v>1363150800</v>
      </c>
      <c r="M648" s="5">
        <v>1364101200</v>
      </c>
      <c r="N648" s="8">
        <f t="shared" si="41"/>
        <v>41346.208333333336</v>
      </c>
      <c r="O648" s="8">
        <f t="shared" si="42"/>
        <v>41357.208333333336</v>
      </c>
      <c r="P648" s="21" t="str">
        <f>TEXT(CrowdfundingTable[[#This Row],[date_created]],"ddd")</f>
        <v>Wed</v>
      </c>
      <c r="Q648" s="21">
        <f>_xlfn.DAYS(CrowdfundingTable[[#This Row],[date_ended]],CrowdfundingTable[[#This Row],[date_created]])</f>
        <v>11</v>
      </c>
      <c r="R648" s="5" t="b">
        <v>0</v>
      </c>
      <c r="S648" s="5" t="b">
        <v>0</v>
      </c>
      <c r="T648" s="5" t="s">
        <v>89</v>
      </c>
      <c r="U648" s="5" t="s">
        <v>2034</v>
      </c>
      <c r="V648" s="5" t="s">
        <v>2062</v>
      </c>
      <c r="W648" s="5"/>
    </row>
    <row r="649" spans="1:23" ht="17" x14ac:dyDescent="0.2">
      <c r="A649" s="5">
        <v>647</v>
      </c>
      <c r="B649" s="5" t="s">
        <v>1336</v>
      </c>
      <c r="C649" s="6" t="s">
        <v>1337</v>
      </c>
      <c r="D649" s="94">
        <v>4500</v>
      </c>
      <c r="E649" s="94">
        <v>1863</v>
      </c>
      <c r="F649" s="7">
        <f t="shared" si="43"/>
        <v>0.41399999999999998</v>
      </c>
      <c r="G649" s="5" t="s">
        <v>14</v>
      </c>
      <c r="H649" s="5">
        <v>18</v>
      </c>
      <c r="I649" s="96">
        <f t="shared" si="40"/>
        <v>103.5</v>
      </c>
      <c r="J649" s="5" t="s">
        <v>21</v>
      </c>
      <c r="K649" s="5" t="s">
        <v>22</v>
      </c>
      <c r="L649" s="5">
        <v>1523250000</v>
      </c>
      <c r="M649" s="5">
        <v>1525323600</v>
      </c>
      <c r="N649" s="8">
        <f t="shared" si="41"/>
        <v>43199.208333333328</v>
      </c>
      <c r="O649" s="8">
        <f t="shared" si="42"/>
        <v>43223.208333333328</v>
      </c>
      <c r="P649" s="21" t="str">
        <f>TEXT(CrowdfundingTable[[#This Row],[date_created]],"ddd")</f>
        <v>Mon</v>
      </c>
      <c r="Q649" s="21">
        <f>_xlfn.DAYS(CrowdfundingTable[[#This Row],[date_ended]],CrowdfundingTable[[#This Row],[date_created]])</f>
        <v>24</v>
      </c>
      <c r="R649" s="5" t="b">
        <v>0</v>
      </c>
      <c r="S649" s="5" t="b">
        <v>0</v>
      </c>
      <c r="T649" s="5" t="s">
        <v>206</v>
      </c>
      <c r="U649" s="5" t="s">
        <v>2038</v>
      </c>
      <c r="V649" s="5" t="s">
        <v>2061</v>
      </c>
      <c r="W649" s="5"/>
    </row>
    <row r="650" spans="1:23" ht="17" x14ac:dyDescent="0.2">
      <c r="A650" s="5">
        <v>648</v>
      </c>
      <c r="B650" s="5" t="s">
        <v>1338</v>
      </c>
      <c r="C650" s="6" t="s">
        <v>1339</v>
      </c>
      <c r="D650" s="94">
        <v>98600</v>
      </c>
      <c r="E650" s="94">
        <v>62174</v>
      </c>
      <c r="F650" s="7">
        <f t="shared" si="43"/>
        <v>0.63056795131845844</v>
      </c>
      <c r="G650" s="5" t="s">
        <v>74</v>
      </c>
      <c r="H650" s="5">
        <v>723</v>
      </c>
      <c r="I650" s="96">
        <f t="shared" si="40"/>
        <v>85.994467496542185</v>
      </c>
      <c r="J650" s="5" t="s">
        <v>21</v>
      </c>
      <c r="K650" s="5" t="s">
        <v>22</v>
      </c>
      <c r="L650" s="5">
        <v>1499317200</v>
      </c>
      <c r="M650" s="5">
        <v>1500872400</v>
      </c>
      <c r="N650" s="8">
        <f t="shared" si="41"/>
        <v>42922.208333333328</v>
      </c>
      <c r="O650" s="8">
        <f t="shared" si="42"/>
        <v>42940.208333333328</v>
      </c>
      <c r="P650" s="21" t="str">
        <f>TEXT(CrowdfundingTable[[#This Row],[date_created]],"ddd")</f>
        <v>Thu</v>
      </c>
      <c r="Q650" s="21">
        <f>_xlfn.DAYS(CrowdfundingTable[[#This Row],[date_ended]],CrowdfundingTable[[#This Row],[date_created]])</f>
        <v>18</v>
      </c>
      <c r="R650" s="5" t="b">
        <v>1</v>
      </c>
      <c r="S650" s="5" t="b">
        <v>0</v>
      </c>
      <c r="T650" s="5" t="s">
        <v>17</v>
      </c>
      <c r="U650" s="5" t="s">
        <v>2033</v>
      </c>
      <c r="V650" s="5" t="s">
        <v>2048</v>
      </c>
      <c r="W650" s="5"/>
    </row>
    <row r="651" spans="1:23" ht="17" x14ac:dyDescent="0.2">
      <c r="A651" s="5">
        <v>649</v>
      </c>
      <c r="B651" s="5" t="s">
        <v>1340</v>
      </c>
      <c r="C651" s="6" t="s">
        <v>1341</v>
      </c>
      <c r="D651" s="94">
        <v>121700</v>
      </c>
      <c r="E651" s="94">
        <v>59003</v>
      </c>
      <c r="F651" s="7">
        <f t="shared" si="43"/>
        <v>0.48482333607230893</v>
      </c>
      <c r="G651" s="5" t="s">
        <v>14</v>
      </c>
      <c r="H651" s="5">
        <v>602</v>
      </c>
      <c r="I651" s="96">
        <f t="shared" si="40"/>
        <v>98.011627906976742</v>
      </c>
      <c r="J651" s="5" t="s">
        <v>98</v>
      </c>
      <c r="K651" s="5" t="s">
        <v>99</v>
      </c>
      <c r="L651" s="5">
        <v>1287550800</v>
      </c>
      <c r="M651" s="5">
        <v>1288501200</v>
      </c>
      <c r="N651" s="8">
        <f t="shared" si="41"/>
        <v>40471.208333333336</v>
      </c>
      <c r="O651" s="8">
        <f t="shared" si="42"/>
        <v>40482.208333333336</v>
      </c>
      <c r="P651" s="21" t="str">
        <f>TEXT(CrowdfundingTable[[#This Row],[date_created]],"ddd")</f>
        <v>Wed</v>
      </c>
      <c r="Q651" s="21">
        <f>_xlfn.DAYS(CrowdfundingTable[[#This Row],[date_ended]],CrowdfundingTable[[#This Row],[date_created]])</f>
        <v>11</v>
      </c>
      <c r="R651" s="5" t="b">
        <v>1</v>
      </c>
      <c r="S651" s="5" t="b">
        <v>1</v>
      </c>
      <c r="T651" s="5" t="s">
        <v>33</v>
      </c>
      <c r="U651" s="5" t="s">
        <v>2040</v>
      </c>
      <c r="V651" s="5" t="s">
        <v>2055</v>
      </c>
      <c r="W651" s="5"/>
    </row>
    <row r="652" spans="1:23" ht="17" x14ac:dyDescent="0.2">
      <c r="A652" s="5">
        <v>650</v>
      </c>
      <c r="B652" s="5" t="s">
        <v>1342</v>
      </c>
      <c r="C652" s="6" t="s">
        <v>1343</v>
      </c>
      <c r="D652" s="94">
        <v>100</v>
      </c>
      <c r="E652" s="94">
        <v>2</v>
      </c>
      <c r="F652" s="7">
        <f t="shared" si="43"/>
        <v>0.02</v>
      </c>
      <c r="G652" s="5" t="s">
        <v>14</v>
      </c>
      <c r="H652" s="5">
        <v>1</v>
      </c>
      <c r="I652" s="96">
        <f t="shared" si="40"/>
        <v>2</v>
      </c>
      <c r="J652" s="5" t="s">
        <v>21</v>
      </c>
      <c r="K652" s="5" t="s">
        <v>22</v>
      </c>
      <c r="L652" s="5">
        <v>1404795600</v>
      </c>
      <c r="M652" s="5">
        <v>1407128400</v>
      </c>
      <c r="N652" s="8">
        <f t="shared" si="41"/>
        <v>41828.208333333336</v>
      </c>
      <c r="O652" s="8">
        <f t="shared" si="42"/>
        <v>41855.208333333336</v>
      </c>
      <c r="P652" s="21" t="str">
        <f>TEXT(CrowdfundingTable[[#This Row],[date_created]],"ddd")</f>
        <v>Tue</v>
      </c>
      <c r="Q652" s="21">
        <f>_xlfn.DAYS(CrowdfundingTable[[#This Row],[date_ended]],CrowdfundingTable[[#This Row],[date_created]])</f>
        <v>27</v>
      </c>
      <c r="R652" s="5" t="b">
        <v>0</v>
      </c>
      <c r="S652" s="5" t="b">
        <v>0</v>
      </c>
      <c r="T652" s="5" t="s">
        <v>159</v>
      </c>
      <c r="U652" s="5" t="s">
        <v>2036</v>
      </c>
      <c r="V652" s="5" t="s">
        <v>2050</v>
      </c>
      <c r="W652" s="5"/>
    </row>
    <row r="653" spans="1:23" ht="17" x14ac:dyDescent="0.2">
      <c r="A653" s="5">
        <v>651</v>
      </c>
      <c r="B653" s="5" t="s">
        <v>1344</v>
      </c>
      <c r="C653" s="6" t="s">
        <v>1345</v>
      </c>
      <c r="D653" s="94">
        <v>196700</v>
      </c>
      <c r="E653" s="94">
        <v>174039</v>
      </c>
      <c r="F653" s="7">
        <f t="shared" si="43"/>
        <v>0.88479410269445857</v>
      </c>
      <c r="G653" s="5" t="s">
        <v>14</v>
      </c>
      <c r="H653" s="5">
        <v>3868</v>
      </c>
      <c r="I653" s="96">
        <f t="shared" si="40"/>
        <v>44.994570837642193</v>
      </c>
      <c r="J653" s="5" t="s">
        <v>107</v>
      </c>
      <c r="K653" s="5" t="s">
        <v>108</v>
      </c>
      <c r="L653" s="5">
        <v>1393048800</v>
      </c>
      <c r="M653" s="5">
        <v>1394344800</v>
      </c>
      <c r="N653" s="8">
        <f t="shared" si="41"/>
        <v>41692.25</v>
      </c>
      <c r="O653" s="8">
        <f t="shared" si="42"/>
        <v>41707.25</v>
      </c>
      <c r="P653" s="21" t="str">
        <f>TEXT(CrowdfundingTable[[#This Row],[date_created]],"ddd")</f>
        <v>Sat</v>
      </c>
      <c r="Q653" s="21">
        <f>_xlfn.DAYS(CrowdfundingTable[[#This Row],[date_ended]],CrowdfundingTable[[#This Row],[date_created]])</f>
        <v>15</v>
      </c>
      <c r="R653" s="5" t="b">
        <v>0</v>
      </c>
      <c r="S653" s="5" t="b">
        <v>0</v>
      </c>
      <c r="T653" s="5" t="s">
        <v>100</v>
      </c>
      <c r="U653" s="5" t="s">
        <v>2032</v>
      </c>
      <c r="V653" s="5" t="s">
        <v>2059</v>
      </c>
      <c r="W653" s="5"/>
    </row>
    <row r="654" spans="1:23" ht="17" x14ac:dyDescent="0.2">
      <c r="A654" s="5">
        <v>652</v>
      </c>
      <c r="B654" s="5" t="s">
        <v>1346</v>
      </c>
      <c r="C654" s="6" t="s">
        <v>1347</v>
      </c>
      <c r="D654" s="94">
        <v>10000</v>
      </c>
      <c r="E654" s="94">
        <v>12684</v>
      </c>
      <c r="F654" s="7">
        <f t="shared" si="43"/>
        <v>1.2684</v>
      </c>
      <c r="G654" s="5" t="s">
        <v>20</v>
      </c>
      <c r="H654" s="5">
        <v>409</v>
      </c>
      <c r="I654" s="96">
        <f t="shared" si="40"/>
        <v>31.012224938875306</v>
      </c>
      <c r="J654" s="5" t="s">
        <v>21</v>
      </c>
      <c r="K654" s="5" t="s">
        <v>22</v>
      </c>
      <c r="L654" s="5">
        <v>1470373200</v>
      </c>
      <c r="M654" s="5">
        <v>1474088400</v>
      </c>
      <c r="N654" s="8">
        <f t="shared" si="41"/>
        <v>42587.208333333328</v>
      </c>
      <c r="O654" s="8">
        <f t="shared" si="42"/>
        <v>42630.208333333328</v>
      </c>
      <c r="P654" s="21" t="str">
        <f>TEXT(CrowdfundingTable[[#This Row],[date_created]],"ddd")</f>
        <v>Fri</v>
      </c>
      <c r="Q654" s="21">
        <f>_xlfn.DAYS(CrowdfundingTable[[#This Row],[date_ended]],CrowdfundingTable[[#This Row],[date_created]])</f>
        <v>43</v>
      </c>
      <c r="R654" s="5" t="b">
        <v>0</v>
      </c>
      <c r="S654" s="5" t="b">
        <v>0</v>
      </c>
      <c r="T654" s="5" t="s">
        <v>28</v>
      </c>
      <c r="U654" s="5" t="s">
        <v>2039</v>
      </c>
      <c r="V654" s="5" t="s">
        <v>2064</v>
      </c>
      <c r="W654" s="5"/>
    </row>
    <row r="655" spans="1:23" ht="17" x14ac:dyDescent="0.2">
      <c r="A655" s="5">
        <v>653</v>
      </c>
      <c r="B655" s="5" t="s">
        <v>1348</v>
      </c>
      <c r="C655" s="6" t="s">
        <v>1349</v>
      </c>
      <c r="D655" s="94">
        <v>600</v>
      </c>
      <c r="E655" s="94">
        <v>14033</v>
      </c>
      <c r="F655" s="7">
        <f t="shared" si="43"/>
        <v>23.388333333333332</v>
      </c>
      <c r="G655" s="5" t="s">
        <v>20</v>
      </c>
      <c r="H655" s="5">
        <v>234</v>
      </c>
      <c r="I655" s="96">
        <f t="shared" si="40"/>
        <v>59.970085470085472</v>
      </c>
      <c r="J655" s="5" t="s">
        <v>21</v>
      </c>
      <c r="K655" s="5" t="s">
        <v>22</v>
      </c>
      <c r="L655" s="5">
        <v>1460091600</v>
      </c>
      <c r="M655" s="5">
        <v>1460264400</v>
      </c>
      <c r="N655" s="8">
        <f t="shared" si="41"/>
        <v>42468.208333333328</v>
      </c>
      <c r="O655" s="8">
        <f t="shared" si="42"/>
        <v>42470.208333333328</v>
      </c>
      <c r="P655" s="21" t="str">
        <f>TEXT(CrowdfundingTable[[#This Row],[date_created]],"ddd")</f>
        <v>Fri</v>
      </c>
      <c r="Q655" s="21">
        <f>_xlfn.DAYS(CrowdfundingTable[[#This Row],[date_ended]],CrowdfundingTable[[#This Row],[date_created]])</f>
        <v>2</v>
      </c>
      <c r="R655" s="5" t="b">
        <v>0</v>
      </c>
      <c r="S655" s="5" t="b">
        <v>0</v>
      </c>
      <c r="T655" s="5" t="s">
        <v>28</v>
      </c>
      <c r="U655" s="5" t="s">
        <v>2039</v>
      </c>
      <c r="V655" s="5" t="s">
        <v>2064</v>
      </c>
      <c r="W655" s="5"/>
    </row>
    <row r="656" spans="1:23" ht="17" x14ac:dyDescent="0.2">
      <c r="A656" s="5">
        <v>654</v>
      </c>
      <c r="B656" s="5" t="s">
        <v>1350</v>
      </c>
      <c r="C656" s="6" t="s">
        <v>1351</v>
      </c>
      <c r="D656" s="94">
        <v>35000</v>
      </c>
      <c r="E656" s="94">
        <v>177936</v>
      </c>
      <c r="F656" s="7">
        <f t="shared" si="43"/>
        <v>5.0838857142857146</v>
      </c>
      <c r="G656" s="5" t="s">
        <v>20</v>
      </c>
      <c r="H656" s="5">
        <v>3016</v>
      </c>
      <c r="I656" s="96">
        <f t="shared" si="40"/>
        <v>58.9973474801061</v>
      </c>
      <c r="J656" s="5" t="s">
        <v>21</v>
      </c>
      <c r="K656" s="5" t="s">
        <v>22</v>
      </c>
      <c r="L656" s="5">
        <v>1440392400</v>
      </c>
      <c r="M656" s="5">
        <v>1440824400</v>
      </c>
      <c r="N656" s="8">
        <f t="shared" si="41"/>
        <v>42240.208333333328</v>
      </c>
      <c r="O656" s="8">
        <f t="shared" si="42"/>
        <v>42245.208333333328</v>
      </c>
      <c r="P656" s="21" t="str">
        <f>TEXT(CrowdfundingTable[[#This Row],[date_created]],"ddd")</f>
        <v>Mon</v>
      </c>
      <c r="Q656" s="21">
        <f>_xlfn.DAYS(CrowdfundingTable[[#This Row],[date_ended]],CrowdfundingTable[[#This Row],[date_created]])</f>
        <v>5</v>
      </c>
      <c r="R656" s="5" t="b">
        <v>0</v>
      </c>
      <c r="S656" s="5" t="b">
        <v>0</v>
      </c>
      <c r="T656" s="5" t="s">
        <v>148</v>
      </c>
      <c r="U656" s="5" t="s">
        <v>2036</v>
      </c>
      <c r="V656" s="5" t="s">
        <v>2051</v>
      </c>
      <c r="W656" s="5"/>
    </row>
    <row r="657" spans="1:23" ht="17" x14ac:dyDescent="0.2">
      <c r="A657" s="5">
        <v>655</v>
      </c>
      <c r="B657" s="5" t="s">
        <v>1352</v>
      </c>
      <c r="C657" s="6" t="s">
        <v>1353</v>
      </c>
      <c r="D657" s="94">
        <v>6900</v>
      </c>
      <c r="E657" s="94">
        <v>13212</v>
      </c>
      <c r="F657" s="7">
        <f t="shared" si="43"/>
        <v>1.9147826086956521</v>
      </c>
      <c r="G657" s="5" t="s">
        <v>20</v>
      </c>
      <c r="H657" s="5">
        <v>264</v>
      </c>
      <c r="I657" s="96">
        <f t="shared" si="40"/>
        <v>50.045454545454547</v>
      </c>
      <c r="J657" s="5" t="s">
        <v>21</v>
      </c>
      <c r="K657" s="5" t="s">
        <v>22</v>
      </c>
      <c r="L657" s="5">
        <v>1488434400</v>
      </c>
      <c r="M657" s="5">
        <v>1489554000</v>
      </c>
      <c r="N657" s="8">
        <f t="shared" si="41"/>
        <v>42796.25</v>
      </c>
      <c r="O657" s="8">
        <f t="shared" si="42"/>
        <v>42809.208333333328</v>
      </c>
      <c r="P657" s="21" t="str">
        <f>TEXT(CrowdfundingTable[[#This Row],[date_created]],"ddd")</f>
        <v>Thu</v>
      </c>
      <c r="Q657" s="21">
        <f>_xlfn.DAYS(CrowdfundingTable[[#This Row],[date_ended]],CrowdfundingTable[[#This Row],[date_created]])</f>
        <v>13</v>
      </c>
      <c r="R657" s="5" t="b">
        <v>1</v>
      </c>
      <c r="S657" s="5" t="b">
        <v>0</v>
      </c>
      <c r="T657" s="5" t="s">
        <v>122</v>
      </c>
      <c r="U657" s="5" t="s">
        <v>2037</v>
      </c>
      <c r="V657" s="5" t="s">
        <v>2054</v>
      </c>
      <c r="W657" s="5"/>
    </row>
    <row r="658" spans="1:23" ht="34" x14ac:dyDescent="0.2">
      <c r="A658" s="5">
        <v>656</v>
      </c>
      <c r="B658" s="5" t="s">
        <v>1354</v>
      </c>
      <c r="C658" s="6" t="s">
        <v>1355</v>
      </c>
      <c r="D658" s="94">
        <v>118400</v>
      </c>
      <c r="E658" s="94">
        <v>49879</v>
      </c>
      <c r="F658" s="7">
        <f t="shared" si="43"/>
        <v>0.42127533783783783</v>
      </c>
      <c r="G658" s="5" t="s">
        <v>14</v>
      </c>
      <c r="H658" s="5">
        <v>504</v>
      </c>
      <c r="I658" s="96">
        <f t="shared" si="40"/>
        <v>98.966269841269835</v>
      </c>
      <c r="J658" s="5" t="s">
        <v>26</v>
      </c>
      <c r="K658" s="5" t="s">
        <v>27</v>
      </c>
      <c r="L658" s="5">
        <v>1514440800</v>
      </c>
      <c r="M658" s="5">
        <v>1514872800</v>
      </c>
      <c r="N658" s="8">
        <f t="shared" si="41"/>
        <v>43097.25</v>
      </c>
      <c r="O658" s="8">
        <f t="shared" si="42"/>
        <v>43102.25</v>
      </c>
      <c r="P658" s="21" t="str">
        <f>TEXT(CrowdfundingTable[[#This Row],[date_created]],"ddd")</f>
        <v>Thu</v>
      </c>
      <c r="Q658" s="21">
        <f>_xlfn.DAYS(CrowdfundingTable[[#This Row],[date_ended]],CrowdfundingTable[[#This Row],[date_created]])</f>
        <v>5</v>
      </c>
      <c r="R658" s="5" t="b">
        <v>0</v>
      </c>
      <c r="S658" s="5" t="b">
        <v>0</v>
      </c>
      <c r="T658" s="5" t="s">
        <v>17</v>
      </c>
      <c r="U658" s="5" t="s">
        <v>2033</v>
      </c>
      <c r="V658" s="5" t="s">
        <v>2048</v>
      </c>
      <c r="W658" s="5"/>
    </row>
    <row r="659" spans="1:23" ht="17" x14ac:dyDescent="0.2">
      <c r="A659" s="5">
        <v>657</v>
      </c>
      <c r="B659" s="5" t="s">
        <v>1356</v>
      </c>
      <c r="C659" s="6" t="s">
        <v>1357</v>
      </c>
      <c r="D659" s="94">
        <v>10000</v>
      </c>
      <c r="E659" s="94">
        <v>824</v>
      </c>
      <c r="F659" s="7">
        <f t="shared" si="43"/>
        <v>8.2400000000000001E-2</v>
      </c>
      <c r="G659" s="5" t="s">
        <v>14</v>
      </c>
      <c r="H659" s="5">
        <v>14</v>
      </c>
      <c r="I659" s="96">
        <f t="shared" si="40"/>
        <v>58.857142857142854</v>
      </c>
      <c r="J659" s="5" t="s">
        <v>21</v>
      </c>
      <c r="K659" s="5" t="s">
        <v>22</v>
      </c>
      <c r="L659" s="5">
        <v>1514354400</v>
      </c>
      <c r="M659" s="5">
        <v>1515736800</v>
      </c>
      <c r="N659" s="8">
        <f t="shared" si="41"/>
        <v>43096.25</v>
      </c>
      <c r="O659" s="8">
        <f t="shared" si="42"/>
        <v>43112.25</v>
      </c>
      <c r="P659" s="21" t="str">
        <f>TEXT(CrowdfundingTable[[#This Row],[date_created]],"ddd")</f>
        <v>Wed</v>
      </c>
      <c r="Q659" s="21">
        <f>_xlfn.DAYS(CrowdfundingTable[[#This Row],[date_ended]],CrowdfundingTable[[#This Row],[date_created]])</f>
        <v>16</v>
      </c>
      <c r="R659" s="5" t="b">
        <v>0</v>
      </c>
      <c r="S659" s="5" t="b">
        <v>0</v>
      </c>
      <c r="T659" s="5" t="s">
        <v>474</v>
      </c>
      <c r="U659" s="5" t="s">
        <v>2032</v>
      </c>
      <c r="V659" s="5" t="s">
        <v>2058</v>
      </c>
      <c r="W659" s="5"/>
    </row>
    <row r="660" spans="1:23" ht="17" x14ac:dyDescent="0.2">
      <c r="A660" s="5">
        <v>658</v>
      </c>
      <c r="B660" s="5" t="s">
        <v>1358</v>
      </c>
      <c r="C660" s="6" t="s">
        <v>1359</v>
      </c>
      <c r="D660" s="94">
        <v>52600</v>
      </c>
      <c r="E660" s="94">
        <v>31594</v>
      </c>
      <c r="F660" s="7">
        <f t="shared" si="43"/>
        <v>0.60064638783269964</v>
      </c>
      <c r="G660" s="5" t="s">
        <v>74</v>
      </c>
      <c r="H660" s="5">
        <v>390</v>
      </c>
      <c r="I660" s="96">
        <f t="shared" si="40"/>
        <v>81.010256410256417</v>
      </c>
      <c r="J660" s="5" t="s">
        <v>21</v>
      </c>
      <c r="K660" s="5" t="s">
        <v>22</v>
      </c>
      <c r="L660" s="5">
        <v>1440910800</v>
      </c>
      <c r="M660" s="5">
        <v>1442898000</v>
      </c>
      <c r="N660" s="8">
        <f t="shared" si="41"/>
        <v>42246.208333333328</v>
      </c>
      <c r="O660" s="8">
        <f t="shared" si="42"/>
        <v>42269.208333333328</v>
      </c>
      <c r="P660" s="21" t="str">
        <f>TEXT(CrowdfundingTable[[#This Row],[date_created]],"ddd")</f>
        <v>Sun</v>
      </c>
      <c r="Q660" s="21">
        <f>_xlfn.DAYS(CrowdfundingTable[[#This Row],[date_ended]],CrowdfundingTable[[#This Row],[date_created]])</f>
        <v>23</v>
      </c>
      <c r="R660" s="5" t="b">
        <v>0</v>
      </c>
      <c r="S660" s="5" t="b">
        <v>0</v>
      </c>
      <c r="T660" s="5" t="s">
        <v>23</v>
      </c>
      <c r="U660" s="5" t="s">
        <v>2036</v>
      </c>
      <c r="V660" s="5" t="s">
        <v>2057</v>
      </c>
      <c r="W660" s="5"/>
    </row>
    <row r="661" spans="1:23" ht="17" x14ac:dyDescent="0.2">
      <c r="A661" s="5">
        <v>659</v>
      </c>
      <c r="B661" s="5" t="s">
        <v>1360</v>
      </c>
      <c r="C661" s="6" t="s">
        <v>1361</v>
      </c>
      <c r="D661" s="94">
        <v>120700</v>
      </c>
      <c r="E661" s="94">
        <v>57010</v>
      </c>
      <c r="F661" s="7">
        <f t="shared" si="43"/>
        <v>0.47232808616404309</v>
      </c>
      <c r="G661" s="5" t="s">
        <v>14</v>
      </c>
      <c r="H661" s="5">
        <v>750</v>
      </c>
      <c r="I661" s="96">
        <f t="shared" si="40"/>
        <v>76.013333333333335</v>
      </c>
      <c r="J661" s="5" t="s">
        <v>40</v>
      </c>
      <c r="K661" s="5" t="s">
        <v>41</v>
      </c>
      <c r="L661" s="5">
        <v>1296108000</v>
      </c>
      <c r="M661" s="5">
        <v>1296194400</v>
      </c>
      <c r="N661" s="8">
        <f t="shared" si="41"/>
        <v>40570.25</v>
      </c>
      <c r="O661" s="8">
        <f t="shared" si="42"/>
        <v>40571.25</v>
      </c>
      <c r="P661" s="21" t="str">
        <f>TEXT(CrowdfundingTable[[#This Row],[date_created]],"ddd")</f>
        <v>Thu</v>
      </c>
      <c r="Q661" s="21">
        <f>_xlfn.DAYS(CrowdfundingTable[[#This Row],[date_ended]],CrowdfundingTable[[#This Row],[date_created]])</f>
        <v>1</v>
      </c>
      <c r="R661" s="5" t="b">
        <v>0</v>
      </c>
      <c r="S661" s="5" t="b">
        <v>0</v>
      </c>
      <c r="T661" s="5" t="s">
        <v>42</v>
      </c>
      <c r="U661" s="5" t="s">
        <v>2032</v>
      </c>
      <c r="V661" s="5" t="s">
        <v>2044</v>
      </c>
      <c r="W661" s="5"/>
    </row>
    <row r="662" spans="1:23" ht="17" x14ac:dyDescent="0.2">
      <c r="A662" s="5">
        <v>660</v>
      </c>
      <c r="B662" s="5" t="s">
        <v>1362</v>
      </c>
      <c r="C662" s="6" t="s">
        <v>1363</v>
      </c>
      <c r="D662" s="94">
        <v>9100</v>
      </c>
      <c r="E662" s="94">
        <v>7438</v>
      </c>
      <c r="F662" s="7">
        <f t="shared" si="43"/>
        <v>0.81736263736263737</v>
      </c>
      <c r="G662" s="5" t="s">
        <v>14</v>
      </c>
      <c r="H662" s="5">
        <v>77</v>
      </c>
      <c r="I662" s="96">
        <f t="shared" si="40"/>
        <v>96.597402597402592</v>
      </c>
      <c r="J662" s="5" t="s">
        <v>21</v>
      </c>
      <c r="K662" s="5" t="s">
        <v>22</v>
      </c>
      <c r="L662" s="5">
        <v>1440133200</v>
      </c>
      <c r="M662" s="5">
        <v>1440910800</v>
      </c>
      <c r="N662" s="8">
        <f t="shared" si="41"/>
        <v>42237.208333333328</v>
      </c>
      <c r="O662" s="8">
        <f t="shared" si="42"/>
        <v>42246.208333333328</v>
      </c>
      <c r="P662" s="21" t="str">
        <f>TEXT(CrowdfundingTable[[#This Row],[date_created]],"ddd")</f>
        <v>Fri</v>
      </c>
      <c r="Q662" s="21">
        <f>_xlfn.DAYS(CrowdfundingTable[[#This Row],[date_ended]],CrowdfundingTable[[#This Row],[date_created]])</f>
        <v>9</v>
      </c>
      <c r="R662" s="5" t="b">
        <v>1</v>
      </c>
      <c r="S662" s="5" t="b">
        <v>0</v>
      </c>
      <c r="T662" s="5" t="s">
        <v>33</v>
      </c>
      <c r="U662" s="5" t="s">
        <v>2040</v>
      </c>
      <c r="V662" s="5" t="s">
        <v>2055</v>
      </c>
      <c r="W662" s="5"/>
    </row>
    <row r="663" spans="1:23" ht="17" x14ac:dyDescent="0.2">
      <c r="A663" s="5">
        <v>661</v>
      </c>
      <c r="B663" s="5" t="s">
        <v>1364</v>
      </c>
      <c r="C663" s="6" t="s">
        <v>1365</v>
      </c>
      <c r="D663" s="94">
        <v>106800</v>
      </c>
      <c r="E663" s="94">
        <v>57872</v>
      </c>
      <c r="F663" s="7">
        <f t="shared" si="43"/>
        <v>0.54187265917603</v>
      </c>
      <c r="G663" s="5" t="s">
        <v>14</v>
      </c>
      <c r="H663" s="5">
        <v>752</v>
      </c>
      <c r="I663" s="96">
        <f t="shared" si="40"/>
        <v>76.957446808510639</v>
      </c>
      <c r="J663" s="5" t="s">
        <v>36</v>
      </c>
      <c r="K663" s="5" t="s">
        <v>37</v>
      </c>
      <c r="L663" s="5">
        <v>1332910800</v>
      </c>
      <c r="M663" s="5">
        <v>1335502800</v>
      </c>
      <c r="N663" s="8">
        <f t="shared" si="41"/>
        <v>40996.208333333336</v>
      </c>
      <c r="O663" s="8">
        <f t="shared" si="42"/>
        <v>41026.208333333336</v>
      </c>
      <c r="P663" s="21" t="str">
        <f>TEXT(CrowdfundingTable[[#This Row],[date_created]],"ddd")</f>
        <v>Wed</v>
      </c>
      <c r="Q663" s="21">
        <f>_xlfn.DAYS(CrowdfundingTable[[#This Row],[date_ended]],CrowdfundingTable[[#This Row],[date_created]])</f>
        <v>30</v>
      </c>
      <c r="R663" s="5" t="b">
        <v>0</v>
      </c>
      <c r="S663" s="5" t="b">
        <v>0</v>
      </c>
      <c r="T663" s="5" t="s">
        <v>159</v>
      </c>
      <c r="U663" s="5" t="s">
        <v>2036</v>
      </c>
      <c r="V663" s="5" t="s">
        <v>2050</v>
      </c>
      <c r="W663" s="5"/>
    </row>
    <row r="664" spans="1:23" ht="17" x14ac:dyDescent="0.2">
      <c r="A664" s="5">
        <v>662</v>
      </c>
      <c r="B664" s="5" t="s">
        <v>1366</v>
      </c>
      <c r="C664" s="6" t="s">
        <v>1367</v>
      </c>
      <c r="D664" s="94">
        <v>9100</v>
      </c>
      <c r="E664" s="94">
        <v>8906</v>
      </c>
      <c r="F664" s="7">
        <f t="shared" si="43"/>
        <v>0.97868131868131869</v>
      </c>
      <c r="G664" s="5" t="s">
        <v>14</v>
      </c>
      <c r="H664" s="5">
        <v>131</v>
      </c>
      <c r="I664" s="96">
        <f t="shared" si="40"/>
        <v>67.984732824427482</v>
      </c>
      <c r="J664" s="5" t="s">
        <v>21</v>
      </c>
      <c r="K664" s="5" t="s">
        <v>22</v>
      </c>
      <c r="L664" s="5">
        <v>1544335200</v>
      </c>
      <c r="M664" s="5">
        <v>1544680800</v>
      </c>
      <c r="N664" s="8">
        <f t="shared" si="41"/>
        <v>43443.25</v>
      </c>
      <c r="O664" s="8">
        <f t="shared" si="42"/>
        <v>43447.25</v>
      </c>
      <c r="P664" s="21" t="str">
        <f>TEXT(CrowdfundingTable[[#This Row],[date_created]],"ddd")</f>
        <v>Sun</v>
      </c>
      <c r="Q664" s="21">
        <f>_xlfn.DAYS(CrowdfundingTable[[#This Row],[date_ended]],CrowdfundingTable[[#This Row],[date_created]])</f>
        <v>4</v>
      </c>
      <c r="R664" s="5" t="b">
        <v>0</v>
      </c>
      <c r="S664" s="5" t="b">
        <v>0</v>
      </c>
      <c r="T664" s="5" t="s">
        <v>33</v>
      </c>
      <c r="U664" s="5" t="s">
        <v>2040</v>
      </c>
      <c r="V664" s="5" t="s">
        <v>2055</v>
      </c>
      <c r="W664" s="5"/>
    </row>
    <row r="665" spans="1:23" ht="17" x14ac:dyDescent="0.2">
      <c r="A665" s="5">
        <v>663</v>
      </c>
      <c r="B665" s="5" t="s">
        <v>1368</v>
      </c>
      <c r="C665" s="6" t="s">
        <v>1369</v>
      </c>
      <c r="D665" s="94">
        <v>10000</v>
      </c>
      <c r="E665" s="94">
        <v>7724</v>
      </c>
      <c r="F665" s="7">
        <f t="shared" si="43"/>
        <v>0.77239999999999998</v>
      </c>
      <c r="G665" s="5" t="s">
        <v>14</v>
      </c>
      <c r="H665" s="5">
        <v>87</v>
      </c>
      <c r="I665" s="96">
        <f t="shared" si="40"/>
        <v>88.781609195402297</v>
      </c>
      <c r="J665" s="5" t="s">
        <v>21</v>
      </c>
      <c r="K665" s="5" t="s">
        <v>22</v>
      </c>
      <c r="L665" s="5">
        <v>1286427600</v>
      </c>
      <c r="M665" s="5">
        <v>1288414800</v>
      </c>
      <c r="N665" s="8">
        <f t="shared" si="41"/>
        <v>40458.208333333336</v>
      </c>
      <c r="O665" s="8">
        <f t="shared" si="42"/>
        <v>40481.208333333336</v>
      </c>
      <c r="P665" s="21" t="str">
        <f>TEXT(CrowdfundingTable[[#This Row],[date_created]],"ddd")</f>
        <v>Thu</v>
      </c>
      <c r="Q665" s="21">
        <f>_xlfn.DAYS(CrowdfundingTable[[#This Row],[date_ended]],CrowdfundingTable[[#This Row],[date_created]])</f>
        <v>23</v>
      </c>
      <c r="R665" s="5" t="b">
        <v>0</v>
      </c>
      <c r="S665" s="5" t="b">
        <v>0</v>
      </c>
      <c r="T665" s="5" t="s">
        <v>33</v>
      </c>
      <c r="U665" s="5" t="s">
        <v>2040</v>
      </c>
      <c r="V665" s="5" t="s">
        <v>2055</v>
      </c>
      <c r="W665" s="5"/>
    </row>
    <row r="666" spans="1:23" ht="17" x14ac:dyDescent="0.2">
      <c r="A666" s="5">
        <v>664</v>
      </c>
      <c r="B666" s="5" t="s">
        <v>708</v>
      </c>
      <c r="C666" s="6" t="s">
        <v>1370</v>
      </c>
      <c r="D666" s="94">
        <v>79400</v>
      </c>
      <c r="E666" s="94">
        <v>26571</v>
      </c>
      <c r="F666" s="7">
        <f t="shared" si="43"/>
        <v>0.33464735516372796</v>
      </c>
      <c r="G666" s="5" t="s">
        <v>14</v>
      </c>
      <c r="H666" s="5">
        <v>1063</v>
      </c>
      <c r="I666" s="96">
        <f t="shared" si="40"/>
        <v>24.99623706491063</v>
      </c>
      <c r="J666" s="5" t="s">
        <v>21</v>
      </c>
      <c r="K666" s="5" t="s">
        <v>22</v>
      </c>
      <c r="L666" s="5">
        <v>1329717600</v>
      </c>
      <c r="M666" s="5">
        <v>1330581600</v>
      </c>
      <c r="N666" s="8">
        <f t="shared" si="41"/>
        <v>40959.25</v>
      </c>
      <c r="O666" s="8">
        <f t="shared" si="42"/>
        <v>40969.25</v>
      </c>
      <c r="P666" s="21" t="str">
        <f>TEXT(CrowdfundingTable[[#This Row],[date_created]],"ddd")</f>
        <v>Mon</v>
      </c>
      <c r="Q666" s="21">
        <f>_xlfn.DAYS(CrowdfundingTable[[#This Row],[date_ended]],CrowdfundingTable[[#This Row],[date_created]])</f>
        <v>10</v>
      </c>
      <c r="R666" s="5" t="b">
        <v>0</v>
      </c>
      <c r="S666" s="5" t="b">
        <v>0</v>
      </c>
      <c r="T666" s="5" t="s">
        <v>159</v>
      </c>
      <c r="U666" s="5" t="s">
        <v>2036</v>
      </c>
      <c r="V666" s="5" t="s">
        <v>2050</v>
      </c>
      <c r="W666" s="5"/>
    </row>
    <row r="667" spans="1:23" ht="17" x14ac:dyDescent="0.2">
      <c r="A667" s="5">
        <v>665</v>
      </c>
      <c r="B667" s="5" t="s">
        <v>1371</v>
      </c>
      <c r="C667" s="6" t="s">
        <v>1372</v>
      </c>
      <c r="D667" s="94">
        <v>5100</v>
      </c>
      <c r="E667" s="94">
        <v>12219</v>
      </c>
      <c r="F667" s="7">
        <f t="shared" si="43"/>
        <v>2.3958823529411766</v>
      </c>
      <c r="G667" s="5" t="s">
        <v>20</v>
      </c>
      <c r="H667" s="5">
        <v>272</v>
      </c>
      <c r="I667" s="96">
        <f t="shared" si="40"/>
        <v>44.922794117647058</v>
      </c>
      <c r="J667" s="5" t="s">
        <v>21</v>
      </c>
      <c r="K667" s="5" t="s">
        <v>22</v>
      </c>
      <c r="L667" s="5">
        <v>1310187600</v>
      </c>
      <c r="M667" s="5">
        <v>1311397200</v>
      </c>
      <c r="N667" s="8">
        <f t="shared" si="41"/>
        <v>40733.208333333336</v>
      </c>
      <c r="O667" s="8">
        <f t="shared" si="42"/>
        <v>40747.208333333336</v>
      </c>
      <c r="P667" s="21" t="str">
        <f>TEXT(CrowdfundingTable[[#This Row],[date_created]],"ddd")</f>
        <v>Sat</v>
      </c>
      <c r="Q667" s="21">
        <f>_xlfn.DAYS(CrowdfundingTable[[#This Row],[date_ended]],CrowdfundingTable[[#This Row],[date_created]])</f>
        <v>14</v>
      </c>
      <c r="R667" s="5" t="b">
        <v>0</v>
      </c>
      <c r="S667" s="5" t="b">
        <v>1</v>
      </c>
      <c r="T667" s="5" t="s">
        <v>42</v>
      </c>
      <c r="U667" s="5" t="s">
        <v>2032</v>
      </c>
      <c r="V667" s="5" t="s">
        <v>2044</v>
      </c>
      <c r="W667" s="5"/>
    </row>
    <row r="668" spans="1:23" ht="17" x14ac:dyDescent="0.2">
      <c r="A668" s="5">
        <v>666</v>
      </c>
      <c r="B668" s="5" t="s">
        <v>1373</v>
      </c>
      <c r="C668" s="6" t="s">
        <v>1374</v>
      </c>
      <c r="D668" s="94">
        <v>3100</v>
      </c>
      <c r="E668" s="94">
        <v>1985</v>
      </c>
      <c r="F668" s="7">
        <f t="shared" si="43"/>
        <v>0.64032258064516134</v>
      </c>
      <c r="G668" s="5" t="s">
        <v>74</v>
      </c>
      <c r="H668" s="5">
        <v>25</v>
      </c>
      <c r="I668" s="96">
        <f t="shared" si="40"/>
        <v>79.400000000000006</v>
      </c>
      <c r="J668" s="5" t="s">
        <v>21</v>
      </c>
      <c r="K668" s="5" t="s">
        <v>22</v>
      </c>
      <c r="L668" s="5">
        <v>1377838800</v>
      </c>
      <c r="M668" s="5">
        <v>1378357200</v>
      </c>
      <c r="N668" s="8">
        <f t="shared" si="41"/>
        <v>41516.208333333336</v>
      </c>
      <c r="O668" s="8">
        <f t="shared" si="42"/>
        <v>41522.208333333336</v>
      </c>
      <c r="P668" s="21" t="str">
        <f>TEXT(CrowdfundingTable[[#This Row],[date_created]],"ddd")</f>
        <v>Fri</v>
      </c>
      <c r="Q668" s="21">
        <f>_xlfn.DAYS(CrowdfundingTable[[#This Row],[date_ended]],CrowdfundingTable[[#This Row],[date_created]])</f>
        <v>6</v>
      </c>
      <c r="R668" s="5" t="b">
        <v>0</v>
      </c>
      <c r="S668" s="5" t="b">
        <v>1</v>
      </c>
      <c r="T668" s="5" t="s">
        <v>33</v>
      </c>
      <c r="U668" s="5" t="s">
        <v>2040</v>
      </c>
      <c r="V668" s="5" t="s">
        <v>2055</v>
      </c>
      <c r="W668" s="5"/>
    </row>
    <row r="669" spans="1:23" ht="34" x14ac:dyDescent="0.2">
      <c r="A669" s="5">
        <v>667</v>
      </c>
      <c r="B669" s="5" t="s">
        <v>1375</v>
      </c>
      <c r="C669" s="6" t="s">
        <v>1376</v>
      </c>
      <c r="D669" s="94">
        <v>6900</v>
      </c>
      <c r="E669" s="94">
        <v>12155</v>
      </c>
      <c r="F669" s="7">
        <f t="shared" si="43"/>
        <v>1.7615942028985507</v>
      </c>
      <c r="G669" s="5" t="s">
        <v>20</v>
      </c>
      <c r="H669" s="5">
        <v>419</v>
      </c>
      <c r="I669" s="96">
        <f t="shared" si="40"/>
        <v>29.009546539379475</v>
      </c>
      <c r="J669" s="5" t="s">
        <v>21</v>
      </c>
      <c r="K669" s="5" t="s">
        <v>22</v>
      </c>
      <c r="L669" s="5">
        <v>1410325200</v>
      </c>
      <c r="M669" s="5">
        <v>1411102800</v>
      </c>
      <c r="N669" s="8">
        <f t="shared" si="41"/>
        <v>41892.208333333336</v>
      </c>
      <c r="O669" s="8">
        <f t="shared" si="42"/>
        <v>41901.208333333336</v>
      </c>
      <c r="P669" s="21" t="str">
        <f>TEXT(CrowdfundingTable[[#This Row],[date_created]],"ddd")</f>
        <v>Wed</v>
      </c>
      <c r="Q669" s="21">
        <f>_xlfn.DAYS(CrowdfundingTable[[#This Row],[date_ended]],CrowdfundingTable[[#This Row],[date_created]])</f>
        <v>9</v>
      </c>
      <c r="R669" s="5" t="b">
        <v>0</v>
      </c>
      <c r="S669" s="5" t="b">
        <v>0</v>
      </c>
      <c r="T669" s="5" t="s">
        <v>1029</v>
      </c>
      <c r="U669" s="5" t="s">
        <v>2035</v>
      </c>
      <c r="V669" s="5" t="s">
        <v>2043</v>
      </c>
      <c r="W669" s="5"/>
    </row>
    <row r="670" spans="1:23" ht="34" x14ac:dyDescent="0.2">
      <c r="A670" s="5">
        <v>668</v>
      </c>
      <c r="B670" s="5" t="s">
        <v>1377</v>
      </c>
      <c r="C670" s="6" t="s">
        <v>1378</v>
      </c>
      <c r="D670" s="94">
        <v>27500</v>
      </c>
      <c r="E670" s="94">
        <v>5593</v>
      </c>
      <c r="F670" s="7">
        <f t="shared" si="43"/>
        <v>0.20338181818181819</v>
      </c>
      <c r="G670" s="5" t="s">
        <v>14</v>
      </c>
      <c r="H670" s="5">
        <v>76</v>
      </c>
      <c r="I670" s="96">
        <f t="shared" si="40"/>
        <v>73.59210526315789</v>
      </c>
      <c r="J670" s="5" t="s">
        <v>21</v>
      </c>
      <c r="K670" s="5" t="s">
        <v>22</v>
      </c>
      <c r="L670" s="5">
        <v>1343797200</v>
      </c>
      <c r="M670" s="5">
        <v>1344834000</v>
      </c>
      <c r="N670" s="8">
        <f t="shared" si="41"/>
        <v>41122.208333333336</v>
      </c>
      <c r="O670" s="8">
        <f t="shared" si="42"/>
        <v>41134.208333333336</v>
      </c>
      <c r="P670" s="21" t="str">
        <f>TEXT(CrowdfundingTable[[#This Row],[date_created]],"ddd")</f>
        <v>Wed</v>
      </c>
      <c r="Q670" s="21">
        <f>_xlfn.DAYS(CrowdfundingTable[[#This Row],[date_ended]],CrowdfundingTable[[#This Row],[date_created]])</f>
        <v>12</v>
      </c>
      <c r="R670" s="5" t="b">
        <v>0</v>
      </c>
      <c r="S670" s="5" t="b">
        <v>0</v>
      </c>
      <c r="T670" s="5" t="s">
        <v>33</v>
      </c>
      <c r="U670" s="5" t="s">
        <v>2040</v>
      </c>
      <c r="V670" s="5" t="s">
        <v>2055</v>
      </c>
      <c r="W670" s="5"/>
    </row>
    <row r="671" spans="1:23" ht="17" x14ac:dyDescent="0.2">
      <c r="A671" s="5">
        <v>669</v>
      </c>
      <c r="B671" s="5" t="s">
        <v>1379</v>
      </c>
      <c r="C671" s="6" t="s">
        <v>1380</v>
      </c>
      <c r="D671" s="94">
        <v>48800</v>
      </c>
      <c r="E671" s="94">
        <v>175020</v>
      </c>
      <c r="F671" s="7">
        <f t="shared" si="43"/>
        <v>3.5864754098360656</v>
      </c>
      <c r="G671" s="5" t="s">
        <v>20</v>
      </c>
      <c r="H671" s="5">
        <v>1621</v>
      </c>
      <c r="I671" s="96">
        <f t="shared" si="40"/>
        <v>107.97038864898211</v>
      </c>
      <c r="J671" s="5" t="s">
        <v>107</v>
      </c>
      <c r="K671" s="5" t="s">
        <v>108</v>
      </c>
      <c r="L671" s="5">
        <v>1498453200</v>
      </c>
      <c r="M671" s="5">
        <v>1499230800</v>
      </c>
      <c r="N671" s="8">
        <f t="shared" si="41"/>
        <v>42912.208333333328</v>
      </c>
      <c r="O671" s="8">
        <f t="shared" si="42"/>
        <v>42921.208333333328</v>
      </c>
      <c r="P671" s="21" t="str">
        <f>TEXT(CrowdfundingTable[[#This Row],[date_created]],"ddd")</f>
        <v>Mon</v>
      </c>
      <c r="Q671" s="21">
        <f>_xlfn.DAYS(CrowdfundingTable[[#This Row],[date_ended]],CrowdfundingTable[[#This Row],[date_created]])</f>
        <v>9</v>
      </c>
      <c r="R671" s="5" t="b">
        <v>0</v>
      </c>
      <c r="S671" s="5" t="b">
        <v>0</v>
      </c>
      <c r="T671" s="5" t="s">
        <v>33</v>
      </c>
      <c r="U671" s="5" t="s">
        <v>2040</v>
      </c>
      <c r="V671" s="5" t="s">
        <v>2055</v>
      </c>
      <c r="W671" s="5"/>
    </row>
    <row r="672" spans="1:23" ht="34" x14ac:dyDescent="0.2">
      <c r="A672" s="5">
        <v>670</v>
      </c>
      <c r="B672" s="5" t="s">
        <v>1334</v>
      </c>
      <c r="C672" s="6" t="s">
        <v>1381</v>
      </c>
      <c r="D672" s="94">
        <v>16200</v>
      </c>
      <c r="E672" s="94">
        <v>75955</v>
      </c>
      <c r="F672" s="7">
        <f t="shared" si="43"/>
        <v>4.6885802469135802</v>
      </c>
      <c r="G672" s="5" t="s">
        <v>20</v>
      </c>
      <c r="H672" s="5">
        <v>1101</v>
      </c>
      <c r="I672" s="96">
        <f t="shared" si="40"/>
        <v>68.987284287011803</v>
      </c>
      <c r="J672" s="5" t="s">
        <v>21</v>
      </c>
      <c r="K672" s="5" t="s">
        <v>22</v>
      </c>
      <c r="L672" s="5">
        <v>1456380000</v>
      </c>
      <c r="M672" s="5">
        <v>1457416800</v>
      </c>
      <c r="N672" s="8">
        <f t="shared" si="41"/>
        <v>42425.25</v>
      </c>
      <c r="O672" s="8">
        <f t="shared" si="42"/>
        <v>42437.25</v>
      </c>
      <c r="P672" s="21" t="str">
        <f>TEXT(CrowdfundingTable[[#This Row],[date_created]],"ddd")</f>
        <v>Thu</v>
      </c>
      <c r="Q672" s="21">
        <f>_xlfn.DAYS(CrowdfundingTable[[#This Row],[date_ended]],CrowdfundingTable[[#This Row],[date_created]])</f>
        <v>12</v>
      </c>
      <c r="R672" s="5" t="b">
        <v>0</v>
      </c>
      <c r="S672" s="5" t="b">
        <v>0</v>
      </c>
      <c r="T672" s="5" t="s">
        <v>60</v>
      </c>
      <c r="U672" s="5" t="s">
        <v>2036</v>
      </c>
      <c r="V672" s="5" t="s">
        <v>2049</v>
      </c>
      <c r="W672" s="5"/>
    </row>
    <row r="673" spans="1:23" ht="17" x14ac:dyDescent="0.2">
      <c r="A673" s="5">
        <v>671</v>
      </c>
      <c r="B673" s="5" t="s">
        <v>1382</v>
      </c>
      <c r="C673" s="6" t="s">
        <v>1383</v>
      </c>
      <c r="D673" s="94">
        <v>97600</v>
      </c>
      <c r="E673" s="94">
        <v>119127</v>
      </c>
      <c r="F673" s="7">
        <f t="shared" si="43"/>
        <v>1.220563524590164</v>
      </c>
      <c r="G673" s="5" t="s">
        <v>20</v>
      </c>
      <c r="H673" s="5">
        <v>1073</v>
      </c>
      <c r="I673" s="96">
        <f t="shared" si="40"/>
        <v>111.02236719478098</v>
      </c>
      <c r="J673" s="5" t="s">
        <v>21</v>
      </c>
      <c r="K673" s="5" t="s">
        <v>22</v>
      </c>
      <c r="L673" s="5">
        <v>1280552400</v>
      </c>
      <c r="M673" s="5">
        <v>1280898000</v>
      </c>
      <c r="N673" s="8">
        <f t="shared" si="41"/>
        <v>40390.208333333336</v>
      </c>
      <c r="O673" s="8">
        <f t="shared" si="42"/>
        <v>40394.208333333336</v>
      </c>
      <c r="P673" s="21" t="str">
        <f>TEXT(CrowdfundingTable[[#This Row],[date_created]],"ddd")</f>
        <v>Sat</v>
      </c>
      <c r="Q673" s="21">
        <f>_xlfn.DAYS(CrowdfundingTable[[#This Row],[date_ended]],CrowdfundingTable[[#This Row],[date_created]])</f>
        <v>4</v>
      </c>
      <c r="R673" s="5" t="b">
        <v>0</v>
      </c>
      <c r="S673" s="5" t="b">
        <v>1</v>
      </c>
      <c r="T673" s="5" t="s">
        <v>33</v>
      </c>
      <c r="U673" s="5" t="s">
        <v>2040</v>
      </c>
      <c r="V673" s="5" t="s">
        <v>2055</v>
      </c>
      <c r="W673" s="5"/>
    </row>
    <row r="674" spans="1:23" ht="17" x14ac:dyDescent="0.2">
      <c r="A674" s="5">
        <v>672</v>
      </c>
      <c r="B674" s="5" t="s">
        <v>1384</v>
      </c>
      <c r="C674" s="6" t="s">
        <v>1385</v>
      </c>
      <c r="D674" s="94">
        <v>197900</v>
      </c>
      <c r="E674" s="94">
        <v>110689</v>
      </c>
      <c r="F674" s="7">
        <f t="shared" si="43"/>
        <v>0.55931783729156137</v>
      </c>
      <c r="G674" s="5" t="s">
        <v>14</v>
      </c>
      <c r="H674" s="5">
        <v>4428</v>
      </c>
      <c r="I674" s="96">
        <f t="shared" si="40"/>
        <v>24.997515808491418</v>
      </c>
      <c r="J674" s="5" t="s">
        <v>26</v>
      </c>
      <c r="K674" s="5" t="s">
        <v>27</v>
      </c>
      <c r="L674" s="5">
        <v>1521608400</v>
      </c>
      <c r="M674" s="5">
        <v>1522472400</v>
      </c>
      <c r="N674" s="8">
        <f t="shared" si="41"/>
        <v>43180.208333333328</v>
      </c>
      <c r="O674" s="8">
        <f t="shared" si="42"/>
        <v>43190.208333333328</v>
      </c>
      <c r="P674" s="21" t="str">
        <f>TEXT(CrowdfundingTable[[#This Row],[date_created]],"ddd")</f>
        <v>Wed</v>
      </c>
      <c r="Q674" s="21">
        <f>_xlfn.DAYS(CrowdfundingTable[[#This Row],[date_ended]],CrowdfundingTable[[#This Row],[date_created]])</f>
        <v>10</v>
      </c>
      <c r="R674" s="5" t="b">
        <v>0</v>
      </c>
      <c r="S674" s="5" t="b">
        <v>0</v>
      </c>
      <c r="T674" s="5" t="s">
        <v>33</v>
      </c>
      <c r="U674" s="5" t="s">
        <v>2040</v>
      </c>
      <c r="V674" s="5" t="s">
        <v>2055</v>
      </c>
      <c r="W674" s="5"/>
    </row>
    <row r="675" spans="1:23" ht="17" x14ac:dyDescent="0.2">
      <c r="A675" s="5">
        <v>673</v>
      </c>
      <c r="B675" s="5" t="s">
        <v>1386</v>
      </c>
      <c r="C675" s="6" t="s">
        <v>1387</v>
      </c>
      <c r="D675" s="94">
        <v>5600</v>
      </c>
      <c r="E675" s="94">
        <v>2445</v>
      </c>
      <c r="F675" s="7">
        <f t="shared" si="43"/>
        <v>0.43660714285714286</v>
      </c>
      <c r="G675" s="5" t="s">
        <v>14</v>
      </c>
      <c r="H675" s="5">
        <v>58</v>
      </c>
      <c r="I675" s="96">
        <f t="shared" si="40"/>
        <v>42.155172413793103</v>
      </c>
      <c r="J675" s="5" t="s">
        <v>107</v>
      </c>
      <c r="K675" s="5" t="s">
        <v>108</v>
      </c>
      <c r="L675" s="5">
        <v>1460696400</v>
      </c>
      <c r="M675" s="5">
        <v>1462510800</v>
      </c>
      <c r="N675" s="8">
        <f t="shared" si="41"/>
        <v>42475.208333333328</v>
      </c>
      <c r="O675" s="8">
        <f t="shared" si="42"/>
        <v>42496.208333333328</v>
      </c>
      <c r="P675" s="21" t="str">
        <f>TEXT(CrowdfundingTable[[#This Row],[date_created]],"ddd")</f>
        <v>Fri</v>
      </c>
      <c r="Q675" s="21">
        <f>_xlfn.DAYS(CrowdfundingTable[[#This Row],[date_ended]],CrowdfundingTable[[#This Row],[date_created]])</f>
        <v>21</v>
      </c>
      <c r="R675" s="5" t="b">
        <v>0</v>
      </c>
      <c r="S675" s="5" t="b">
        <v>0</v>
      </c>
      <c r="T675" s="5" t="s">
        <v>60</v>
      </c>
      <c r="U675" s="5" t="s">
        <v>2036</v>
      </c>
      <c r="V675" s="5" t="s">
        <v>2049</v>
      </c>
      <c r="W675" s="5"/>
    </row>
    <row r="676" spans="1:23" ht="17" x14ac:dyDescent="0.2">
      <c r="A676" s="5">
        <v>674</v>
      </c>
      <c r="B676" s="5" t="s">
        <v>1388</v>
      </c>
      <c r="C676" s="6" t="s">
        <v>1389</v>
      </c>
      <c r="D676" s="94">
        <v>170700</v>
      </c>
      <c r="E676" s="94">
        <v>57250</v>
      </c>
      <c r="F676" s="7">
        <f t="shared" si="43"/>
        <v>0.33538371411833628</v>
      </c>
      <c r="G676" s="5" t="s">
        <v>74</v>
      </c>
      <c r="H676" s="5">
        <v>1218</v>
      </c>
      <c r="I676" s="96">
        <f t="shared" si="40"/>
        <v>47.003284072249592</v>
      </c>
      <c r="J676" s="5" t="s">
        <v>21</v>
      </c>
      <c r="K676" s="5" t="s">
        <v>22</v>
      </c>
      <c r="L676" s="5">
        <v>1313730000</v>
      </c>
      <c r="M676" s="5">
        <v>1317790800</v>
      </c>
      <c r="N676" s="8">
        <f t="shared" si="41"/>
        <v>40774.208333333336</v>
      </c>
      <c r="O676" s="8">
        <f t="shared" si="42"/>
        <v>40821.208333333336</v>
      </c>
      <c r="P676" s="21" t="str">
        <f>TEXT(CrowdfundingTable[[#This Row],[date_created]],"ddd")</f>
        <v>Fri</v>
      </c>
      <c r="Q676" s="21">
        <f>_xlfn.DAYS(CrowdfundingTable[[#This Row],[date_ended]],CrowdfundingTable[[#This Row],[date_created]])</f>
        <v>47</v>
      </c>
      <c r="R676" s="5" t="b">
        <v>0</v>
      </c>
      <c r="S676" s="5" t="b">
        <v>0</v>
      </c>
      <c r="T676" s="5" t="s">
        <v>122</v>
      </c>
      <c r="U676" s="5" t="s">
        <v>2037</v>
      </c>
      <c r="V676" s="5" t="s">
        <v>2054</v>
      </c>
      <c r="W676" s="5"/>
    </row>
    <row r="677" spans="1:23" ht="17" x14ac:dyDescent="0.2">
      <c r="A677" s="5">
        <v>675</v>
      </c>
      <c r="B677" s="5" t="s">
        <v>1390</v>
      </c>
      <c r="C677" s="6" t="s">
        <v>1391</v>
      </c>
      <c r="D677" s="94">
        <v>9700</v>
      </c>
      <c r="E677" s="94">
        <v>11929</v>
      </c>
      <c r="F677" s="7">
        <f t="shared" si="43"/>
        <v>1.2297938144329896</v>
      </c>
      <c r="G677" s="5" t="s">
        <v>20</v>
      </c>
      <c r="H677" s="5">
        <v>331</v>
      </c>
      <c r="I677" s="96">
        <f t="shared" si="40"/>
        <v>36.0392749244713</v>
      </c>
      <c r="J677" s="5" t="s">
        <v>21</v>
      </c>
      <c r="K677" s="5" t="s">
        <v>22</v>
      </c>
      <c r="L677" s="5">
        <v>1568178000</v>
      </c>
      <c r="M677" s="5">
        <v>1568782800</v>
      </c>
      <c r="N677" s="8">
        <f t="shared" si="41"/>
        <v>43719.208333333328</v>
      </c>
      <c r="O677" s="8">
        <f t="shared" si="42"/>
        <v>43726.208333333328</v>
      </c>
      <c r="P677" s="21" t="str">
        <f>TEXT(CrowdfundingTable[[#This Row],[date_created]],"ddd")</f>
        <v>Wed</v>
      </c>
      <c r="Q677" s="21">
        <f>_xlfn.DAYS(CrowdfundingTable[[#This Row],[date_ended]],CrowdfundingTable[[#This Row],[date_created]])</f>
        <v>7</v>
      </c>
      <c r="R677" s="5" t="b">
        <v>0</v>
      </c>
      <c r="S677" s="5" t="b">
        <v>0</v>
      </c>
      <c r="T677" s="5" t="s">
        <v>1029</v>
      </c>
      <c r="U677" s="5" t="s">
        <v>2035</v>
      </c>
      <c r="V677" s="5" t="s">
        <v>2043</v>
      </c>
      <c r="W677" s="5"/>
    </row>
    <row r="678" spans="1:23" ht="17" x14ac:dyDescent="0.2">
      <c r="A678" s="5">
        <v>676</v>
      </c>
      <c r="B678" s="5" t="s">
        <v>1392</v>
      </c>
      <c r="C678" s="6" t="s">
        <v>1393</v>
      </c>
      <c r="D678" s="94">
        <v>62300</v>
      </c>
      <c r="E678" s="94">
        <v>118214</v>
      </c>
      <c r="F678" s="7">
        <f t="shared" si="43"/>
        <v>1.8974959871589085</v>
      </c>
      <c r="G678" s="5" t="s">
        <v>20</v>
      </c>
      <c r="H678" s="5">
        <v>1170</v>
      </c>
      <c r="I678" s="96">
        <f t="shared" si="40"/>
        <v>101.03760683760684</v>
      </c>
      <c r="J678" s="5" t="s">
        <v>21</v>
      </c>
      <c r="K678" s="5" t="s">
        <v>22</v>
      </c>
      <c r="L678" s="5">
        <v>1348635600</v>
      </c>
      <c r="M678" s="5">
        <v>1349413200</v>
      </c>
      <c r="N678" s="8">
        <f t="shared" si="41"/>
        <v>41178.208333333336</v>
      </c>
      <c r="O678" s="8">
        <f t="shared" si="42"/>
        <v>41187.208333333336</v>
      </c>
      <c r="P678" s="21" t="str">
        <f>TEXT(CrowdfundingTable[[#This Row],[date_created]],"ddd")</f>
        <v>Wed</v>
      </c>
      <c r="Q678" s="21">
        <f>_xlfn.DAYS(CrowdfundingTable[[#This Row],[date_ended]],CrowdfundingTable[[#This Row],[date_created]])</f>
        <v>9</v>
      </c>
      <c r="R678" s="5" t="b">
        <v>0</v>
      </c>
      <c r="S678" s="5" t="b">
        <v>0</v>
      </c>
      <c r="T678" s="5" t="s">
        <v>122</v>
      </c>
      <c r="U678" s="5" t="s">
        <v>2037</v>
      </c>
      <c r="V678" s="5" t="s">
        <v>2054</v>
      </c>
      <c r="W678" s="5"/>
    </row>
    <row r="679" spans="1:23" ht="17" x14ac:dyDescent="0.2">
      <c r="A679" s="5">
        <v>677</v>
      </c>
      <c r="B679" s="5" t="s">
        <v>1394</v>
      </c>
      <c r="C679" s="6" t="s">
        <v>1395</v>
      </c>
      <c r="D679" s="94">
        <v>5300</v>
      </c>
      <c r="E679" s="94">
        <v>4432</v>
      </c>
      <c r="F679" s="7">
        <f t="shared" si="43"/>
        <v>0.83622641509433959</v>
      </c>
      <c r="G679" s="5" t="s">
        <v>14</v>
      </c>
      <c r="H679" s="5">
        <v>111</v>
      </c>
      <c r="I679" s="96">
        <f t="shared" si="40"/>
        <v>39.927927927927925</v>
      </c>
      <c r="J679" s="5" t="s">
        <v>21</v>
      </c>
      <c r="K679" s="5" t="s">
        <v>22</v>
      </c>
      <c r="L679" s="5">
        <v>1468126800</v>
      </c>
      <c r="M679" s="5">
        <v>1472446800</v>
      </c>
      <c r="N679" s="8">
        <f t="shared" si="41"/>
        <v>42561.208333333328</v>
      </c>
      <c r="O679" s="8">
        <f t="shared" si="42"/>
        <v>42611.208333333328</v>
      </c>
      <c r="P679" s="21" t="str">
        <f>TEXT(CrowdfundingTable[[#This Row],[date_created]],"ddd")</f>
        <v>Sun</v>
      </c>
      <c r="Q679" s="21">
        <f>_xlfn.DAYS(CrowdfundingTable[[#This Row],[date_ended]],CrowdfundingTable[[#This Row],[date_created]])</f>
        <v>50</v>
      </c>
      <c r="R679" s="5" t="b">
        <v>0</v>
      </c>
      <c r="S679" s="5" t="b">
        <v>0</v>
      </c>
      <c r="T679" s="5" t="s">
        <v>119</v>
      </c>
      <c r="U679" s="5" t="s">
        <v>2038</v>
      </c>
      <c r="V679" s="5" t="s">
        <v>2047</v>
      </c>
      <c r="W679" s="5"/>
    </row>
    <row r="680" spans="1:23" ht="17" x14ac:dyDescent="0.2">
      <c r="A680" s="5">
        <v>678</v>
      </c>
      <c r="B680" s="5" t="s">
        <v>1396</v>
      </c>
      <c r="C680" s="6" t="s">
        <v>1397</v>
      </c>
      <c r="D680" s="94">
        <v>99500</v>
      </c>
      <c r="E680" s="94">
        <v>17879</v>
      </c>
      <c r="F680" s="7">
        <f t="shared" si="43"/>
        <v>0.17968844221105529</v>
      </c>
      <c r="G680" s="5" t="s">
        <v>74</v>
      </c>
      <c r="H680" s="5">
        <v>215</v>
      </c>
      <c r="I680" s="96">
        <f t="shared" si="40"/>
        <v>83.158139534883716</v>
      </c>
      <c r="J680" s="5" t="s">
        <v>21</v>
      </c>
      <c r="K680" s="5" t="s">
        <v>22</v>
      </c>
      <c r="L680" s="5">
        <v>1547877600</v>
      </c>
      <c r="M680" s="5">
        <v>1548050400</v>
      </c>
      <c r="N680" s="8">
        <f t="shared" si="41"/>
        <v>43484.25</v>
      </c>
      <c r="O680" s="8">
        <f t="shared" si="42"/>
        <v>43486.25</v>
      </c>
      <c r="P680" s="21" t="str">
        <f>TEXT(CrowdfundingTable[[#This Row],[date_created]],"ddd")</f>
        <v>Sat</v>
      </c>
      <c r="Q680" s="21">
        <f>_xlfn.DAYS(CrowdfundingTable[[#This Row],[date_ended]],CrowdfundingTable[[#This Row],[date_created]])</f>
        <v>2</v>
      </c>
      <c r="R680" s="5" t="b">
        <v>0</v>
      </c>
      <c r="S680" s="5" t="b">
        <v>0</v>
      </c>
      <c r="T680" s="5" t="s">
        <v>53</v>
      </c>
      <c r="U680" s="5" t="s">
        <v>2032</v>
      </c>
      <c r="V680" s="5" t="s">
        <v>2045</v>
      </c>
      <c r="W680" s="5"/>
    </row>
    <row r="681" spans="1:23" ht="17" x14ac:dyDescent="0.2">
      <c r="A681" s="5">
        <v>679</v>
      </c>
      <c r="B681" s="5" t="s">
        <v>668</v>
      </c>
      <c r="C681" s="6" t="s">
        <v>1398</v>
      </c>
      <c r="D681" s="94">
        <v>1400</v>
      </c>
      <c r="E681" s="94">
        <v>14511</v>
      </c>
      <c r="F681" s="7">
        <f t="shared" si="43"/>
        <v>10.365</v>
      </c>
      <c r="G681" s="5" t="s">
        <v>20</v>
      </c>
      <c r="H681" s="5">
        <v>363</v>
      </c>
      <c r="I681" s="96">
        <f t="shared" si="40"/>
        <v>39.97520661157025</v>
      </c>
      <c r="J681" s="5" t="s">
        <v>21</v>
      </c>
      <c r="K681" s="5" t="s">
        <v>22</v>
      </c>
      <c r="L681" s="5">
        <v>1571374800</v>
      </c>
      <c r="M681" s="5">
        <v>1571806800</v>
      </c>
      <c r="N681" s="8">
        <f t="shared" si="41"/>
        <v>43756.208333333328</v>
      </c>
      <c r="O681" s="8">
        <f t="shared" si="42"/>
        <v>43761.208333333328</v>
      </c>
      <c r="P681" s="21" t="str">
        <f>TEXT(CrowdfundingTable[[#This Row],[date_created]],"ddd")</f>
        <v>Fri</v>
      </c>
      <c r="Q681" s="21">
        <f>_xlfn.DAYS(CrowdfundingTable[[#This Row],[date_ended]],CrowdfundingTable[[#This Row],[date_created]])</f>
        <v>5</v>
      </c>
      <c r="R681" s="5" t="b">
        <v>0</v>
      </c>
      <c r="S681" s="5" t="b">
        <v>1</v>
      </c>
      <c r="T681" s="5" t="s">
        <v>17</v>
      </c>
      <c r="U681" s="5" t="s">
        <v>2033</v>
      </c>
      <c r="V681" s="5" t="s">
        <v>2048</v>
      </c>
      <c r="W681" s="5"/>
    </row>
    <row r="682" spans="1:23" ht="17" x14ac:dyDescent="0.2">
      <c r="A682" s="5">
        <v>680</v>
      </c>
      <c r="B682" s="5" t="s">
        <v>1399</v>
      </c>
      <c r="C682" s="6" t="s">
        <v>1400</v>
      </c>
      <c r="D682" s="94">
        <v>145600</v>
      </c>
      <c r="E682" s="94">
        <v>141822</v>
      </c>
      <c r="F682" s="7">
        <f t="shared" si="43"/>
        <v>0.97405219780219776</v>
      </c>
      <c r="G682" s="5" t="s">
        <v>14</v>
      </c>
      <c r="H682" s="5">
        <v>2955</v>
      </c>
      <c r="I682" s="96">
        <f t="shared" si="40"/>
        <v>47.993908629441627</v>
      </c>
      <c r="J682" s="5" t="s">
        <v>21</v>
      </c>
      <c r="K682" s="5" t="s">
        <v>22</v>
      </c>
      <c r="L682" s="5">
        <v>1576303200</v>
      </c>
      <c r="M682" s="5">
        <v>1576476000</v>
      </c>
      <c r="N682" s="8">
        <f t="shared" si="41"/>
        <v>43813.25</v>
      </c>
      <c r="O682" s="8">
        <f t="shared" si="42"/>
        <v>43815.25</v>
      </c>
      <c r="P682" s="21" t="str">
        <f>TEXT(CrowdfundingTable[[#This Row],[date_created]],"ddd")</f>
        <v>Sat</v>
      </c>
      <c r="Q682" s="21">
        <f>_xlfn.DAYS(CrowdfundingTable[[#This Row],[date_ended]],CrowdfundingTable[[#This Row],[date_created]])</f>
        <v>2</v>
      </c>
      <c r="R682" s="5" t="b">
        <v>0</v>
      </c>
      <c r="S682" s="5" t="b">
        <v>1</v>
      </c>
      <c r="T682" s="5" t="s">
        <v>292</v>
      </c>
      <c r="U682" s="5" t="s">
        <v>2034</v>
      </c>
      <c r="V682" s="5" t="s">
        <v>2052</v>
      </c>
      <c r="W682" s="5"/>
    </row>
    <row r="683" spans="1:23" ht="34" x14ac:dyDescent="0.2">
      <c r="A683" s="5">
        <v>681</v>
      </c>
      <c r="B683" s="5" t="s">
        <v>1401</v>
      </c>
      <c r="C683" s="6" t="s">
        <v>1402</v>
      </c>
      <c r="D683" s="94">
        <v>184100</v>
      </c>
      <c r="E683" s="94">
        <v>159037</v>
      </c>
      <c r="F683" s="7">
        <f t="shared" si="43"/>
        <v>0.86386203150461705</v>
      </c>
      <c r="G683" s="5" t="s">
        <v>14</v>
      </c>
      <c r="H683" s="5">
        <v>1657</v>
      </c>
      <c r="I683" s="96">
        <f t="shared" si="40"/>
        <v>95.978877489438744</v>
      </c>
      <c r="J683" s="5" t="s">
        <v>21</v>
      </c>
      <c r="K683" s="5" t="s">
        <v>22</v>
      </c>
      <c r="L683" s="5">
        <v>1324447200</v>
      </c>
      <c r="M683" s="5">
        <v>1324965600</v>
      </c>
      <c r="N683" s="8">
        <f t="shared" si="41"/>
        <v>40898.25</v>
      </c>
      <c r="O683" s="8">
        <f t="shared" si="42"/>
        <v>40904.25</v>
      </c>
      <c r="P683" s="21" t="str">
        <f>TEXT(CrowdfundingTable[[#This Row],[date_created]],"ddd")</f>
        <v>Wed</v>
      </c>
      <c r="Q683" s="21">
        <f>_xlfn.DAYS(CrowdfundingTable[[#This Row],[date_ended]],CrowdfundingTable[[#This Row],[date_created]])</f>
        <v>6</v>
      </c>
      <c r="R683" s="5" t="b">
        <v>0</v>
      </c>
      <c r="S683" s="5" t="b">
        <v>0</v>
      </c>
      <c r="T683" s="5" t="s">
        <v>33</v>
      </c>
      <c r="U683" s="5" t="s">
        <v>2040</v>
      </c>
      <c r="V683" s="5" t="s">
        <v>2055</v>
      </c>
      <c r="W683" s="5"/>
    </row>
    <row r="684" spans="1:23" ht="17" x14ac:dyDescent="0.2">
      <c r="A684" s="5">
        <v>682</v>
      </c>
      <c r="B684" s="5" t="s">
        <v>1403</v>
      </c>
      <c r="C684" s="6" t="s">
        <v>1404</v>
      </c>
      <c r="D684" s="94">
        <v>5400</v>
      </c>
      <c r="E684" s="94">
        <v>8109</v>
      </c>
      <c r="F684" s="7">
        <f t="shared" si="43"/>
        <v>1.5016666666666667</v>
      </c>
      <c r="G684" s="5" t="s">
        <v>20</v>
      </c>
      <c r="H684" s="5">
        <v>103</v>
      </c>
      <c r="I684" s="96">
        <f t="shared" si="40"/>
        <v>78.728155339805824</v>
      </c>
      <c r="J684" s="5" t="s">
        <v>21</v>
      </c>
      <c r="K684" s="5" t="s">
        <v>22</v>
      </c>
      <c r="L684" s="5">
        <v>1386741600</v>
      </c>
      <c r="M684" s="5">
        <v>1387519200</v>
      </c>
      <c r="N684" s="8">
        <f t="shared" si="41"/>
        <v>41619.25</v>
      </c>
      <c r="O684" s="8">
        <f t="shared" si="42"/>
        <v>41628.25</v>
      </c>
      <c r="P684" s="21" t="str">
        <f>TEXT(CrowdfundingTable[[#This Row],[date_created]],"ddd")</f>
        <v>Wed</v>
      </c>
      <c r="Q684" s="21">
        <f>_xlfn.DAYS(CrowdfundingTable[[#This Row],[date_ended]],CrowdfundingTable[[#This Row],[date_created]])</f>
        <v>9</v>
      </c>
      <c r="R684" s="5" t="b">
        <v>0</v>
      </c>
      <c r="S684" s="5" t="b">
        <v>0</v>
      </c>
      <c r="T684" s="5" t="s">
        <v>33</v>
      </c>
      <c r="U684" s="5" t="s">
        <v>2040</v>
      </c>
      <c r="V684" s="5" t="s">
        <v>2055</v>
      </c>
      <c r="W684" s="5"/>
    </row>
    <row r="685" spans="1:23" ht="17" x14ac:dyDescent="0.2">
      <c r="A685" s="5">
        <v>683</v>
      </c>
      <c r="B685" s="5" t="s">
        <v>1405</v>
      </c>
      <c r="C685" s="6" t="s">
        <v>1406</v>
      </c>
      <c r="D685" s="94">
        <v>2300</v>
      </c>
      <c r="E685" s="94">
        <v>8244</v>
      </c>
      <c r="F685" s="7">
        <f t="shared" si="43"/>
        <v>3.5843478260869563</v>
      </c>
      <c r="G685" s="5" t="s">
        <v>20</v>
      </c>
      <c r="H685" s="5">
        <v>147</v>
      </c>
      <c r="I685" s="96">
        <f t="shared" si="40"/>
        <v>56.081632653061227</v>
      </c>
      <c r="J685" s="5" t="s">
        <v>21</v>
      </c>
      <c r="K685" s="5" t="s">
        <v>22</v>
      </c>
      <c r="L685" s="5">
        <v>1537074000</v>
      </c>
      <c r="M685" s="5">
        <v>1537246800</v>
      </c>
      <c r="N685" s="8">
        <f t="shared" si="41"/>
        <v>43359.208333333328</v>
      </c>
      <c r="O685" s="8">
        <f t="shared" si="42"/>
        <v>43361.208333333328</v>
      </c>
      <c r="P685" s="21" t="str">
        <f>TEXT(CrowdfundingTable[[#This Row],[date_created]],"ddd")</f>
        <v>Sun</v>
      </c>
      <c r="Q685" s="21">
        <f>_xlfn.DAYS(CrowdfundingTable[[#This Row],[date_ended]],CrowdfundingTable[[#This Row],[date_created]])</f>
        <v>2</v>
      </c>
      <c r="R685" s="5" t="b">
        <v>0</v>
      </c>
      <c r="S685" s="5" t="b">
        <v>0</v>
      </c>
      <c r="T685" s="5" t="s">
        <v>33</v>
      </c>
      <c r="U685" s="5" t="s">
        <v>2040</v>
      </c>
      <c r="V685" s="5" t="s">
        <v>2055</v>
      </c>
      <c r="W685" s="5"/>
    </row>
    <row r="686" spans="1:23" ht="17" x14ac:dyDescent="0.2">
      <c r="A686" s="5">
        <v>684</v>
      </c>
      <c r="B686" s="5" t="s">
        <v>1407</v>
      </c>
      <c r="C686" s="6" t="s">
        <v>1408</v>
      </c>
      <c r="D686" s="94">
        <v>1400</v>
      </c>
      <c r="E686" s="94">
        <v>7600</v>
      </c>
      <c r="F686" s="7">
        <f t="shared" si="43"/>
        <v>5.4285714285714288</v>
      </c>
      <c r="G686" s="5" t="s">
        <v>20</v>
      </c>
      <c r="H686" s="5">
        <v>110</v>
      </c>
      <c r="I686" s="96">
        <f t="shared" si="40"/>
        <v>69.090909090909093</v>
      </c>
      <c r="J686" s="5" t="s">
        <v>15</v>
      </c>
      <c r="K686" s="5" t="s">
        <v>16</v>
      </c>
      <c r="L686" s="5">
        <v>1277787600</v>
      </c>
      <c r="M686" s="5">
        <v>1279515600</v>
      </c>
      <c r="N686" s="8">
        <f t="shared" si="41"/>
        <v>40358.208333333336</v>
      </c>
      <c r="O686" s="8">
        <f t="shared" si="42"/>
        <v>40378.208333333336</v>
      </c>
      <c r="P686" s="21" t="str">
        <f>TEXT(CrowdfundingTable[[#This Row],[date_created]],"ddd")</f>
        <v>Tue</v>
      </c>
      <c r="Q686" s="21">
        <f>_xlfn.DAYS(CrowdfundingTable[[#This Row],[date_ended]],CrowdfundingTable[[#This Row],[date_created]])</f>
        <v>20</v>
      </c>
      <c r="R686" s="5" t="b">
        <v>0</v>
      </c>
      <c r="S686" s="5" t="b">
        <v>0</v>
      </c>
      <c r="T686" s="5" t="s">
        <v>68</v>
      </c>
      <c r="U686" s="5" t="s">
        <v>2038</v>
      </c>
      <c r="V686" s="5" t="s">
        <v>2053</v>
      </c>
      <c r="W686" s="5"/>
    </row>
    <row r="687" spans="1:23" ht="17" x14ac:dyDescent="0.2">
      <c r="A687" s="5">
        <v>685</v>
      </c>
      <c r="B687" s="5" t="s">
        <v>1409</v>
      </c>
      <c r="C687" s="6" t="s">
        <v>1410</v>
      </c>
      <c r="D687" s="94">
        <v>140000</v>
      </c>
      <c r="E687" s="94">
        <v>94501</v>
      </c>
      <c r="F687" s="7">
        <f t="shared" si="43"/>
        <v>0.67500714285714281</v>
      </c>
      <c r="G687" s="5" t="s">
        <v>14</v>
      </c>
      <c r="H687" s="5">
        <v>926</v>
      </c>
      <c r="I687" s="96">
        <f t="shared" si="40"/>
        <v>102.05291576673866</v>
      </c>
      <c r="J687" s="5" t="s">
        <v>15</v>
      </c>
      <c r="K687" s="5" t="s">
        <v>16</v>
      </c>
      <c r="L687" s="5">
        <v>1440306000</v>
      </c>
      <c r="M687" s="5">
        <v>1442379600</v>
      </c>
      <c r="N687" s="8">
        <f t="shared" si="41"/>
        <v>42239.208333333328</v>
      </c>
      <c r="O687" s="8">
        <f t="shared" si="42"/>
        <v>42263.208333333328</v>
      </c>
      <c r="P687" s="21" t="str">
        <f>TEXT(CrowdfundingTable[[#This Row],[date_created]],"ddd")</f>
        <v>Sun</v>
      </c>
      <c r="Q687" s="21">
        <f>_xlfn.DAYS(CrowdfundingTable[[#This Row],[date_ended]],CrowdfundingTable[[#This Row],[date_created]])</f>
        <v>24</v>
      </c>
      <c r="R687" s="5" t="b">
        <v>0</v>
      </c>
      <c r="S687" s="5" t="b">
        <v>0</v>
      </c>
      <c r="T687" s="5" t="s">
        <v>33</v>
      </c>
      <c r="U687" s="5" t="s">
        <v>2040</v>
      </c>
      <c r="V687" s="5" t="s">
        <v>2055</v>
      </c>
      <c r="W687" s="5"/>
    </row>
    <row r="688" spans="1:23" ht="17" x14ac:dyDescent="0.2">
      <c r="A688" s="5">
        <v>686</v>
      </c>
      <c r="B688" s="5" t="s">
        <v>1411</v>
      </c>
      <c r="C688" s="6" t="s">
        <v>1412</v>
      </c>
      <c r="D688" s="94">
        <v>7500</v>
      </c>
      <c r="E688" s="94">
        <v>14381</v>
      </c>
      <c r="F688" s="7">
        <f t="shared" si="43"/>
        <v>1.9174666666666667</v>
      </c>
      <c r="G688" s="5" t="s">
        <v>20</v>
      </c>
      <c r="H688" s="5">
        <v>134</v>
      </c>
      <c r="I688" s="96">
        <f t="shared" si="40"/>
        <v>107.32089552238806</v>
      </c>
      <c r="J688" s="5" t="s">
        <v>21</v>
      </c>
      <c r="K688" s="5" t="s">
        <v>22</v>
      </c>
      <c r="L688" s="5">
        <v>1522126800</v>
      </c>
      <c r="M688" s="5">
        <v>1523077200</v>
      </c>
      <c r="N688" s="8">
        <f t="shared" si="41"/>
        <v>43186.208333333328</v>
      </c>
      <c r="O688" s="8">
        <f t="shared" si="42"/>
        <v>43197.208333333328</v>
      </c>
      <c r="P688" s="21" t="str">
        <f>TEXT(CrowdfundingTable[[#This Row],[date_created]],"ddd")</f>
        <v>Tue</v>
      </c>
      <c r="Q688" s="21">
        <f>_xlfn.DAYS(CrowdfundingTable[[#This Row],[date_ended]],CrowdfundingTable[[#This Row],[date_created]])</f>
        <v>11</v>
      </c>
      <c r="R688" s="5" t="b">
        <v>0</v>
      </c>
      <c r="S688" s="5" t="b">
        <v>0</v>
      </c>
      <c r="T688" s="5" t="s">
        <v>65</v>
      </c>
      <c r="U688" s="5" t="s">
        <v>2039</v>
      </c>
      <c r="V688" s="5" t="s">
        <v>2063</v>
      </c>
      <c r="W688" s="5"/>
    </row>
    <row r="689" spans="1:23" ht="17" x14ac:dyDescent="0.2">
      <c r="A689" s="5">
        <v>687</v>
      </c>
      <c r="B689" s="5" t="s">
        <v>1413</v>
      </c>
      <c r="C689" s="6" t="s">
        <v>1414</v>
      </c>
      <c r="D689" s="94">
        <v>1500</v>
      </c>
      <c r="E689" s="94">
        <v>13980</v>
      </c>
      <c r="F689" s="7">
        <f t="shared" si="43"/>
        <v>9.32</v>
      </c>
      <c r="G689" s="5" t="s">
        <v>20</v>
      </c>
      <c r="H689" s="5">
        <v>269</v>
      </c>
      <c r="I689" s="96">
        <f t="shared" si="40"/>
        <v>51.970260223048328</v>
      </c>
      <c r="J689" s="5" t="s">
        <v>21</v>
      </c>
      <c r="K689" s="5" t="s">
        <v>22</v>
      </c>
      <c r="L689" s="5">
        <v>1489298400</v>
      </c>
      <c r="M689" s="5">
        <v>1489554000</v>
      </c>
      <c r="N689" s="8">
        <f t="shared" si="41"/>
        <v>42806.25</v>
      </c>
      <c r="O689" s="8">
        <f t="shared" si="42"/>
        <v>42809.208333333328</v>
      </c>
      <c r="P689" s="21" t="str">
        <f>TEXT(CrowdfundingTable[[#This Row],[date_created]],"ddd")</f>
        <v>Sun</v>
      </c>
      <c r="Q689" s="21">
        <f>_xlfn.DAYS(CrowdfundingTable[[#This Row],[date_ended]],CrowdfundingTable[[#This Row],[date_created]])</f>
        <v>3</v>
      </c>
      <c r="R689" s="5" t="b">
        <v>0</v>
      </c>
      <c r="S689" s="5" t="b">
        <v>0</v>
      </c>
      <c r="T689" s="5" t="s">
        <v>33</v>
      </c>
      <c r="U689" s="5" t="s">
        <v>2040</v>
      </c>
      <c r="V689" s="5" t="s">
        <v>2055</v>
      </c>
      <c r="W689" s="5"/>
    </row>
    <row r="690" spans="1:23" ht="17" x14ac:dyDescent="0.2">
      <c r="A690" s="5">
        <v>688</v>
      </c>
      <c r="B690" s="5" t="s">
        <v>1415</v>
      </c>
      <c r="C690" s="6" t="s">
        <v>1416</v>
      </c>
      <c r="D690" s="94">
        <v>2900</v>
      </c>
      <c r="E690" s="94">
        <v>12449</v>
      </c>
      <c r="F690" s="7">
        <f t="shared" si="43"/>
        <v>4.2927586206896553</v>
      </c>
      <c r="G690" s="5" t="s">
        <v>20</v>
      </c>
      <c r="H690" s="5">
        <v>175</v>
      </c>
      <c r="I690" s="96">
        <f t="shared" si="40"/>
        <v>71.137142857142862</v>
      </c>
      <c r="J690" s="5" t="s">
        <v>21</v>
      </c>
      <c r="K690" s="5" t="s">
        <v>22</v>
      </c>
      <c r="L690" s="5">
        <v>1547100000</v>
      </c>
      <c r="M690" s="5">
        <v>1548482400</v>
      </c>
      <c r="N690" s="8">
        <f t="shared" si="41"/>
        <v>43475.25</v>
      </c>
      <c r="O690" s="8">
        <f t="shared" si="42"/>
        <v>43491.25</v>
      </c>
      <c r="P690" s="21" t="str">
        <f>TEXT(CrowdfundingTable[[#This Row],[date_created]],"ddd")</f>
        <v>Thu</v>
      </c>
      <c r="Q690" s="21">
        <f>_xlfn.DAYS(CrowdfundingTable[[#This Row],[date_ended]],CrowdfundingTable[[#This Row],[date_created]])</f>
        <v>16</v>
      </c>
      <c r="R690" s="5" t="b">
        <v>0</v>
      </c>
      <c r="S690" s="5" t="b">
        <v>1</v>
      </c>
      <c r="T690" s="5" t="s">
        <v>269</v>
      </c>
      <c r="U690" s="5" t="s">
        <v>2032</v>
      </c>
      <c r="V690" s="5" t="s">
        <v>2060</v>
      </c>
      <c r="W690" s="5"/>
    </row>
    <row r="691" spans="1:23" ht="17" x14ac:dyDescent="0.2">
      <c r="A691" s="5">
        <v>689</v>
      </c>
      <c r="B691" s="5" t="s">
        <v>1417</v>
      </c>
      <c r="C691" s="6" t="s">
        <v>1418</v>
      </c>
      <c r="D691" s="94">
        <v>7300</v>
      </c>
      <c r="E691" s="94">
        <v>7348</v>
      </c>
      <c r="F691" s="7">
        <f t="shared" si="43"/>
        <v>1.0065753424657535</v>
      </c>
      <c r="G691" s="5" t="s">
        <v>20</v>
      </c>
      <c r="H691" s="5">
        <v>69</v>
      </c>
      <c r="I691" s="96">
        <f t="shared" si="40"/>
        <v>106.49275362318841</v>
      </c>
      <c r="J691" s="5" t="s">
        <v>21</v>
      </c>
      <c r="K691" s="5" t="s">
        <v>22</v>
      </c>
      <c r="L691" s="5">
        <v>1383022800</v>
      </c>
      <c r="M691" s="5">
        <v>1384063200</v>
      </c>
      <c r="N691" s="8">
        <f t="shared" si="41"/>
        <v>41576.208333333336</v>
      </c>
      <c r="O691" s="8">
        <f t="shared" si="42"/>
        <v>41588.25</v>
      </c>
      <c r="P691" s="21" t="str">
        <f>TEXT(CrowdfundingTable[[#This Row],[date_created]],"ddd")</f>
        <v>Tue</v>
      </c>
      <c r="Q691" s="21">
        <f>_xlfn.DAYS(CrowdfundingTable[[#This Row],[date_ended]],CrowdfundingTable[[#This Row],[date_created]])</f>
        <v>12</v>
      </c>
      <c r="R691" s="5" t="b">
        <v>0</v>
      </c>
      <c r="S691" s="5" t="b">
        <v>0</v>
      </c>
      <c r="T691" s="5" t="s">
        <v>28</v>
      </c>
      <c r="U691" s="5" t="s">
        <v>2039</v>
      </c>
      <c r="V691" s="5" t="s">
        <v>2064</v>
      </c>
      <c r="W691" s="5"/>
    </row>
    <row r="692" spans="1:23" ht="17" x14ac:dyDescent="0.2">
      <c r="A692" s="5">
        <v>690</v>
      </c>
      <c r="B692" s="5" t="s">
        <v>1419</v>
      </c>
      <c r="C692" s="6" t="s">
        <v>1420</v>
      </c>
      <c r="D692" s="94">
        <v>3600</v>
      </c>
      <c r="E692" s="94">
        <v>8158</v>
      </c>
      <c r="F692" s="7">
        <f t="shared" si="43"/>
        <v>2.266111111111111</v>
      </c>
      <c r="G692" s="5" t="s">
        <v>20</v>
      </c>
      <c r="H692" s="5">
        <v>190</v>
      </c>
      <c r="I692" s="96">
        <f t="shared" si="40"/>
        <v>42.93684210526316</v>
      </c>
      <c r="J692" s="5" t="s">
        <v>21</v>
      </c>
      <c r="K692" s="5" t="s">
        <v>22</v>
      </c>
      <c r="L692" s="5">
        <v>1322373600</v>
      </c>
      <c r="M692" s="5">
        <v>1322892000</v>
      </c>
      <c r="N692" s="8">
        <f t="shared" si="41"/>
        <v>40874.25</v>
      </c>
      <c r="O692" s="8">
        <f t="shared" si="42"/>
        <v>40880.25</v>
      </c>
      <c r="P692" s="21" t="str">
        <f>TEXT(CrowdfundingTable[[#This Row],[date_created]],"ddd")</f>
        <v>Sun</v>
      </c>
      <c r="Q692" s="21">
        <f>_xlfn.DAYS(CrowdfundingTable[[#This Row],[date_ended]],CrowdfundingTable[[#This Row],[date_created]])</f>
        <v>6</v>
      </c>
      <c r="R692" s="5" t="b">
        <v>0</v>
      </c>
      <c r="S692" s="5" t="b">
        <v>1</v>
      </c>
      <c r="T692" s="5" t="s">
        <v>42</v>
      </c>
      <c r="U692" s="5" t="s">
        <v>2032</v>
      </c>
      <c r="V692" s="5" t="s">
        <v>2044</v>
      </c>
      <c r="W692" s="5"/>
    </row>
    <row r="693" spans="1:23" ht="17" x14ac:dyDescent="0.2">
      <c r="A693" s="5">
        <v>691</v>
      </c>
      <c r="B693" s="5" t="s">
        <v>1421</v>
      </c>
      <c r="C693" s="6" t="s">
        <v>1422</v>
      </c>
      <c r="D693" s="94">
        <v>5000</v>
      </c>
      <c r="E693" s="94">
        <v>7119</v>
      </c>
      <c r="F693" s="7">
        <f t="shared" si="43"/>
        <v>1.4238</v>
      </c>
      <c r="G693" s="5" t="s">
        <v>20</v>
      </c>
      <c r="H693" s="5">
        <v>237</v>
      </c>
      <c r="I693" s="96">
        <f t="shared" si="40"/>
        <v>30.037974683544302</v>
      </c>
      <c r="J693" s="5" t="s">
        <v>21</v>
      </c>
      <c r="K693" s="5" t="s">
        <v>22</v>
      </c>
      <c r="L693" s="5">
        <v>1349240400</v>
      </c>
      <c r="M693" s="5">
        <v>1350709200</v>
      </c>
      <c r="N693" s="8">
        <f t="shared" si="41"/>
        <v>41185.208333333336</v>
      </c>
      <c r="O693" s="8">
        <f t="shared" si="42"/>
        <v>41202.208333333336</v>
      </c>
      <c r="P693" s="21" t="str">
        <f>TEXT(CrowdfundingTable[[#This Row],[date_created]],"ddd")</f>
        <v>Wed</v>
      </c>
      <c r="Q693" s="21">
        <f>_xlfn.DAYS(CrowdfundingTable[[#This Row],[date_ended]],CrowdfundingTable[[#This Row],[date_created]])</f>
        <v>17</v>
      </c>
      <c r="R693" s="5" t="b">
        <v>1</v>
      </c>
      <c r="S693" s="5" t="b">
        <v>1</v>
      </c>
      <c r="T693" s="5" t="s">
        <v>42</v>
      </c>
      <c r="U693" s="5" t="s">
        <v>2032</v>
      </c>
      <c r="V693" s="5" t="s">
        <v>2044</v>
      </c>
      <c r="W693" s="5"/>
    </row>
    <row r="694" spans="1:23" ht="17" x14ac:dyDescent="0.2">
      <c r="A694" s="5">
        <v>692</v>
      </c>
      <c r="B694" s="5" t="s">
        <v>1423</v>
      </c>
      <c r="C694" s="6" t="s">
        <v>1424</v>
      </c>
      <c r="D694" s="94">
        <v>6000</v>
      </c>
      <c r="E694" s="94">
        <v>5438</v>
      </c>
      <c r="F694" s="7">
        <f t="shared" si="43"/>
        <v>0.90633333333333332</v>
      </c>
      <c r="G694" s="5" t="s">
        <v>14</v>
      </c>
      <c r="H694" s="5">
        <v>77</v>
      </c>
      <c r="I694" s="96">
        <f t="shared" si="40"/>
        <v>70.623376623376629</v>
      </c>
      <c r="J694" s="5" t="s">
        <v>40</v>
      </c>
      <c r="K694" s="5" t="s">
        <v>41</v>
      </c>
      <c r="L694" s="5">
        <v>1562648400</v>
      </c>
      <c r="M694" s="5">
        <v>1564203600</v>
      </c>
      <c r="N694" s="8">
        <f t="shared" si="41"/>
        <v>43655.208333333328</v>
      </c>
      <c r="O694" s="8">
        <f t="shared" si="42"/>
        <v>43673.208333333328</v>
      </c>
      <c r="P694" s="21" t="str">
        <f>TEXT(CrowdfundingTable[[#This Row],[date_created]],"ddd")</f>
        <v>Tue</v>
      </c>
      <c r="Q694" s="21">
        <f>_xlfn.DAYS(CrowdfundingTable[[#This Row],[date_ended]],CrowdfundingTable[[#This Row],[date_created]])</f>
        <v>18</v>
      </c>
      <c r="R694" s="5" t="b">
        <v>0</v>
      </c>
      <c r="S694" s="5" t="b">
        <v>0</v>
      </c>
      <c r="T694" s="5" t="s">
        <v>23</v>
      </c>
      <c r="U694" s="5" t="s">
        <v>2036</v>
      </c>
      <c r="V694" s="5" t="s">
        <v>2057</v>
      </c>
      <c r="W694" s="5"/>
    </row>
    <row r="695" spans="1:23" ht="17" x14ac:dyDescent="0.2">
      <c r="A695" s="5">
        <v>693</v>
      </c>
      <c r="B695" s="5" t="s">
        <v>1425</v>
      </c>
      <c r="C695" s="6" t="s">
        <v>1426</v>
      </c>
      <c r="D695" s="94">
        <v>180400</v>
      </c>
      <c r="E695" s="94">
        <v>115396</v>
      </c>
      <c r="F695" s="7">
        <f t="shared" si="43"/>
        <v>0.63966740576496672</v>
      </c>
      <c r="G695" s="5" t="s">
        <v>14</v>
      </c>
      <c r="H695" s="5">
        <v>1748</v>
      </c>
      <c r="I695" s="96">
        <f t="shared" si="40"/>
        <v>66.016018306636155</v>
      </c>
      <c r="J695" s="5" t="s">
        <v>21</v>
      </c>
      <c r="K695" s="5" t="s">
        <v>22</v>
      </c>
      <c r="L695" s="5">
        <v>1508216400</v>
      </c>
      <c r="M695" s="5">
        <v>1509685200</v>
      </c>
      <c r="N695" s="8">
        <f t="shared" si="41"/>
        <v>43025.208333333328</v>
      </c>
      <c r="O695" s="8">
        <f t="shared" si="42"/>
        <v>43042.208333333328</v>
      </c>
      <c r="P695" s="21" t="str">
        <f>TEXT(CrowdfundingTable[[#This Row],[date_created]],"ddd")</f>
        <v>Tue</v>
      </c>
      <c r="Q695" s="21">
        <f>_xlfn.DAYS(CrowdfundingTable[[#This Row],[date_ended]],CrowdfundingTable[[#This Row],[date_created]])</f>
        <v>17</v>
      </c>
      <c r="R695" s="5" t="b">
        <v>0</v>
      </c>
      <c r="S695" s="5" t="b">
        <v>0</v>
      </c>
      <c r="T695" s="5" t="s">
        <v>33</v>
      </c>
      <c r="U695" s="5" t="s">
        <v>2040</v>
      </c>
      <c r="V695" s="5" t="s">
        <v>2055</v>
      </c>
      <c r="W695" s="5"/>
    </row>
    <row r="696" spans="1:23" ht="17" x14ac:dyDescent="0.2">
      <c r="A696" s="5">
        <v>694</v>
      </c>
      <c r="B696" s="5" t="s">
        <v>1427</v>
      </c>
      <c r="C696" s="6" t="s">
        <v>1428</v>
      </c>
      <c r="D696" s="94">
        <v>9100</v>
      </c>
      <c r="E696" s="94">
        <v>7656</v>
      </c>
      <c r="F696" s="7">
        <f t="shared" si="43"/>
        <v>0.84131868131868137</v>
      </c>
      <c r="G696" s="5" t="s">
        <v>14</v>
      </c>
      <c r="H696" s="5">
        <v>79</v>
      </c>
      <c r="I696" s="96">
        <f t="shared" si="40"/>
        <v>96.911392405063296</v>
      </c>
      <c r="J696" s="5" t="s">
        <v>21</v>
      </c>
      <c r="K696" s="5" t="s">
        <v>22</v>
      </c>
      <c r="L696" s="5">
        <v>1511762400</v>
      </c>
      <c r="M696" s="5">
        <v>1514959200</v>
      </c>
      <c r="N696" s="8">
        <f t="shared" si="41"/>
        <v>43066.25</v>
      </c>
      <c r="O696" s="8">
        <f t="shared" si="42"/>
        <v>43103.25</v>
      </c>
      <c r="P696" s="21" t="str">
        <f>TEXT(CrowdfundingTable[[#This Row],[date_created]],"ddd")</f>
        <v>Mon</v>
      </c>
      <c r="Q696" s="21">
        <f>_xlfn.DAYS(CrowdfundingTable[[#This Row],[date_ended]],CrowdfundingTable[[#This Row],[date_created]])</f>
        <v>37</v>
      </c>
      <c r="R696" s="5" t="b">
        <v>0</v>
      </c>
      <c r="S696" s="5" t="b">
        <v>0</v>
      </c>
      <c r="T696" s="5" t="s">
        <v>33</v>
      </c>
      <c r="U696" s="5" t="s">
        <v>2040</v>
      </c>
      <c r="V696" s="5" t="s">
        <v>2055</v>
      </c>
      <c r="W696" s="5"/>
    </row>
    <row r="697" spans="1:23" ht="17" x14ac:dyDescent="0.2">
      <c r="A697" s="5">
        <v>695</v>
      </c>
      <c r="B697" s="5" t="s">
        <v>1429</v>
      </c>
      <c r="C697" s="6" t="s">
        <v>1430</v>
      </c>
      <c r="D697" s="94">
        <v>9200</v>
      </c>
      <c r="E697" s="94">
        <v>12322</v>
      </c>
      <c r="F697" s="7">
        <f t="shared" si="43"/>
        <v>1.3393478260869565</v>
      </c>
      <c r="G697" s="5" t="s">
        <v>20</v>
      </c>
      <c r="H697" s="5">
        <v>196</v>
      </c>
      <c r="I697" s="96">
        <f t="shared" si="40"/>
        <v>62.867346938775512</v>
      </c>
      <c r="J697" s="5" t="s">
        <v>107</v>
      </c>
      <c r="K697" s="5" t="s">
        <v>108</v>
      </c>
      <c r="L697" s="5">
        <v>1447480800</v>
      </c>
      <c r="M697" s="5">
        <v>1448863200</v>
      </c>
      <c r="N697" s="8">
        <f t="shared" si="41"/>
        <v>42322.25</v>
      </c>
      <c r="O697" s="8">
        <f t="shared" si="42"/>
        <v>42338.25</v>
      </c>
      <c r="P697" s="21" t="str">
        <f>TEXT(CrowdfundingTable[[#This Row],[date_created]],"ddd")</f>
        <v>Sat</v>
      </c>
      <c r="Q697" s="21">
        <f>_xlfn.DAYS(CrowdfundingTable[[#This Row],[date_ended]],CrowdfundingTable[[#This Row],[date_created]])</f>
        <v>16</v>
      </c>
      <c r="R697" s="5" t="b">
        <v>1</v>
      </c>
      <c r="S697" s="5" t="b">
        <v>0</v>
      </c>
      <c r="T697" s="5" t="s">
        <v>23</v>
      </c>
      <c r="U697" s="5" t="s">
        <v>2036</v>
      </c>
      <c r="V697" s="5" t="s">
        <v>2057</v>
      </c>
      <c r="W697" s="5"/>
    </row>
    <row r="698" spans="1:23" ht="17" x14ac:dyDescent="0.2">
      <c r="A698" s="5">
        <v>696</v>
      </c>
      <c r="B698" s="5" t="s">
        <v>1431</v>
      </c>
      <c r="C698" s="6" t="s">
        <v>1432</v>
      </c>
      <c r="D698" s="94">
        <v>164100</v>
      </c>
      <c r="E698" s="94">
        <v>96888</v>
      </c>
      <c r="F698" s="7">
        <f t="shared" si="43"/>
        <v>0.59042047531992692</v>
      </c>
      <c r="G698" s="5" t="s">
        <v>14</v>
      </c>
      <c r="H698" s="5">
        <v>889</v>
      </c>
      <c r="I698" s="96">
        <f t="shared" si="40"/>
        <v>108.98537682789652</v>
      </c>
      <c r="J698" s="5" t="s">
        <v>21</v>
      </c>
      <c r="K698" s="5" t="s">
        <v>22</v>
      </c>
      <c r="L698" s="5">
        <v>1429506000</v>
      </c>
      <c r="M698" s="5">
        <v>1429592400</v>
      </c>
      <c r="N698" s="8">
        <f t="shared" si="41"/>
        <v>42114.208333333328</v>
      </c>
      <c r="O698" s="8">
        <f t="shared" si="42"/>
        <v>42115.208333333328</v>
      </c>
      <c r="P698" s="21" t="str">
        <f>TEXT(CrowdfundingTable[[#This Row],[date_created]],"ddd")</f>
        <v>Mon</v>
      </c>
      <c r="Q698" s="21">
        <f>_xlfn.DAYS(CrowdfundingTable[[#This Row],[date_ended]],CrowdfundingTable[[#This Row],[date_created]])</f>
        <v>1</v>
      </c>
      <c r="R698" s="5" t="b">
        <v>0</v>
      </c>
      <c r="S698" s="5" t="b">
        <v>1</v>
      </c>
      <c r="T698" s="5" t="s">
        <v>33</v>
      </c>
      <c r="U698" s="5" t="s">
        <v>2040</v>
      </c>
      <c r="V698" s="5" t="s">
        <v>2055</v>
      </c>
      <c r="W698" s="5"/>
    </row>
    <row r="699" spans="1:23" ht="17" x14ac:dyDescent="0.2">
      <c r="A699" s="5">
        <v>697</v>
      </c>
      <c r="B699" s="5" t="s">
        <v>1433</v>
      </c>
      <c r="C699" s="6" t="s">
        <v>1434</v>
      </c>
      <c r="D699" s="94">
        <v>128900</v>
      </c>
      <c r="E699" s="94">
        <v>196960</v>
      </c>
      <c r="F699" s="7">
        <f t="shared" si="43"/>
        <v>1.5280062063615205</v>
      </c>
      <c r="G699" s="5" t="s">
        <v>20</v>
      </c>
      <c r="H699" s="5">
        <v>7295</v>
      </c>
      <c r="I699" s="96">
        <f t="shared" si="40"/>
        <v>26.999314599040439</v>
      </c>
      <c r="J699" s="5" t="s">
        <v>21</v>
      </c>
      <c r="K699" s="5" t="s">
        <v>22</v>
      </c>
      <c r="L699" s="5">
        <v>1522472400</v>
      </c>
      <c r="M699" s="5">
        <v>1522645200</v>
      </c>
      <c r="N699" s="8">
        <f t="shared" si="41"/>
        <v>43190.208333333328</v>
      </c>
      <c r="O699" s="8">
        <f t="shared" si="42"/>
        <v>43192.208333333328</v>
      </c>
      <c r="P699" s="21" t="str">
        <f>TEXT(CrowdfundingTable[[#This Row],[date_created]],"ddd")</f>
        <v>Sat</v>
      </c>
      <c r="Q699" s="21">
        <f>_xlfn.DAYS(CrowdfundingTable[[#This Row],[date_ended]],CrowdfundingTable[[#This Row],[date_created]])</f>
        <v>2</v>
      </c>
      <c r="R699" s="5" t="b">
        <v>0</v>
      </c>
      <c r="S699" s="5" t="b">
        <v>0</v>
      </c>
      <c r="T699" s="5" t="s">
        <v>50</v>
      </c>
      <c r="U699" s="5" t="s">
        <v>2036</v>
      </c>
      <c r="V699" s="5" t="s">
        <v>2046</v>
      </c>
      <c r="W699" s="5"/>
    </row>
    <row r="700" spans="1:23" ht="17" x14ac:dyDescent="0.2">
      <c r="A700" s="5">
        <v>698</v>
      </c>
      <c r="B700" s="5" t="s">
        <v>1435</v>
      </c>
      <c r="C700" s="6" t="s">
        <v>1436</v>
      </c>
      <c r="D700" s="94">
        <v>42100</v>
      </c>
      <c r="E700" s="94">
        <v>188057</v>
      </c>
      <c r="F700" s="7">
        <f t="shared" si="43"/>
        <v>4.466912114014252</v>
      </c>
      <c r="G700" s="5" t="s">
        <v>20</v>
      </c>
      <c r="H700" s="5">
        <v>2893</v>
      </c>
      <c r="I700" s="96">
        <f t="shared" si="40"/>
        <v>65.004147943311438</v>
      </c>
      <c r="J700" s="5" t="s">
        <v>15</v>
      </c>
      <c r="K700" s="5" t="s">
        <v>16</v>
      </c>
      <c r="L700" s="5">
        <v>1322114400</v>
      </c>
      <c r="M700" s="5">
        <v>1323324000</v>
      </c>
      <c r="N700" s="8">
        <f t="shared" si="41"/>
        <v>40871.25</v>
      </c>
      <c r="O700" s="8">
        <f t="shared" si="42"/>
        <v>40885.25</v>
      </c>
      <c r="P700" s="21" t="str">
        <f>TEXT(CrowdfundingTable[[#This Row],[date_created]],"ddd")</f>
        <v>Thu</v>
      </c>
      <c r="Q700" s="21">
        <f>_xlfn.DAYS(CrowdfundingTable[[#This Row],[date_ended]],CrowdfundingTable[[#This Row],[date_created]])</f>
        <v>14</v>
      </c>
      <c r="R700" s="5" t="b">
        <v>0</v>
      </c>
      <c r="S700" s="5" t="b">
        <v>0</v>
      </c>
      <c r="T700" s="5" t="s">
        <v>65</v>
      </c>
      <c r="U700" s="5" t="s">
        <v>2039</v>
      </c>
      <c r="V700" s="5" t="s">
        <v>2063</v>
      </c>
      <c r="W700" s="5"/>
    </row>
    <row r="701" spans="1:23" ht="17" x14ac:dyDescent="0.2">
      <c r="A701" s="5">
        <v>699</v>
      </c>
      <c r="B701" s="5" t="s">
        <v>444</v>
      </c>
      <c r="C701" s="6" t="s">
        <v>1437</v>
      </c>
      <c r="D701" s="94">
        <v>7400</v>
      </c>
      <c r="E701" s="94">
        <v>6245</v>
      </c>
      <c r="F701" s="7">
        <f t="shared" si="43"/>
        <v>0.8439189189189189</v>
      </c>
      <c r="G701" s="5" t="s">
        <v>14</v>
      </c>
      <c r="H701" s="5">
        <v>56</v>
      </c>
      <c r="I701" s="96">
        <f t="shared" si="40"/>
        <v>111.51785714285714</v>
      </c>
      <c r="J701" s="5" t="s">
        <v>21</v>
      </c>
      <c r="K701" s="5" t="s">
        <v>22</v>
      </c>
      <c r="L701" s="5">
        <v>1561438800</v>
      </c>
      <c r="M701" s="5">
        <v>1561525200</v>
      </c>
      <c r="N701" s="8">
        <f t="shared" si="41"/>
        <v>43641.208333333328</v>
      </c>
      <c r="O701" s="8">
        <f t="shared" si="42"/>
        <v>43642.208333333328</v>
      </c>
      <c r="P701" s="21" t="str">
        <f>TEXT(CrowdfundingTable[[#This Row],[date_created]],"ddd")</f>
        <v>Tue</v>
      </c>
      <c r="Q701" s="21">
        <f>_xlfn.DAYS(CrowdfundingTable[[#This Row],[date_ended]],CrowdfundingTable[[#This Row],[date_created]])</f>
        <v>1</v>
      </c>
      <c r="R701" s="5" t="b">
        <v>0</v>
      </c>
      <c r="S701" s="5" t="b">
        <v>0</v>
      </c>
      <c r="T701" s="5" t="s">
        <v>53</v>
      </c>
      <c r="U701" s="5" t="s">
        <v>2032</v>
      </c>
      <c r="V701" s="5" t="s">
        <v>2045</v>
      </c>
      <c r="W701" s="5"/>
    </row>
    <row r="702" spans="1:23" ht="17" x14ac:dyDescent="0.2">
      <c r="A702" s="5">
        <v>700</v>
      </c>
      <c r="B702" s="5" t="s">
        <v>1438</v>
      </c>
      <c r="C702" s="6" t="s">
        <v>1439</v>
      </c>
      <c r="D702" s="94">
        <v>100</v>
      </c>
      <c r="E702" s="94">
        <v>3</v>
      </c>
      <c r="F702" s="7">
        <f t="shared" si="43"/>
        <v>0.03</v>
      </c>
      <c r="G702" s="5" t="s">
        <v>14</v>
      </c>
      <c r="H702" s="5">
        <v>1</v>
      </c>
      <c r="I702" s="96">
        <f t="shared" si="40"/>
        <v>3</v>
      </c>
      <c r="J702" s="5" t="s">
        <v>21</v>
      </c>
      <c r="K702" s="5" t="s">
        <v>22</v>
      </c>
      <c r="L702" s="5">
        <v>1264399200</v>
      </c>
      <c r="M702" s="5">
        <v>1265695200</v>
      </c>
      <c r="N702" s="8">
        <f t="shared" si="41"/>
        <v>40203.25</v>
      </c>
      <c r="O702" s="8">
        <f t="shared" si="42"/>
        <v>40218.25</v>
      </c>
      <c r="P702" s="21" t="str">
        <f>TEXT(CrowdfundingTable[[#This Row],[date_created]],"ddd")</f>
        <v>Mon</v>
      </c>
      <c r="Q702" s="21">
        <f>_xlfn.DAYS(CrowdfundingTable[[#This Row],[date_ended]],CrowdfundingTable[[#This Row],[date_created]])</f>
        <v>15</v>
      </c>
      <c r="R702" s="5" t="b">
        <v>0</v>
      </c>
      <c r="S702" s="5" t="b">
        <v>0</v>
      </c>
      <c r="T702" s="5" t="s">
        <v>65</v>
      </c>
      <c r="U702" s="5" t="s">
        <v>2039</v>
      </c>
      <c r="V702" s="5" t="s">
        <v>2063</v>
      </c>
      <c r="W702" s="5"/>
    </row>
    <row r="703" spans="1:23" ht="17" x14ac:dyDescent="0.2">
      <c r="A703" s="5">
        <v>701</v>
      </c>
      <c r="B703" s="5" t="s">
        <v>1440</v>
      </c>
      <c r="C703" s="6" t="s">
        <v>1441</v>
      </c>
      <c r="D703" s="94">
        <v>52000</v>
      </c>
      <c r="E703" s="94">
        <v>91014</v>
      </c>
      <c r="F703" s="7">
        <f t="shared" si="43"/>
        <v>1.7502692307692307</v>
      </c>
      <c r="G703" s="5" t="s">
        <v>20</v>
      </c>
      <c r="H703" s="5">
        <v>820</v>
      </c>
      <c r="I703" s="96">
        <f t="shared" si="40"/>
        <v>110.99268292682927</v>
      </c>
      <c r="J703" s="5" t="s">
        <v>21</v>
      </c>
      <c r="K703" s="5" t="s">
        <v>22</v>
      </c>
      <c r="L703" s="5">
        <v>1301202000</v>
      </c>
      <c r="M703" s="5">
        <v>1301806800</v>
      </c>
      <c r="N703" s="8">
        <f t="shared" si="41"/>
        <v>40629.208333333336</v>
      </c>
      <c r="O703" s="8">
        <f t="shared" si="42"/>
        <v>40636.208333333336</v>
      </c>
      <c r="P703" s="21" t="str">
        <f>TEXT(CrowdfundingTable[[#This Row],[date_created]],"ddd")</f>
        <v>Sun</v>
      </c>
      <c r="Q703" s="21">
        <f>_xlfn.DAYS(CrowdfundingTable[[#This Row],[date_ended]],CrowdfundingTable[[#This Row],[date_created]])</f>
        <v>7</v>
      </c>
      <c r="R703" s="5" t="b">
        <v>1</v>
      </c>
      <c r="S703" s="5" t="b">
        <v>0</v>
      </c>
      <c r="T703" s="5" t="s">
        <v>33</v>
      </c>
      <c r="U703" s="5" t="s">
        <v>2040</v>
      </c>
      <c r="V703" s="5" t="s">
        <v>2055</v>
      </c>
      <c r="W703" s="5"/>
    </row>
    <row r="704" spans="1:23" ht="17" x14ac:dyDescent="0.2">
      <c r="A704" s="5">
        <v>702</v>
      </c>
      <c r="B704" s="5" t="s">
        <v>1442</v>
      </c>
      <c r="C704" s="6" t="s">
        <v>1443</v>
      </c>
      <c r="D704" s="94">
        <v>8700</v>
      </c>
      <c r="E704" s="94">
        <v>4710</v>
      </c>
      <c r="F704" s="7">
        <f t="shared" si="43"/>
        <v>0.54137931034482756</v>
      </c>
      <c r="G704" s="5" t="s">
        <v>14</v>
      </c>
      <c r="H704" s="5">
        <v>83</v>
      </c>
      <c r="I704" s="96">
        <f t="shared" si="40"/>
        <v>56.746987951807228</v>
      </c>
      <c r="J704" s="5" t="s">
        <v>21</v>
      </c>
      <c r="K704" s="5" t="s">
        <v>22</v>
      </c>
      <c r="L704" s="5">
        <v>1374469200</v>
      </c>
      <c r="M704" s="5">
        <v>1374901200</v>
      </c>
      <c r="N704" s="8">
        <f t="shared" si="41"/>
        <v>41477.208333333336</v>
      </c>
      <c r="O704" s="8">
        <f t="shared" si="42"/>
        <v>41482.208333333336</v>
      </c>
      <c r="P704" s="21" t="str">
        <f>TEXT(CrowdfundingTable[[#This Row],[date_created]],"ddd")</f>
        <v>Mon</v>
      </c>
      <c r="Q704" s="21">
        <f>_xlfn.DAYS(CrowdfundingTable[[#This Row],[date_ended]],CrowdfundingTable[[#This Row],[date_created]])</f>
        <v>5</v>
      </c>
      <c r="R704" s="5" t="b">
        <v>0</v>
      </c>
      <c r="S704" s="5" t="b">
        <v>0</v>
      </c>
      <c r="T704" s="5" t="s">
        <v>65</v>
      </c>
      <c r="U704" s="5" t="s">
        <v>2039</v>
      </c>
      <c r="V704" s="5" t="s">
        <v>2063</v>
      </c>
      <c r="W704" s="5"/>
    </row>
    <row r="705" spans="1:23" ht="17" x14ac:dyDescent="0.2">
      <c r="A705" s="5">
        <v>703</v>
      </c>
      <c r="B705" s="5" t="s">
        <v>1444</v>
      </c>
      <c r="C705" s="6" t="s">
        <v>1445</v>
      </c>
      <c r="D705" s="94">
        <v>63400</v>
      </c>
      <c r="E705" s="94">
        <v>197728</v>
      </c>
      <c r="F705" s="7">
        <f t="shared" si="43"/>
        <v>3.1187381703470032</v>
      </c>
      <c r="G705" s="5" t="s">
        <v>20</v>
      </c>
      <c r="H705" s="5">
        <v>2038</v>
      </c>
      <c r="I705" s="96">
        <f t="shared" si="40"/>
        <v>97.020608439646708</v>
      </c>
      <c r="J705" s="5" t="s">
        <v>21</v>
      </c>
      <c r="K705" s="5" t="s">
        <v>22</v>
      </c>
      <c r="L705" s="5">
        <v>1334984400</v>
      </c>
      <c r="M705" s="5">
        <v>1336453200</v>
      </c>
      <c r="N705" s="8">
        <f t="shared" si="41"/>
        <v>41020.208333333336</v>
      </c>
      <c r="O705" s="8">
        <f t="shared" si="42"/>
        <v>41037.208333333336</v>
      </c>
      <c r="P705" s="21" t="str">
        <f>TEXT(CrowdfundingTable[[#This Row],[date_created]],"ddd")</f>
        <v>Sat</v>
      </c>
      <c r="Q705" s="21">
        <f>_xlfn.DAYS(CrowdfundingTable[[#This Row],[date_ended]],CrowdfundingTable[[#This Row],[date_created]])</f>
        <v>17</v>
      </c>
      <c r="R705" s="5" t="b">
        <v>1</v>
      </c>
      <c r="S705" s="5" t="b">
        <v>1</v>
      </c>
      <c r="T705" s="5" t="s">
        <v>206</v>
      </c>
      <c r="U705" s="5" t="s">
        <v>2038</v>
      </c>
      <c r="V705" s="5" t="s">
        <v>2061</v>
      </c>
      <c r="W705" s="5"/>
    </row>
    <row r="706" spans="1:23" ht="34" x14ac:dyDescent="0.2">
      <c r="A706" s="5">
        <v>704</v>
      </c>
      <c r="B706" s="5" t="s">
        <v>1446</v>
      </c>
      <c r="C706" s="6" t="s">
        <v>1447</v>
      </c>
      <c r="D706" s="94">
        <v>8700</v>
      </c>
      <c r="E706" s="94">
        <v>10682</v>
      </c>
      <c r="F706" s="7">
        <f t="shared" si="43"/>
        <v>1.2278160919540231</v>
      </c>
      <c r="G706" s="5" t="s">
        <v>20</v>
      </c>
      <c r="H706" s="5">
        <v>116</v>
      </c>
      <c r="I706" s="96">
        <f t="shared" ref="I706:I769" si="44">IF(H706&lt;&gt;0,E706/H706,0)</f>
        <v>92.08620689655173</v>
      </c>
      <c r="J706" s="5" t="s">
        <v>21</v>
      </c>
      <c r="K706" s="5" t="s">
        <v>22</v>
      </c>
      <c r="L706" s="5">
        <v>1467608400</v>
      </c>
      <c r="M706" s="5">
        <v>1468904400</v>
      </c>
      <c r="N706" s="8">
        <f t="shared" si="41"/>
        <v>42555.208333333328</v>
      </c>
      <c r="O706" s="8">
        <f t="shared" si="42"/>
        <v>42570.208333333328</v>
      </c>
      <c r="P706" s="21" t="str">
        <f>TEXT(CrowdfundingTable[[#This Row],[date_created]],"ddd")</f>
        <v>Mon</v>
      </c>
      <c r="Q706" s="21">
        <f>_xlfn.DAYS(CrowdfundingTable[[#This Row],[date_ended]],CrowdfundingTable[[#This Row],[date_created]])</f>
        <v>15</v>
      </c>
      <c r="R706" s="5" t="b">
        <v>0</v>
      </c>
      <c r="S706" s="5" t="b">
        <v>0</v>
      </c>
      <c r="T706" s="5" t="s">
        <v>71</v>
      </c>
      <c r="U706" s="5" t="s">
        <v>2032</v>
      </c>
      <c r="V706" s="5" t="s">
        <v>2042</v>
      </c>
      <c r="W706" s="5"/>
    </row>
    <row r="707" spans="1:23" ht="17" x14ac:dyDescent="0.2">
      <c r="A707" s="5">
        <v>705</v>
      </c>
      <c r="B707" s="5" t="s">
        <v>1448</v>
      </c>
      <c r="C707" s="6" t="s">
        <v>1449</v>
      </c>
      <c r="D707" s="94">
        <v>169700</v>
      </c>
      <c r="E707" s="94">
        <v>168048</v>
      </c>
      <c r="F707" s="7">
        <f t="shared" si="43"/>
        <v>0.99026517383618151</v>
      </c>
      <c r="G707" s="5" t="s">
        <v>14</v>
      </c>
      <c r="H707" s="5">
        <v>2025</v>
      </c>
      <c r="I707" s="96">
        <f t="shared" si="44"/>
        <v>82.986666666666665</v>
      </c>
      <c r="J707" s="5" t="s">
        <v>40</v>
      </c>
      <c r="K707" s="5" t="s">
        <v>41</v>
      </c>
      <c r="L707" s="5">
        <v>1386741600</v>
      </c>
      <c r="M707" s="5">
        <v>1387087200</v>
      </c>
      <c r="N707" s="8">
        <f t="shared" ref="N707:N770" si="45">(((L707/60)/60)/24)+DATE(1970,1,1)</f>
        <v>41619.25</v>
      </c>
      <c r="O707" s="8">
        <f t="shared" ref="O707:O770" si="46">(((M707/60)/60)/24)+DATE(1970,1,1)</f>
        <v>41623.25</v>
      </c>
      <c r="P707" s="21" t="str">
        <f>TEXT(CrowdfundingTable[[#This Row],[date_created]],"ddd")</f>
        <v>Wed</v>
      </c>
      <c r="Q707" s="21">
        <f>_xlfn.DAYS(CrowdfundingTable[[#This Row],[date_ended]],CrowdfundingTable[[#This Row],[date_created]])</f>
        <v>4</v>
      </c>
      <c r="R707" s="5" t="b">
        <v>0</v>
      </c>
      <c r="S707" s="5" t="b">
        <v>0</v>
      </c>
      <c r="T707" s="5" t="s">
        <v>68</v>
      </c>
      <c r="U707" s="5" t="s">
        <v>2038</v>
      </c>
      <c r="V707" s="5" t="s">
        <v>2053</v>
      </c>
      <c r="W707" s="5"/>
    </row>
    <row r="708" spans="1:23" ht="34" x14ac:dyDescent="0.2">
      <c r="A708" s="5">
        <v>706</v>
      </c>
      <c r="B708" s="5" t="s">
        <v>1450</v>
      </c>
      <c r="C708" s="6" t="s">
        <v>1451</v>
      </c>
      <c r="D708" s="94">
        <v>108400</v>
      </c>
      <c r="E708" s="94">
        <v>138586</v>
      </c>
      <c r="F708" s="7">
        <f t="shared" ref="F708:F771" si="47">E708/D708</f>
        <v>1.278468634686347</v>
      </c>
      <c r="G708" s="5" t="s">
        <v>20</v>
      </c>
      <c r="H708" s="5">
        <v>1345</v>
      </c>
      <c r="I708" s="96">
        <f t="shared" si="44"/>
        <v>103.03791821561339</v>
      </c>
      <c r="J708" s="5" t="s">
        <v>26</v>
      </c>
      <c r="K708" s="5" t="s">
        <v>27</v>
      </c>
      <c r="L708" s="5">
        <v>1546754400</v>
      </c>
      <c r="M708" s="5">
        <v>1547445600</v>
      </c>
      <c r="N708" s="8">
        <f t="shared" si="45"/>
        <v>43471.25</v>
      </c>
      <c r="O708" s="8">
        <f t="shared" si="46"/>
        <v>43479.25</v>
      </c>
      <c r="P708" s="21" t="str">
        <f>TEXT(CrowdfundingTable[[#This Row],[date_created]],"ddd")</f>
        <v>Sun</v>
      </c>
      <c r="Q708" s="21">
        <f>_xlfn.DAYS(CrowdfundingTable[[#This Row],[date_ended]],CrowdfundingTable[[#This Row],[date_created]])</f>
        <v>8</v>
      </c>
      <c r="R708" s="5" t="b">
        <v>0</v>
      </c>
      <c r="S708" s="5" t="b">
        <v>1</v>
      </c>
      <c r="T708" s="5" t="s">
        <v>28</v>
      </c>
      <c r="U708" s="5" t="s">
        <v>2039</v>
      </c>
      <c r="V708" s="5" t="s">
        <v>2064</v>
      </c>
      <c r="W708" s="5"/>
    </row>
    <row r="709" spans="1:23" ht="34" x14ac:dyDescent="0.2">
      <c r="A709" s="5">
        <v>707</v>
      </c>
      <c r="B709" s="5" t="s">
        <v>1452</v>
      </c>
      <c r="C709" s="6" t="s">
        <v>1453</v>
      </c>
      <c r="D709" s="94">
        <v>7300</v>
      </c>
      <c r="E709" s="94">
        <v>11579</v>
      </c>
      <c r="F709" s="7">
        <f t="shared" si="47"/>
        <v>1.5861643835616439</v>
      </c>
      <c r="G709" s="5" t="s">
        <v>20</v>
      </c>
      <c r="H709" s="5">
        <v>168</v>
      </c>
      <c r="I709" s="96">
        <f t="shared" si="44"/>
        <v>68.922619047619051</v>
      </c>
      <c r="J709" s="5" t="s">
        <v>21</v>
      </c>
      <c r="K709" s="5" t="s">
        <v>22</v>
      </c>
      <c r="L709" s="5">
        <v>1544248800</v>
      </c>
      <c r="M709" s="5">
        <v>1547359200</v>
      </c>
      <c r="N709" s="8">
        <f t="shared" si="45"/>
        <v>43442.25</v>
      </c>
      <c r="O709" s="8">
        <f t="shared" si="46"/>
        <v>43478.25</v>
      </c>
      <c r="P709" s="21" t="str">
        <f>TEXT(CrowdfundingTable[[#This Row],[date_created]],"ddd")</f>
        <v>Sat</v>
      </c>
      <c r="Q709" s="21">
        <f>_xlfn.DAYS(CrowdfundingTable[[#This Row],[date_ended]],CrowdfundingTable[[#This Row],[date_created]])</f>
        <v>36</v>
      </c>
      <c r="R709" s="5" t="b">
        <v>0</v>
      </c>
      <c r="S709" s="5" t="b">
        <v>0</v>
      </c>
      <c r="T709" s="5" t="s">
        <v>53</v>
      </c>
      <c r="U709" s="5" t="s">
        <v>2032</v>
      </c>
      <c r="V709" s="5" t="s">
        <v>2045</v>
      </c>
      <c r="W709" s="5"/>
    </row>
    <row r="710" spans="1:23" ht="17" x14ac:dyDescent="0.2">
      <c r="A710" s="5">
        <v>708</v>
      </c>
      <c r="B710" s="5" t="s">
        <v>1454</v>
      </c>
      <c r="C710" s="6" t="s">
        <v>1455</v>
      </c>
      <c r="D710" s="94">
        <v>1700</v>
      </c>
      <c r="E710" s="94">
        <v>12020</v>
      </c>
      <c r="F710" s="7">
        <f t="shared" si="47"/>
        <v>7.0705882352941174</v>
      </c>
      <c r="G710" s="5" t="s">
        <v>20</v>
      </c>
      <c r="H710" s="5">
        <v>137</v>
      </c>
      <c r="I710" s="96">
        <f t="shared" si="44"/>
        <v>87.737226277372258</v>
      </c>
      <c r="J710" s="5" t="s">
        <v>98</v>
      </c>
      <c r="K710" s="5" t="s">
        <v>99</v>
      </c>
      <c r="L710" s="5">
        <v>1495429200</v>
      </c>
      <c r="M710" s="5">
        <v>1496293200</v>
      </c>
      <c r="N710" s="8">
        <f t="shared" si="45"/>
        <v>42877.208333333328</v>
      </c>
      <c r="O710" s="8">
        <f t="shared" si="46"/>
        <v>42887.208333333328</v>
      </c>
      <c r="P710" s="21" t="str">
        <f>TEXT(CrowdfundingTable[[#This Row],[date_created]],"ddd")</f>
        <v>Mon</v>
      </c>
      <c r="Q710" s="21">
        <f>_xlfn.DAYS(CrowdfundingTable[[#This Row],[date_ended]],CrowdfundingTable[[#This Row],[date_created]])</f>
        <v>10</v>
      </c>
      <c r="R710" s="5" t="b">
        <v>0</v>
      </c>
      <c r="S710" s="5" t="b">
        <v>0</v>
      </c>
      <c r="T710" s="5" t="s">
        <v>33</v>
      </c>
      <c r="U710" s="5" t="s">
        <v>2040</v>
      </c>
      <c r="V710" s="5" t="s">
        <v>2055</v>
      </c>
      <c r="W710" s="5"/>
    </row>
    <row r="711" spans="1:23" ht="17" x14ac:dyDescent="0.2">
      <c r="A711" s="5">
        <v>709</v>
      </c>
      <c r="B711" s="5" t="s">
        <v>1456</v>
      </c>
      <c r="C711" s="6" t="s">
        <v>1457</v>
      </c>
      <c r="D711" s="94">
        <v>9800</v>
      </c>
      <c r="E711" s="94">
        <v>13954</v>
      </c>
      <c r="F711" s="7">
        <f t="shared" si="47"/>
        <v>1.4238775510204082</v>
      </c>
      <c r="G711" s="5" t="s">
        <v>20</v>
      </c>
      <c r="H711" s="5">
        <v>186</v>
      </c>
      <c r="I711" s="96">
        <f t="shared" si="44"/>
        <v>75.021505376344081</v>
      </c>
      <c r="J711" s="5" t="s">
        <v>107</v>
      </c>
      <c r="K711" s="5" t="s">
        <v>108</v>
      </c>
      <c r="L711" s="5">
        <v>1334811600</v>
      </c>
      <c r="M711" s="5">
        <v>1335416400</v>
      </c>
      <c r="N711" s="8">
        <f t="shared" si="45"/>
        <v>41018.208333333336</v>
      </c>
      <c r="O711" s="8">
        <f t="shared" si="46"/>
        <v>41025.208333333336</v>
      </c>
      <c r="P711" s="21" t="str">
        <f>TEXT(CrowdfundingTable[[#This Row],[date_created]],"ddd")</f>
        <v>Thu</v>
      </c>
      <c r="Q711" s="21">
        <f>_xlfn.DAYS(CrowdfundingTable[[#This Row],[date_ended]],CrowdfundingTable[[#This Row],[date_created]])</f>
        <v>7</v>
      </c>
      <c r="R711" s="5" t="b">
        <v>0</v>
      </c>
      <c r="S711" s="5" t="b">
        <v>0</v>
      </c>
      <c r="T711" s="5" t="s">
        <v>33</v>
      </c>
      <c r="U711" s="5" t="s">
        <v>2040</v>
      </c>
      <c r="V711" s="5" t="s">
        <v>2055</v>
      </c>
      <c r="W711" s="5"/>
    </row>
    <row r="712" spans="1:23" ht="17" x14ac:dyDescent="0.2">
      <c r="A712" s="5">
        <v>710</v>
      </c>
      <c r="B712" s="5" t="s">
        <v>1458</v>
      </c>
      <c r="C712" s="6" t="s">
        <v>1459</v>
      </c>
      <c r="D712" s="94">
        <v>4300</v>
      </c>
      <c r="E712" s="94">
        <v>6358</v>
      </c>
      <c r="F712" s="7">
        <f t="shared" si="47"/>
        <v>1.4786046511627906</v>
      </c>
      <c r="G712" s="5" t="s">
        <v>20</v>
      </c>
      <c r="H712" s="5">
        <v>125</v>
      </c>
      <c r="I712" s="96">
        <f t="shared" si="44"/>
        <v>50.863999999999997</v>
      </c>
      <c r="J712" s="5" t="s">
        <v>21</v>
      </c>
      <c r="K712" s="5" t="s">
        <v>22</v>
      </c>
      <c r="L712" s="5">
        <v>1531544400</v>
      </c>
      <c r="M712" s="5">
        <v>1532149200</v>
      </c>
      <c r="N712" s="8">
        <f t="shared" si="45"/>
        <v>43295.208333333328</v>
      </c>
      <c r="O712" s="8">
        <f t="shared" si="46"/>
        <v>43302.208333333328</v>
      </c>
      <c r="P712" s="21" t="str">
        <f>TEXT(CrowdfundingTable[[#This Row],[date_created]],"ddd")</f>
        <v>Sat</v>
      </c>
      <c r="Q712" s="21">
        <f>_xlfn.DAYS(CrowdfundingTable[[#This Row],[date_ended]],CrowdfundingTable[[#This Row],[date_created]])</f>
        <v>7</v>
      </c>
      <c r="R712" s="5" t="b">
        <v>0</v>
      </c>
      <c r="S712" s="5" t="b">
        <v>1</v>
      </c>
      <c r="T712" s="5" t="s">
        <v>33</v>
      </c>
      <c r="U712" s="5" t="s">
        <v>2040</v>
      </c>
      <c r="V712" s="5" t="s">
        <v>2055</v>
      </c>
      <c r="W712" s="5"/>
    </row>
    <row r="713" spans="1:23" ht="34" x14ac:dyDescent="0.2">
      <c r="A713" s="5">
        <v>711</v>
      </c>
      <c r="B713" s="5" t="s">
        <v>1460</v>
      </c>
      <c r="C713" s="6" t="s">
        <v>1461</v>
      </c>
      <c r="D713" s="94">
        <v>6200</v>
      </c>
      <c r="E713" s="94">
        <v>1260</v>
      </c>
      <c r="F713" s="7">
        <f t="shared" si="47"/>
        <v>0.20322580645161289</v>
      </c>
      <c r="G713" s="5" t="s">
        <v>14</v>
      </c>
      <c r="H713" s="5">
        <v>14</v>
      </c>
      <c r="I713" s="96">
        <f t="shared" si="44"/>
        <v>90</v>
      </c>
      <c r="J713" s="5" t="s">
        <v>107</v>
      </c>
      <c r="K713" s="5" t="s">
        <v>108</v>
      </c>
      <c r="L713" s="5">
        <v>1453615200</v>
      </c>
      <c r="M713" s="5">
        <v>1453788000</v>
      </c>
      <c r="N713" s="8">
        <f t="shared" si="45"/>
        <v>42393.25</v>
      </c>
      <c r="O713" s="8">
        <f t="shared" si="46"/>
        <v>42395.25</v>
      </c>
      <c r="P713" s="21" t="str">
        <f>TEXT(CrowdfundingTable[[#This Row],[date_created]],"ddd")</f>
        <v>Sun</v>
      </c>
      <c r="Q713" s="21">
        <f>_xlfn.DAYS(CrowdfundingTable[[#This Row],[date_ended]],CrowdfundingTable[[#This Row],[date_created]])</f>
        <v>2</v>
      </c>
      <c r="R713" s="5" t="b">
        <v>1</v>
      </c>
      <c r="S713" s="5" t="b">
        <v>1</v>
      </c>
      <c r="T713" s="5" t="s">
        <v>33</v>
      </c>
      <c r="U713" s="5" t="s">
        <v>2040</v>
      </c>
      <c r="V713" s="5" t="s">
        <v>2055</v>
      </c>
      <c r="W713" s="5"/>
    </row>
    <row r="714" spans="1:23" ht="17" x14ac:dyDescent="0.2">
      <c r="A714" s="5">
        <v>712</v>
      </c>
      <c r="B714" s="5" t="s">
        <v>1462</v>
      </c>
      <c r="C714" s="6" t="s">
        <v>1463</v>
      </c>
      <c r="D714" s="94">
        <v>800</v>
      </c>
      <c r="E714" s="94">
        <v>14725</v>
      </c>
      <c r="F714" s="7">
        <f t="shared" si="47"/>
        <v>18.40625</v>
      </c>
      <c r="G714" s="5" t="s">
        <v>20</v>
      </c>
      <c r="H714" s="5">
        <v>202</v>
      </c>
      <c r="I714" s="96">
        <f t="shared" si="44"/>
        <v>72.896039603960389</v>
      </c>
      <c r="J714" s="5" t="s">
        <v>21</v>
      </c>
      <c r="K714" s="5" t="s">
        <v>22</v>
      </c>
      <c r="L714" s="5">
        <v>1467954000</v>
      </c>
      <c r="M714" s="5">
        <v>1471496400</v>
      </c>
      <c r="N714" s="8">
        <f t="shared" si="45"/>
        <v>42559.208333333328</v>
      </c>
      <c r="O714" s="8">
        <f t="shared" si="46"/>
        <v>42600.208333333328</v>
      </c>
      <c r="P714" s="21" t="str">
        <f>TEXT(CrowdfundingTable[[#This Row],[date_created]],"ddd")</f>
        <v>Fri</v>
      </c>
      <c r="Q714" s="21">
        <f>_xlfn.DAYS(CrowdfundingTable[[#This Row],[date_ended]],CrowdfundingTable[[#This Row],[date_created]])</f>
        <v>41</v>
      </c>
      <c r="R714" s="5" t="b">
        <v>0</v>
      </c>
      <c r="S714" s="5" t="b">
        <v>0</v>
      </c>
      <c r="T714" s="5" t="s">
        <v>33</v>
      </c>
      <c r="U714" s="5" t="s">
        <v>2040</v>
      </c>
      <c r="V714" s="5" t="s">
        <v>2055</v>
      </c>
      <c r="W714" s="5"/>
    </row>
    <row r="715" spans="1:23" ht="17" x14ac:dyDescent="0.2">
      <c r="A715" s="5">
        <v>713</v>
      </c>
      <c r="B715" s="5" t="s">
        <v>1464</v>
      </c>
      <c r="C715" s="6" t="s">
        <v>1465</v>
      </c>
      <c r="D715" s="94">
        <v>6900</v>
      </c>
      <c r="E715" s="94">
        <v>11174</v>
      </c>
      <c r="F715" s="7">
        <f t="shared" si="47"/>
        <v>1.6194202898550725</v>
      </c>
      <c r="G715" s="5" t="s">
        <v>20</v>
      </c>
      <c r="H715" s="5">
        <v>103</v>
      </c>
      <c r="I715" s="96">
        <f t="shared" si="44"/>
        <v>108.48543689320388</v>
      </c>
      <c r="J715" s="5" t="s">
        <v>21</v>
      </c>
      <c r="K715" s="5" t="s">
        <v>22</v>
      </c>
      <c r="L715" s="5">
        <v>1471842000</v>
      </c>
      <c r="M715" s="5">
        <v>1472878800</v>
      </c>
      <c r="N715" s="8">
        <f t="shared" si="45"/>
        <v>42604.208333333328</v>
      </c>
      <c r="O715" s="8">
        <f t="shared" si="46"/>
        <v>42616.208333333328</v>
      </c>
      <c r="P715" s="21" t="str">
        <f>TEXT(CrowdfundingTable[[#This Row],[date_created]],"ddd")</f>
        <v>Mon</v>
      </c>
      <c r="Q715" s="21">
        <f>_xlfn.DAYS(CrowdfundingTable[[#This Row],[date_ended]],CrowdfundingTable[[#This Row],[date_created]])</f>
        <v>12</v>
      </c>
      <c r="R715" s="5" t="b">
        <v>0</v>
      </c>
      <c r="S715" s="5" t="b">
        <v>0</v>
      </c>
      <c r="T715" s="5" t="s">
        <v>133</v>
      </c>
      <c r="U715" s="5" t="s">
        <v>2038</v>
      </c>
      <c r="V715" s="5" t="s">
        <v>2056</v>
      </c>
      <c r="W715" s="5"/>
    </row>
    <row r="716" spans="1:23" ht="17" x14ac:dyDescent="0.2">
      <c r="A716" s="5">
        <v>714</v>
      </c>
      <c r="B716" s="5" t="s">
        <v>1466</v>
      </c>
      <c r="C716" s="6" t="s">
        <v>1467</v>
      </c>
      <c r="D716" s="94">
        <v>38500</v>
      </c>
      <c r="E716" s="94">
        <v>182036</v>
      </c>
      <c r="F716" s="7">
        <f t="shared" si="47"/>
        <v>4.7282077922077921</v>
      </c>
      <c r="G716" s="5" t="s">
        <v>20</v>
      </c>
      <c r="H716" s="5">
        <v>1785</v>
      </c>
      <c r="I716" s="96">
        <f t="shared" si="44"/>
        <v>101.98095238095237</v>
      </c>
      <c r="J716" s="5" t="s">
        <v>21</v>
      </c>
      <c r="K716" s="5" t="s">
        <v>22</v>
      </c>
      <c r="L716" s="5">
        <v>1408424400</v>
      </c>
      <c r="M716" s="5">
        <v>1408510800</v>
      </c>
      <c r="N716" s="8">
        <f t="shared" si="45"/>
        <v>41870.208333333336</v>
      </c>
      <c r="O716" s="8">
        <f t="shared" si="46"/>
        <v>41871.208333333336</v>
      </c>
      <c r="P716" s="21" t="str">
        <f>TEXT(CrowdfundingTable[[#This Row],[date_created]],"ddd")</f>
        <v>Tue</v>
      </c>
      <c r="Q716" s="21">
        <f>_xlfn.DAYS(CrowdfundingTable[[#This Row],[date_ended]],CrowdfundingTable[[#This Row],[date_created]])</f>
        <v>1</v>
      </c>
      <c r="R716" s="5" t="b">
        <v>0</v>
      </c>
      <c r="S716" s="5" t="b">
        <v>0</v>
      </c>
      <c r="T716" s="5" t="s">
        <v>23</v>
      </c>
      <c r="U716" s="5" t="s">
        <v>2036</v>
      </c>
      <c r="V716" s="5" t="s">
        <v>2057</v>
      </c>
      <c r="W716" s="5"/>
    </row>
    <row r="717" spans="1:23" ht="17" x14ac:dyDescent="0.2">
      <c r="A717" s="5">
        <v>715</v>
      </c>
      <c r="B717" s="5" t="s">
        <v>1468</v>
      </c>
      <c r="C717" s="6" t="s">
        <v>1469</v>
      </c>
      <c r="D717" s="94">
        <v>118000</v>
      </c>
      <c r="E717" s="94">
        <v>28870</v>
      </c>
      <c r="F717" s="7">
        <f t="shared" si="47"/>
        <v>0.24466101694915254</v>
      </c>
      <c r="G717" s="5" t="s">
        <v>14</v>
      </c>
      <c r="H717" s="5">
        <v>656</v>
      </c>
      <c r="I717" s="96">
        <f t="shared" si="44"/>
        <v>44.009146341463413</v>
      </c>
      <c r="J717" s="5" t="s">
        <v>21</v>
      </c>
      <c r="K717" s="5" t="s">
        <v>22</v>
      </c>
      <c r="L717" s="5">
        <v>1281157200</v>
      </c>
      <c r="M717" s="5">
        <v>1281589200</v>
      </c>
      <c r="N717" s="8">
        <f t="shared" si="45"/>
        <v>40397.208333333336</v>
      </c>
      <c r="O717" s="8">
        <f t="shared" si="46"/>
        <v>40402.208333333336</v>
      </c>
      <c r="P717" s="21" t="str">
        <f>TEXT(CrowdfundingTable[[#This Row],[date_created]],"ddd")</f>
        <v>Sat</v>
      </c>
      <c r="Q717" s="21">
        <f>_xlfn.DAYS(CrowdfundingTable[[#This Row],[date_ended]],CrowdfundingTable[[#This Row],[date_created]])</f>
        <v>5</v>
      </c>
      <c r="R717" s="5" t="b">
        <v>0</v>
      </c>
      <c r="S717" s="5" t="b">
        <v>0</v>
      </c>
      <c r="T717" s="5" t="s">
        <v>292</v>
      </c>
      <c r="U717" s="5" t="s">
        <v>2034</v>
      </c>
      <c r="V717" s="5" t="s">
        <v>2052</v>
      </c>
      <c r="W717" s="5"/>
    </row>
    <row r="718" spans="1:23" ht="17" x14ac:dyDescent="0.2">
      <c r="A718" s="5">
        <v>716</v>
      </c>
      <c r="B718" s="5" t="s">
        <v>1470</v>
      </c>
      <c r="C718" s="6" t="s">
        <v>1471</v>
      </c>
      <c r="D718" s="94">
        <v>2000</v>
      </c>
      <c r="E718" s="94">
        <v>10353</v>
      </c>
      <c r="F718" s="7">
        <f t="shared" si="47"/>
        <v>5.1764999999999999</v>
      </c>
      <c r="G718" s="5" t="s">
        <v>20</v>
      </c>
      <c r="H718" s="5">
        <v>157</v>
      </c>
      <c r="I718" s="96">
        <f t="shared" si="44"/>
        <v>65.942675159235662</v>
      </c>
      <c r="J718" s="5" t="s">
        <v>21</v>
      </c>
      <c r="K718" s="5" t="s">
        <v>22</v>
      </c>
      <c r="L718" s="5">
        <v>1373432400</v>
      </c>
      <c r="M718" s="5">
        <v>1375851600</v>
      </c>
      <c r="N718" s="8">
        <f t="shared" si="45"/>
        <v>41465.208333333336</v>
      </c>
      <c r="O718" s="8">
        <f t="shared" si="46"/>
        <v>41493.208333333336</v>
      </c>
      <c r="P718" s="21" t="str">
        <f>TEXT(CrowdfundingTable[[#This Row],[date_created]],"ddd")</f>
        <v>Wed</v>
      </c>
      <c r="Q718" s="21">
        <f>_xlfn.DAYS(CrowdfundingTable[[#This Row],[date_ended]],CrowdfundingTable[[#This Row],[date_created]])</f>
        <v>28</v>
      </c>
      <c r="R718" s="5" t="b">
        <v>0</v>
      </c>
      <c r="S718" s="5" t="b">
        <v>1</v>
      </c>
      <c r="T718" s="5" t="s">
        <v>33</v>
      </c>
      <c r="U718" s="5" t="s">
        <v>2040</v>
      </c>
      <c r="V718" s="5" t="s">
        <v>2055</v>
      </c>
      <c r="W718" s="5"/>
    </row>
    <row r="719" spans="1:23" ht="34" x14ac:dyDescent="0.2">
      <c r="A719" s="5">
        <v>717</v>
      </c>
      <c r="B719" s="5" t="s">
        <v>1472</v>
      </c>
      <c r="C719" s="6" t="s">
        <v>1473</v>
      </c>
      <c r="D719" s="94">
        <v>5600</v>
      </c>
      <c r="E719" s="94">
        <v>13868</v>
      </c>
      <c r="F719" s="7">
        <f t="shared" si="47"/>
        <v>2.4764285714285714</v>
      </c>
      <c r="G719" s="5" t="s">
        <v>20</v>
      </c>
      <c r="H719" s="5">
        <v>555</v>
      </c>
      <c r="I719" s="96">
        <f t="shared" si="44"/>
        <v>24.987387387387386</v>
      </c>
      <c r="J719" s="5" t="s">
        <v>21</v>
      </c>
      <c r="K719" s="5" t="s">
        <v>22</v>
      </c>
      <c r="L719" s="5">
        <v>1313989200</v>
      </c>
      <c r="M719" s="5">
        <v>1315803600</v>
      </c>
      <c r="N719" s="8">
        <f t="shared" si="45"/>
        <v>40777.208333333336</v>
      </c>
      <c r="O719" s="8">
        <f t="shared" si="46"/>
        <v>40798.208333333336</v>
      </c>
      <c r="P719" s="21" t="str">
        <f>TEXT(CrowdfundingTable[[#This Row],[date_created]],"ddd")</f>
        <v>Mon</v>
      </c>
      <c r="Q719" s="21">
        <f>_xlfn.DAYS(CrowdfundingTable[[#This Row],[date_ended]],CrowdfundingTable[[#This Row],[date_created]])</f>
        <v>21</v>
      </c>
      <c r="R719" s="5" t="b">
        <v>0</v>
      </c>
      <c r="S719" s="5" t="b">
        <v>0</v>
      </c>
      <c r="T719" s="5" t="s">
        <v>42</v>
      </c>
      <c r="U719" s="5" t="s">
        <v>2032</v>
      </c>
      <c r="V719" s="5" t="s">
        <v>2044</v>
      </c>
      <c r="W719" s="5"/>
    </row>
    <row r="720" spans="1:23" ht="17" x14ac:dyDescent="0.2">
      <c r="A720" s="5">
        <v>718</v>
      </c>
      <c r="B720" s="5" t="s">
        <v>1474</v>
      </c>
      <c r="C720" s="6" t="s">
        <v>1475</v>
      </c>
      <c r="D720" s="94">
        <v>8300</v>
      </c>
      <c r="E720" s="94">
        <v>8317</v>
      </c>
      <c r="F720" s="7">
        <f t="shared" si="47"/>
        <v>1.0020481927710843</v>
      </c>
      <c r="G720" s="5" t="s">
        <v>20</v>
      </c>
      <c r="H720" s="5">
        <v>297</v>
      </c>
      <c r="I720" s="96">
        <f t="shared" si="44"/>
        <v>28.003367003367003</v>
      </c>
      <c r="J720" s="5" t="s">
        <v>21</v>
      </c>
      <c r="K720" s="5" t="s">
        <v>22</v>
      </c>
      <c r="L720" s="5">
        <v>1371445200</v>
      </c>
      <c r="M720" s="5">
        <v>1373691600</v>
      </c>
      <c r="N720" s="8">
        <f t="shared" si="45"/>
        <v>41442.208333333336</v>
      </c>
      <c r="O720" s="8">
        <f t="shared" si="46"/>
        <v>41468.208333333336</v>
      </c>
      <c r="P720" s="21" t="str">
        <f>TEXT(CrowdfundingTable[[#This Row],[date_created]],"ddd")</f>
        <v>Mon</v>
      </c>
      <c r="Q720" s="21">
        <f>_xlfn.DAYS(CrowdfundingTable[[#This Row],[date_ended]],CrowdfundingTable[[#This Row],[date_created]])</f>
        <v>26</v>
      </c>
      <c r="R720" s="5" t="b">
        <v>0</v>
      </c>
      <c r="S720" s="5" t="b">
        <v>0</v>
      </c>
      <c r="T720" s="5" t="s">
        <v>65</v>
      </c>
      <c r="U720" s="5" t="s">
        <v>2039</v>
      </c>
      <c r="V720" s="5" t="s">
        <v>2063</v>
      </c>
      <c r="W720" s="5"/>
    </row>
    <row r="721" spans="1:23" ht="17" x14ac:dyDescent="0.2">
      <c r="A721" s="5">
        <v>719</v>
      </c>
      <c r="B721" s="5" t="s">
        <v>1476</v>
      </c>
      <c r="C721" s="6" t="s">
        <v>1477</v>
      </c>
      <c r="D721" s="94">
        <v>6900</v>
      </c>
      <c r="E721" s="94">
        <v>10557</v>
      </c>
      <c r="F721" s="7">
        <f t="shared" si="47"/>
        <v>1.53</v>
      </c>
      <c r="G721" s="5" t="s">
        <v>20</v>
      </c>
      <c r="H721" s="5">
        <v>123</v>
      </c>
      <c r="I721" s="96">
        <f t="shared" si="44"/>
        <v>85.829268292682926</v>
      </c>
      <c r="J721" s="5" t="s">
        <v>21</v>
      </c>
      <c r="K721" s="5" t="s">
        <v>22</v>
      </c>
      <c r="L721" s="5">
        <v>1338267600</v>
      </c>
      <c r="M721" s="5">
        <v>1339218000</v>
      </c>
      <c r="N721" s="8">
        <f t="shared" si="45"/>
        <v>41058.208333333336</v>
      </c>
      <c r="O721" s="8">
        <f t="shared" si="46"/>
        <v>41069.208333333336</v>
      </c>
      <c r="P721" s="21" t="str">
        <f>TEXT(CrowdfundingTable[[#This Row],[date_created]],"ddd")</f>
        <v>Tue</v>
      </c>
      <c r="Q721" s="21">
        <f>_xlfn.DAYS(CrowdfundingTable[[#This Row],[date_ended]],CrowdfundingTable[[#This Row],[date_created]])</f>
        <v>11</v>
      </c>
      <c r="R721" s="5" t="b">
        <v>0</v>
      </c>
      <c r="S721" s="5" t="b">
        <v>0</v>
      </c>
      <c r="T721" s="5" t="s">
        <v>119</v>
      </c>
      <c r="U721" s="5" t="s">
        <v>2038</v>
      </c>
      <c r="V721" s="5" t="s">
        <v>2047</v>
      </c>
      <c r="W721" s="5"/>
    </row>
    <row r="722" spans="1:23" ht="34" x14ac:dyDescent="0.2">
      <c r="A722" s="5">
        <v>720</v>
      </c>
      <c r="B722" s="5" t="s">
        <v>1478</v>
      </c>
      <c r="C722" s="6" t="s">
        <v>1479</v>
      </c>
      <c r="D722" s="94">
        <v>8700</v>
      </c>
      <c r="E722" s="94">
        <v>3227</v>
      </c>
      <c r="F722" s="7">
        <f t="shared" si="47"/>
        <v>0.37091954022988505</v>
      </c>
      <c r="G722" s="5" t="s">
        <v>74</v>
      </c>
      <c r="H722" s="5">
        <v>38</v>
      </c>
      <c r="I722" s="96">
        <f t="shared" si="44"/>
        <v>84.921052631578945</v>
      </c>
      <c r="J722" s="5" t="s">
        <v>36</v>
      </c>
      <c r="K722" s="5" t="s">
        <v>37</v>
      </c>
      <c r="L722" s="5">
        <v>1519192800</v>
      </c>
      <c r="M722" s="5">
        <v>1520402400</v>
      </c>
      <c r="N722" s="8">
        <f t="shared" si="45"/>
        <v>43152.25</v>
      </c>
      <c r="O722" s="8">
        <f t="shared" si="46"/>
        <v>43166.25</v>
      </c>
      <c r="P722" s="21" t="str">
        <f>TEXT(CrowdfundingTable[[#This Row],[date_created]],"ddd")</f>
        <v>Wed</v>
      </c>
      <c r="Q722" s="21">
        <f>_xlfn.DAYS(CrowdfundingTable[[#This Row],[date_ended]],CrowdfundingTable[[#This Row],[date_created]])</f>
        <v>14</v>
      </c>
      <c r="R722" s="5" t="b">
        <v>0</v>
      </c>
      <c r="S722" s="5" t="b">
        <v>1</v>
      </c>
      <c r="T722" s="5" t="s">
        <v>33</v>
      </c>
      <c r="U722" s="5" t="s">
        <v>2040</v>
      </c>
      <c r="V722" s="5" t="s">
        <v>2055</v>
      </c>
      <c r="W722" s="5"/>
    </row>
    <row r="723" spans="1:23" ht="17" x14ac:dyDescent="0.2">
      <c r="A723" s="5">
        <v>721</v>
      </c>
      <c r="B723" s="5" t="s">
        <v>1480</v>
      </c>
      <c r="C723" s="6" t="s">
        <v>1481</v>
      </c>
      <c r="D723" s="94">
        <v>123600</v>
      </c>
      <c r="E723" s="94">
        <v>5429</v>
      </c>
      <c r="F723" s="7">
        <f t="shared" si="47"/>
        <v>4.3923948220064728E-2</v>
      </c>
      <c r="G723" s="5" t="s">
        <v>74</v>
      </c>
      <c r="H723" s="5">
        <v>60</v>
      </c>
      <c r="I723" s="96">
        <f t="shared" si="44"/>
        <v>90.483333333333334</v>
      </c>
      <c r="J723" s="5" t="s">
        <v>21</v>
      </c>
      <c r="K723" s="5" t="s">
        <v>22</v>
      </c>
      <c r="L723" s="5">
        <v>1522818000</v>
      </c>
      <c r="M723" s="5">
        <v>1523336400</v>
      </c>
      <c r="N723" s="8">
        <f t="shared" si="45"/>
        <v>43194.208333333328</v>
      </c>
      <c r="O723" s="8">
        <f t="shared" si="46"/>
        <v>43200.208333333328</v>
      </c>
      <c r="P723" s="21" t="str">
        <f>TEXT(CrowdfundingTable[[#This Row],[date_created]],"ddd")</f>
        <v>Wed</v>
      </c>
      <c r="Q723" s="21">
        <f>_xlfn.DAYS(CrowdfundingTable[[#This Row],[date_ended]],CrowdfundingTable[[#This Row],[date_created]])</f>
        <v>6</v>
      </c>
      <c r="R723" s="5" t="b">
        <v>0</v>
      </c>
      <c r="S723" s="5" t="b">
        <v>0</v>
      </c>
      <c r="T723" s="5" t="s">
        <v>23</v>
      </c>
      <c r="U723" s="5" t="s">
        <v>2036</v>
      </c>
      <c r="V723" s="5" t="s">
        <v>2057</v>
      </c>
      <c r="W723" s="5"/>
    </row>
    <row r="724" spans="1:23" ht="17" x14ac:dyDescent="0.2">
      <c r="A724" s="5">
        <v>722</v>
      </c>
      <c r="B724" s="5" t="s">
        <v>1482</v>
      </c>
      <c r="C724" s="6" t="s">
        <v>1483</v>
      </c>
      <c r="D724" s="94">
        <v>48500</v>
      </c>
      <c r="E724" s="94">
        <v>75906</v>
      </c>
      <c r="F724" s="7">
        <f t="shared" si="47"/>
        <v>1.5650721649484536</v>
      </c>
      <c r="G724" s="5" t="s">
        <v>20</v>
      </c>
      <c r="H724" s="5">
        <v>3036</v>
      </c>
      <c r="I724" s="96">
        <f t="shared" si="44"/>
        <v>25.00197628458498</v>
      </c>
      <c r="J724" s="5" t="s">
        <v>21</v>
      </c>
      <c r="K724" s="5" t="s">
        <v>22</v>
      </c>
      <c r="L724" s="5">
        <v>1509948000</v>
      </c>
      <c r="M724" s="5">
        <v>1512280800</v>
      </c>
      <c r="N724" s="8">
        <f t="shared" si="45"/>
        <v>43045.25</v>
      </c>
      <c r="O724" s="8">
        <f t="shared" si="46"/>
        <v>43072.25</v>
      </c>
      <c r="P724" s="21" t="str">
        <f>TEXT(CrowdfundingTable[[#This Row],[date_created]],"ddd")</f>
        <v>Mon</v>
      </c>
      <c r="Q724" s="21">
        <f>_xlfn.DAYS(CrowdfundingTable[[#This Row],[date_ended]],CrowdfundingTable[[#This Row],[date_created]])</f>
        <v>27</v>
      </c>
      <c r="R724" s="5" t="b">
        <v>0</v>
      </c>
      <c r="S724" s="5" t="b">
        <v>0</v>
      </c>
      <c r="T724" s="5" t="s">
        <v>42</v>
      </c>
      <c r="U724" s="5" t="s">
        <v>2032</v>
      </c>
      <c r="V724" s="5" t="s">
        <v>2044</v>
      </c>
      <c r="W724" s="5"/>
    </row>
    <row r="725" spans="1:23" ht="17" x14ac:dyDescent="0.2">
      <c r="A725" s="5">
        <v>723</v>
      </c>
      <c r="B725" s="5" t="s">
        <v>1484</v>
      </c>
      <c r="C725" s="6" t="s">
        <v>1485</v>
      </c>
      <c r="D725" s="94">
        <v>4900</v>
      </c>
      <c r="E725" s="94">
        <v>13250</v>
      </c>
      <c r="F725" s="7">
        <f t="shared" si="47"/>
        <v>2.704081632653061</v>
      </c>
      <c r="G725" s="5" t="s">
        <v>20</v>
      </c>
      <c r="H725" s="5">
        <v>144</v>
      </c>
      <c r="I725" s="96">
        <f t="shared" si="44"/>
        <v>92.013888888888886</v>
      </c>
      <c r="J725" s="5" t="s">
        <v>26</v>
      </c>
      <c r="K725" s="5" t="s">
        <v>27</v>
      </c>
      <c r="L725" s="5">
        <v>1456898400</v>
      </c>
      <c r="M725" s="5">
        <v>1458709200</v>
      </c>
      <c r="N725" s="8">
        <f t="shared" si="45"/>
        <v>42431.25</v>
      </c>
      <c r="O725" s="8">
        <f t="shared" si="46"/>
        <v>42452.208333333328</v>
      </c>
      <c r="P725" s="21" t="str">
        <f>TEXT(CrowdfundingTable[[#This Row],[date_created]],"ddd")</f>
        <v>Wed</v>
      </c>
      <c r="Q725" s="21">
        <f>_xlfn.DAYS(CrowdfundingTable[[#This Row],[date_ended]],CrowdfundingTable[[#This Row],[date_created]])</f>
        <v>21</v>
      </c>
      <c r="R725" s="5" t="b">
        <v>0</v>
      </c>
      <c r="S725" s="5" t="b">
        <v>0</v>
      </c>
      <c r="T725" s="5" t="s">
        <v>33</v>
      </c>
      <c r="U725" s="5" t="s">
        <v>2040</v>
      </c>
      <c r="V725" s="5" t="s">
        <v>2055</v>
      </c>
      <c r="W725" s="5"/>
    </row>
    <row r="726" spans="1:23" ht="17" x14ac:dyDescent="0.2">
      <c r="A726" s="5">
        <v>724</v>
      </c>
      <c r="B726" s="5" t="s">
        <v>1486</v>
      </c>
      <c r="C726" s="6" t="s">
        <v>1487</v>
      </c>
      <c r="D726" s="94">
        <v>8400</v>
      </c>
      <c r="E726" s="94">
        <v>11261</v>
      </c>
      <c r="F726" s="7">
        <f t="shared" si="47"/>
        <v>1.3405952380952382</v>
      </c>
      <c r="G726" s="5" t="s">
        <v>20</v>
      </c>
      <c r="H726" s="5">
        <v>121</v>
      </c>
      <c r="I726" s="96">
        <f t="shared" si="44"/>
        <v>93.066115702479337</v>
      </c>
      <c r="J726" s="5" t="s">
        <v>40</v>
      </c>
      <c r="K726" s="5" t="s">
        <v>41</v>
      </c>
      <c r="L726" s="5">
        <v>1413954000</v>
      </c>
      <c r="M726" s="5">
        <v>1414126800</v>
      </c>
      <c r="N726" s="8">
        <f t="shared" si="45"/>
        <v>41934.208333333336</v>
      </c>
      <c r="O726" s="8">
        <f t="shared" si="46"/>
        <v>41936.208333333336</v>
      </c>
      <c r="P726" s="21" t="str">
        <f>TEXT(CrowdfundingTable[[#This Row],[date_created]],"ddd")</f>
        <v>Wed</v>
      </c>
      <c r="Q726" s="21">
        <f>_xlfn.DAYS(CrowdfundingTable[[#This Row],[date_ended]],CrowdfundingTable[[#This Row],[date_created]])</f>
        <v>2</v>
      </c>
      <c r="R726" s="5" t="b">
        <v>0</v>
      </c>
      <c r="S726" s="5" t="b">
        <v>1</v>
      </c>
      <c r="T726" s="5" t="s">
        <v>33</v>
      </c>
      <c r="U726" s="5" t="s">
        <v>2040</v>
      </c>
      <c r="V726" s="5" t="s">
        <v>2055</v>
      </c>
      <c r="W726" s="5"/>
    </row>
    <row r="727" spans="1:23" ht="17" x14ac:dyDescent="0.2">
      <c r="A727" s="5">
        <v>725</v>
      </c>
      <c r="B727" s="5" t="s">
        <v>1488</v>
      </c>
      <c r="C727" s="6" t="s">
        <v>1489</v>
      </c>
      <c r="D727" s="94">
        <v>193200</v>
      </c>
      <c r="E727" s="94">
        <v>97369</v>
      </c>
      <c r="F727" s="7">
        <f t="shared" si="47"/>
        <v>0.50398033126293995</v>
      </c>
      <c r="G727" s="5" t="s">
        <v>14</v>
      </c>
      <c r="H727" s="5">
        <v>1596</v>
      </c>
      <c r="I727" s="96">
        <f t="shared" si="44"/>
        <v>61.008145363408524</v>
      </c>
      <c r="J727" s="5" t="s">
        <v>21</v>
      </c>
      <c r="K727" s="5" t="s">
        <v>22</v>
      </c>
      <c r="L727" s="5">
        <v>1416031200</v>
      </c>
      <c r="M727" s="5">
        <v>1416204000</v>
      </c>
      <c r="N727" s="8">
        <f t="shared" si="45"/>
        <v>41958.25</v>
      </c>
      <c r="O727" s="8">
        <f t="shared" si="46"/>
        <v>41960.25</v>
      </c>
      <c r="P727" s="21" t="str">
        <f>TEXT(CrowdfundingTable[[#This Row],[date_created]],"ddd")</f>
        <v>Sat</v>
      </c>
      <c r="Q727" s="21">
        <f>_xlfn.DAYS(CrowdfundingTable[[#This Row],[date_ended]],CrowdfundingTable[[#This Row],[date_created]])</f>
        <v>2</v>
      </c>
      <c r="R727" s="5" t="b">
        <v>0</v>
      </c>
      <c r="S727" s="5" t="b">
        <v>0</v>
      </c>
      <c r="T727" s="5" t="s">
        <v>292</v>
      </c>
      <c r="U727" s="5" t="s">
        <v>2034</v>
      </c>
      <c r="V727" s="5" t="s">
        <v>2052</v>
      </c>
      <c r="W727" s="5"/>
    </row>
    <row r="728" spans="1:23" ht="17" x14ac:dyDescent="0.2">
      <c r="A728" s="5">
        <v>726</v>
      </c>
      <c r="B728" s="5" t="s">
        <v>1490</v>
      </c>
      <c r="C728" s="6" t="s">
        <v>1491</v>
      </c>
      <c r="D728" s="94">
        <v>54300</v>
      </c>
      <c r="E728" s="94">
        <v>48227</v>
      </c>
      <c r="F728" s="7">
        <f t="shared" si="47"/>
        <v>0.88815837937384901</v>
      </c>
      <c r="G728" s="5" t="s">
        <v>74</v>
      </c>
      <c r="H728" s="5">
        <v>524</v>
      </c>
      <c r="I728" s="96">
        <f t="shared" si="44"/>
        <v>92.036259541984734</v>
      </c>
      <c r="J728" s="5" t="s">
        <v>21</v>
      </c>
      <c r="K728" s="5" t="s">
        <v>22</v>
      </c>
      <c r="L728" s="5">
        <v>1287982800</v>
      </c>
      <c r="M728" s="5">
        <v>1288501200</v>
      </c>
      <c r="N728" s="8">
        <f t="shared" si="45"/>
        <v>40476.208333333336</v>
      </c>
      <c r="O728" s="8">
        <f t="shared" si="46"/>
        <v>40482.208333333336</v>
      </c>
      <c r="P728" s="21" t="str">
        <f>TEXT(CrowdfundingTable[[#This Row],[date_created]],"ddd")</f>
        <v>Mon</v>
      </c>
      <c r="Q728" s="21">
        <f>_xlfn.DAYS(CrowdfundingTable[[#This Row],[date_ended]],CrowdfundingTable[[#This Row],[date_created]])</f>
        <v>6</v>
      </c>
      <c r="R728" s="5" t="b">
        <v>0</v>
      </c>
      <c r="S728" s="5" t="b">
        <v>1</v>
      </c>
      <c r="T728" s="5" t="s">
        <v>33</v>
      </c>
      <c r="U728" s="5" t="s">
        <v>2040</v>
      </c>
      <c r="V728" s="5" t="s">
        <v>2055</v>
      </c>
      <c r="W728" s="5"/>
    </row>
    <row r="729" spans="1:23" ht="17" x14ac:dyDescent="0.2">
      <c r="A729" s="5">
        <v>727</v>
      </c>
      <c r="B729" s="5" t="s">
        <v>1492</v>
      </c>
      <c r="C729" s="6" t="s">
        <v>1493</v>
      </c>
      <c r="D729" s="94">
        <v>8900</v>
      </c>
      <c r="E729" s="94">
        <v>14685</v>
      </c>
      <c r="F729" s="7">
        <f t="shared" si="47"/>
        <v>1.65</v>
      </c>
      <c r="G729" s="5" t="s">
        <v>20</v>
      </c>
      <c r="H729" s="5">
        <v>181</v>
      </c>
      <c r="I729" s="96">
        <f t="shared" si="44"/>
        <v>81.132596685082873</v>
      </c>
      <c r="J729" s="5" t="s">
        <v>21</v>
      </c>
      <c r="K729" s="5" t="s">
        <v>22</v>
      </c>
      <c r="L729" s="5">
        <v>1547964000</v>
      </c>
      <c r="M729" s="5">
        <v>1552971600</v>
      </c>
      <c r="N729" s="8">
        <f t="shared" si="45"/>
        <v>43485.25</v>
      </c>
      <c r="O729" s="8">
        <f t="shared" si="46"/>
        <v>43543.208333333328</v>
      </c>
      <c r="P729" s="21" t="str">
        <f>TEXT(CrowdfundingTable[[#This Row],[date_created]],"ddd")</f>
        <v>Sun</v>
      </c>
      <c r="Q729" s="21">
        <f>_xlfn.DAYS(CrowdfundingTable[[#This Row],[date_ended]],CrowdfundingTable[[#This Row],[date_created]])</f>
        <v>58</v>
      </c>
      <c r="R729" s="5" t="b">
        <v>0</v>
      </c>
      <c r="S729" s="5" t="b">
        <v>0</v>
      </c>
      <c r="T729" s="5" t="s">
        <v>28</v>
      </c>
      <c r="U729" s="5" t="s">
        <v>2039</v>
      </c>
      <c r="V729" s="5" t="s">
        <v>2064</v>
      </c>
      <c r="W729" s="5"/>
    </row>
    <row r="730" spans="1:23" ht="17" x14ac:dyDescent="0.2">
      <c r="A730" s="5">
        <v>728</v>
      </c>
      <c r="B730" s="5" t="s">
        <v>1494</v>
      </c>
      <c r="C730" s="6" t="s">
        <v>1495</v>
      </c>
      <c r="D730" s="94">
        <v>4200</v>
      </c>
      <c r="E730" s="94">
        <v>735</v>
      </c>
      <c r="F730" s="7">
        <f t="shared" si="47"/>
        <v>0.17499999999999999</v>
      </c>
      <c r="G730" s="5" t="s">
        <v>14</v>
      </c>
      <c r="H730" s="5">
        <v>10</v>
      </c>
      <c r="I730" s="96">
        <f t="shared" si="44"/>
        <v>73.5</v>
      </c>
      <c r="J730" s="5" t="s">
        <v>21</v>
      </c>
      <c r="K730" s="5" t="s">
        <v>22</v>
      </c>
      <c r="L730" s="5">
        <v>1464152400</v>
      </c>
      <c r="M730" s="5">
        <v>1465102800</v>
      </c>
      <c r="N730" s="8">
        <f t="shared" si="45"/>
        <v>42515.208333333328</v>
      </c>
      <c r="O730" s="8">
        <f t="shared" si="46"/>
        <v>42526.208333333328</v>
      </c>
      <c r="P730" s="21" t="str">
        <f>TEXT(CrowdfundingTable[[#This Row],[date_created]],"ddd")</f>
        <v>Wed</v>
      </c>
      <c r="Q730" s="21">
        <f>_xlfn.DAYS(CrowdfundingTable[[#This Row],[date_ended]],CrowdfundingTable[[#This Row],[date_created]])</f>
        <v>11</v>
      </c>
      <c r="R730" s="5" t="b">
        <v>0</v>
      </c>
      <c r="S730" s="5" t="b">
        <v>0</v>
      </c>
      <c r="T730" s="5" t="s">
        <v>33</v>
      </c>
      <c r="U730" s="5" t="s">
        <v>2040</v>
      </c>
      <c r="V730" s="5" t="s">
        <v>2055</v>
      </c>
      <c r="W730" s="5"/>
    </row>
    <row r="731" spans="1:23" ht="17" x14ac:dyDescent="0.2">
      <c r="A731" s="5">
        <v>729</v>
      </c>
      <c r="B731" s="5" t="s">
        <v>1496</v>
      </c>
      <c r="C731" s="6" t="s">
        <v>1497</v>
      </c>
      <c r="D731" s="94">
        <v>5600</v>
      </c>
      <c r="E731" s="94">
        <v>10397</v>
      </c>
      <c r="F731" s="7">
        <f t="shared" si="47"/>
        <v>1.8566071428571429</v>
      </c>
      <c r="G731" s="5" t="s">
        <v>20</v>
      </c>
      <c r="H731" s="5">
        <v>122</v>
      </c>
      <c r="I731" s="96">
        <f t="shared" si="44"/>
        <v>85.221311475409834</v>
      </c>
      <c r="J731" s="5" t="s">
        <v>21</v>
      </c>
      <c r="K731" s="5" t="s">
        <v>22</v>
      </c>
      <c r="L731" s="5">
        <v>1359957600</v>
      </c>
      <c r="M731" s="5">
        <v>1360130400</v>
      </c>
      <c r="N731" s="8">
        <f t="shared" si="45"/>
        <v>41309.25</v>
      </c>
      <c r="O731" s="8">
        <f t="shared" si="46"/>
        <v>41311.25</v>
      </c>
      <c r="P731" s="21" t="str">
        <f>TEXT(CrowdfundingTable[[#This Row],[date_created]],"ddd")</f>
        <v>Mon</v>
      </c>
      <c r="Q731" s="21">
        <f>_xlfn.DAYS(CrowdfundingTable[[#This Row],[date_ended]],CrowdfundingTable[[#This Row],[date_created]])</f>
        <v>2</v>
      </c>
      <c r="R731" s="5" t="b">
        <v>0</v>
      </c>
      <c r="S731" s="5" t="b">
        <v>0</v>
      </c>
      <c r="T731" s="5" t="s">
        <v>53</v>
      </c>
      <c r="U731" s="5" t="s">
        <v>2032</v>
      </c>
      <c r="V731" s="5" t="s">
        <v>2045</v>
      </c>
      <c r="W731" s="5"/>
    </row>
    <row r="732" spans="1:23" ht="17" x14ac:dyDescent="0.2">
      <c r="A732" s="5">
        <v>730</v>
      </c>
      <c r="B732" s="5" t="s">
        <v>1498</v>
      </c>
      <c r="C732" s="6" t="s">
        <v>1499</v>
      </c>
      <c r="D732" s="94">
        <v>28800</v>
      </c>
      <c r="E732" s="94">
        <v>118847</v>
      </c>
      <c r="F732" s="7">
        <f t="shared" si="47"/>
        <v>4.1266319444444441</v>
      </c>
      <c r="G732" s="5" t="s">
        <v>20</v>
      </c>
      <c r="H732" s="5">
        <v>1071</v>
      </c>
      <c r="I732" s="96">
        <f t="shared" si="44"/>
        <v>110.96825396825396</v>
      </c>
      <c r="J732" s="5" t="s">
        <v>15</v>
      </c>
      <c r="K732" s="5" t="s">
        <v>16</v>
      </c>
      <c r="L732" s="5">
        <v>1432357200</v>
      </c>
      <c r="M732" s="5">
        <v>1432875600</v>
      </c>
      <c r="N732" s="8">
        <f t="shared" si="45"/>
        <v>42147.208333333328</v>
      </c>
      <c r="O732" s="8">
        <f t="shared" si="46"/>
        <v>42153.208333333328</v>
      </c>
      <c r="P732" s="21" t="str">
        <f>TEXT(CrowdfundingTable[[#This Row],[date_created]],"ddd")</f>
        <v>Sat</v>
      </c>
      <c r="Q732" s="21">
        <f>_xlfn.DAYS(CrowdfundingTable[[#This Row],[date_ended]],CrowdfundingTable[[#This Row],[date_created]])</f>
        <v>6</v>
      </c>
      <c r="R732" s="5" t="b">
        <v>0</v>
      </c>
      <c r="S732" s="5" t="b">
        <v>0</v>
      </c>
      <c r="T732" s="5" t="s">
        <v>65</v>
      </c>
      <c r="U732" s="5" t="s">
        <v>2039</v>
      </c>
      <c r="V732" s="5" t="s">
        <v>2063</v>
      </c>
      <c r="W732" s="5"/>
    </row>
    <row r="733" spans="1:23" ht="17" x14ac:dyDescent="0.2">
      <c r="A733" s="5">
        <v>731</v>
      </c>
      <c r="B733" s="5" t="s">
        <v>1500</v>
      </c>
      <c r="C733" s="6" t="s">
        <v>1501</v>
      </c>
      <c r="D733" s="94">
        <v>8000</v>
      </c>
      <c r="E733" s="94">
        <v>7220</v>
      </c>
      <c r="F733" s="7">
        <f t="shared" si="47"/>
        <v>0.90249999999999997</v>
      </c>
      <c r="G733" s="5" t="s">
        <v>74</v>
      </c>
      <c r="H733" s="5">
        <v>219</v>
      </c>
      <c r="I733" s="96">
        <f t="shared" si="44"/>
        <v>32.968036529680369</v>
      </c>
      <c r="J733" s="5" t="s">
        <v>21</v>
      </c>
      <c r="K733" s="5" t="s">
        <v>22</v>
      </c>
      <c r="L733" s="5">
        <v>1500786000</v>
      </c>
      <c r="M733" s="5">
        <v>1500872400</v>
      </c>
      <c r="N733" s="8">
        <f t="shared" si="45"/>
        <v>42939.208333333328</v>
      </c>
      <c r="O733" s="8">
        <f t="shared" si="46"/>
        <v>42940.208333333328</v>
      </c>
      <c r="P733" s="21" t="str">
        <f>TEXT(CrowdfundingTable[[#This Row],[date_created]],"ddd")</f>
        <v>Sun</v>
      </c>
      <c r="Q733" s="21">
        <f>_xlfn.DAYS(CrowdfundingTable[[#This Row],[date_ended]],CrowdfundingTable[[#This Row],[date_created]])</f>
        <v>1</v>
      </c>
      <c r="R733" s="5" t="b">
        <v>0</v>
      </c>
      <c r="S733" s="5" t="b">
        <v>0</v>
      </c>
      <c r="T733" s="5" t="s">
        <v>28</v>
      </c>
      <c r="U733" s="5" t="s">
        <v>2039</v>
      </c>
      <c r="V733" s="5" t="s">
        <v>2064</v>
      </c>
      <c r="W733" s="5"/>
    </row>
    <row r="734" spans="1:23" ht="17" x14ac:dyDescent="0.2">
      <c r="A734" s="5">
        <v>732</v>
      </c>
      <c r="B734" s="5" t="s">
        <v>1502</v>
      </c>
      <c r="C734" s="6" t="s">
        <v>1503</v>
      </c>
      <c r="D734" s="94">
        <v>117000</v>
      </c>
      <c r="E734" s="94">
        <v>107622</v>
      </c>
      <c r="F734" s="7">
        <f t="shared" si="47"/>
        <v>0.91984615384615387</v>
      </c>
      <c r="G734" s="5" t="s">
        <v>14</v>
      </c>
      <c r="H734" s="5">
        <v>1121</v>
      </c>
      <c r="I734" s="96">
        <f t="shared" si="44"/>
        <v>96.005352363960753</v>
      </c>
      <c r="J734" s="5" t="s">
        <v>21</v>
      </c>
      <c r="K734" s="5" t="s">
        <v>22</v>
      </c>
      <c r="L734" s="5">
        <v>1490158800</v>
      </c>
      <c r="M734" s="5">
        <v>1492146000</v>
      </c>
      <c r="N734" s="8">
        <f t="shared" si="45"/>
        <v>42816.208333333328</v>
      </c>
      <c r="O734" s="8">
        <f t="shared" si="46"/>
        <v>42839.208333333328</v>
      </c>
      <c r="P734" s="21" t="str">
        <f>TEXT(CrowdfundingTable[[#This Row],[date_created]],"ddd")</f>
        <v>Wed</v>
      </c>
      <c r="Q734" s="21">
        <f>_xlfn.DAYS(CrowdfundingTable[[#This Row],[date_ended]],CrowdfundingTable[[#This Row],[date_created]])</f>
        <v>23</v>
      </c>
      <c r="R734" s="5" t="b">
        <v>0</v>
      </c>
      <c r="S734" s="5" t="b">
        <v>1</v>
      </c>
      <c r="T734" s="5" t="s">
        <v>23</v>
      </c>
      <c r="U734" s="5" t="s">
        <v>2036</v>
      </c>
      <c r="V734" s="5" t="s">
        <v>2057</v>
      </c>
      <c r="W734" s="5"/>
    </row>
    <row r="735" spans="1:23" ht="17" x14ac:dyDescent="0.2">
      <c r="A735" s="5">
        <v>733</v>
      </c>
      <c r="B735" s="5" t="s">
        <v>1504</v>
      </c>
      <c r="C735" s="6" t="s">
        <v>1505</v>
      </c>
      <c r="D735" s="94">
        <v>15800</v>
      </c>
      <c r="E735" s="94">
        <v>83267</v>
      </c>
      <c r="F735" s="7">
        <f t="shared" si="47"/>
        <v>5.2700632911392402</v>
      </c>
      <c r="G735" s="5" t="s">
        <v>20</v>
      </c>
      <c r="H735" s="5">
        <v>980</v>
      </c>
      <c r="I735" s="96">
        <f t="shared" si="44"/>
        <v>84.96632653061225</v>
      </c>
      <c r="J735" s="5" t="s">
        <v>21</v>
      </c>
      <c r="K735" s="5" t="s">
        <v>22</v>
      </c>
      <c r="L735" s="5">
        <v>1406178000</v>
      </c>
      <c r="M735" s="5">
        <v>1407301200</v>
      </c>
      <c r="N735" s="8">
        <f t="shared" si="45"/>
        <v>41844.208333333336</v>
      </c>
      <c r="O735" s="8">
        <f t="shared" si="46"/>
        <v>41857.208333333336</v>
      </c>
      <c r="P735" s="21" t="str">
        <f>TEXT(CrowdfundingTable[[#This Row],[date_created]],"ddd")</f>
        <v>Thu</v>
      </c>
      <c r="Q735" s="21">
        <f>_xlfn.DAYS(CrowdfundingTable[[#This Row],[date_ended]],CrowdfundingTable[[#This Row],[date_created]])</f>
        <v>13</v>
      </c>
      <c r="R735" s="5" t="b">
        <v>0</v>
      </c>
      <c r="S735" s="5" t="b">
        <v>0</v>
      </c>
      <c r="T735" s="5" t="s">
        <v>148</v>
      </c>
      <c r="U735" s="5" t="s">
        <v>2036</v>
      </c>
      <c r="V735" s="5" t="s">
        <v>2051</v>
      </c>
      <c r="W735" s="5"/>
    </row>
    <row r="736" spans="1:23" ht="17" x14ac:dyDescent="0.2">
      <c r="A736" s="5">
        <v>734</v>
      </c>
      <c r="B736" s="5" t="s">
        <v>1506</v>
      </c>
      <c r="C736" s="6" t="s">
        <v>1507</v>
      </c>
      <c r="D736" s="94">
        <v>4200</v>
      </c>
      <c r="E736" s="94">
        <v>13404</v>
      </c>
      <c r="F736" s="7">
        <f t="shared" si="47"/>
        <v>3.1914285714285713</v>
      </c>
      <c r="G736" s="5" t="s">
        <v>20</v>
      </c>
      <c r="H736" s="5">
        <v>536</v>
      </c>
      <c r="I736" s="96">
        <f t="shared" si="44"/>
        <v>25.007462686567163</v>
      </c>
      <c r="J736" s="5" t="s">
        <v>21</v>
      </c>
      <c r="K736" s="5" t="s">
        <v>22</v>
      </c>
      <c r="L736" s="5">
        <v>1485583200</v>
      </c>
      <c r="M736" s="5">
        <v>1486620000</v>
      </c>
      <c r="N736" s="8">
        <f t="shared" si="45"/>
        <v>42763.25</v>
      </c>
      <c r="O736" s="8">
        <f t="shared" si="46"/>
        <v>42775.25</v>
      </c>
      <c r="P736" s="21" t="str">
        <f>TEXT(CrowdfundingTable[[#This Row],[date_created]],"ddd")</f>
        <v>Sat</v>
      </c>
      <c r="Q736" s="21">
        <f>_xlfn.DAYS(CrowdfundingTable[[#This Row],[date_ended]],CrowdfundingTable[[#This Row],[date_created]])</f>
        <v>12</v>
      </c>
      <c r="R736" s="5" t="b">
        <v>0</v>
      </c>
      <c r="S736" s="5" t="b">
        <v>1</v>
      </c>
      <c r="T736" s="5" t="s">
        <v>33</v>
      </c>
      <c r="U736" s="5" t="s">
        <v>2040</v>
      </c>
      <c r="V736" s="5" t="s">
        <v>2055</v>
      </c>
      <c r="W736" s="5"/>
    </row>
    <row r="737" spans="1:23" ht="17" x14ac:dyDescent="0.2">
      <c r="A737" s="5">
        <v>735</v>
      </c>
      <c r="B737" s="5" t="s">
        <v>1508</v>
      </c>
      <c r="C737" s="6" t="s">
        <v>1509</v>
      </c>
      <c r="D737" s="94">
        <v>37100</v>
      </c>
      <c r="E737" s="94">
        <v>131404</v>
      </c>
      <c r="F737" s="7">
        <f t="shared" si="47"/>
        <v>3.5418867924528303</v>
      </c>
      <c r="G737" s="5" t="s">
        <v>20</v>
      </c>
      <c r="H737" s="5">
        <v>1991</v>
      </c>
      <c r="I737" s="96">
        <f t="shared" si="44"/>
        <v>65.998995479658461</v>
      </c>
      <c r="J737" s="5" t="s">
        <v>21</v>
      </c>
      <c r="K737" s="5" t="s">
        <v>22</v>
      </c>
      <c r="L737" s="5">
        <v>1459314000</v>
      </c>
      <c r="M737" s="5">
        <v>1459918800</v>
      </c>
      <c r="N737" s="8">
        <f t="shared" si="45"/>
        <v>42459.208333333328</v>
      </c>
      <c r="O737" s="8">
        <f t="shared" si="46"/>
        <v>42466.208333333328</v>
      </c>
      <c r="P737" s="21" t="str">
        <f>TEXT(CrowdfundingTable[[#This Row],[date_created]],"ddd")</f>
        <v>Wed</v>
      </c>
      <c r="Q737" s="21">
        <f>_xlfn.DAYS(CrowdfundingTable[[#This Row],[date_ended]],CrowdfundingTable[[#This Row],[date_created]])</f>
        <v>7</v>
      </c>
      <c r="R737" s="5" t="b">
        <v>0</v>
      </c>
      <c r="S737" s="5" t="b">
        <v>0</v>
      </c>
      <c r="T737" s="5" t="s">
        <v>122</v>
      </c>
      <c r="U737" s="5" t="s">
        <v>2037</v>
      </c>
      <c r="V737" s="5" t="s">
        <v>2054</v>
      </c>
      <c r="W737" s="5"/>
    </row>
    <row r="738" spans="1:23" ht="17" x14ac:dyDescent="0.2">
      <c r="A738" s="5">
        <v>736</v>
      </c>
      <c r="B738" s="5" t="s">
        <v>1510</v>
      </c>
      <c r="C738" s="6" t="s">
        <v>1511</v>
      </c>
      <c r="D738" s="94">
        <v>7700</v>
      </c>
      <c r="E738" s="94">
        <v>2533</v>
      </c>
      <c r="F738" s="7">
        <f t="shared" si="47"/>
        <v>0.32896103896103895</v>
      </c>
      <c r="G738" s="5" t="s">
        <v>74</v>
      </c>
      <c r="H738" s="5">
        <v>29</v>
      </c>
      <c r="I738" s="96">
        <f t="shared" si="44"/>
        <v>87.34482758620689</v>
      </c>
      <c r="J738" s="5" t="s">
        <v>21</v>
      </c>
      <c r="K738" s="5" t="s">
        <v>22</v>
      </c>
      <c r="L738" s="5">
        <v>1424412000</v>
      </c>
      <c r="M738" s="5">
        <v>1424757600</v>
      </c>
      <c r="N738" s="8">
        <f t="shared" si="45"/>
        <v>42055.25</v>
      </c>
      <c r="O738" s="8">
        <f t="shared" si="46"/>
        <v>42059.25</v>
      </c>
      <c r="P738" s="21" t="str">
        <f>TEXT(CrowdfundingTable[[#This Row],[date_created]],"ddd")</f>
        <v>Fri</v>
      </c>
      <c r="Q738" s="21">
        <f>_xlfn.DAYS(CrowdfundingTable[[#This Row],[date_ended]],CrowdfundingTable[[#This Row],[date_created]])</f>
        <v>4</v>
      </c>
      <c r="R738" s="5" t="b">
        <v>0</v>
      </c>
      <c r="S738" s="5" t="b">
        <v>0</v>
      </c>
      <c r="T738" s="5" t="s">
        <v>68</v>
      </c>
      <c r="U738" s="5" t="s">
        <v>2038</v>
      </c>
      <c r="V738" s="5" t="s">
        <v>2053</v>
      </c>
      <c r="W738" s="5"/>
    </row>
    <row r="739" spans="1:23" ht="34" x14ac:dyDescent="0.2">
      <c r="A739" s="5">
        <v>737</v>
      </c>
      <c r="B739" s="5" t="s">
        <v>1512</v>
      </c>
      <c r="C739" s="6" t="s">
        <v>1513</v>
      </c>
      <c r="D739" s="94">
        <v>3700</v>
      </c>
      <c r="E739" s="94">
        <v>5028</v>
      </c>
      <c r="F739" s="7">
        <f t="shared" si="47"/>
        <v>1.358918918918919</v>
      </c>
      <c r="G739" s="5" t="s">
        <v>20</v>
      </c>
      <c r="H739" s="5">
        <v>180</v>
      </c>
      <c r="I739" s="96">
        <f t="shared" si="44"/>
        <v>27.933333333333334</v>
      </c>
      <c r="J739" s="5" t="s">
        <v>21</v>
      </c>
      <c r="K739" s="5" t="s">
        <v>22</v>
      </c>
      <c r="L739" s="5">
        <v>1478844000</v>
      </c>
      <c r="M739" s="5">
        <v>1479880800</v>
      </c>
      <c r="N739" s="8">
        <f t="shared" si="45"/>
        <v>42685.25</v>
      </c>
      <c r="O739" s="8">
        <f t="shared" si="46"/>
        <v>42697.25</v>
      </c>
      <c r="P739" s="21" t="str">
        <f>TEXT(CrowdfundingTable[[#This Row],[date_created]],"ddd")</f>
        <v>Fri</v>
      </c>
      <c r="Q739" s="21">
        <f>_xlfn.DAYS(CrowdfundingTable[[#This Row],[date_ended]],CrowdfundingTable[[#This Row],[date_created]])</f>
        <v>12</v>
      </c>
      <c r="R739" s="5" t="b">
        <v>0</v>
      </c>
      <c r="S739" s="5" t="b">
        <v>0</v>
      </c>
      <c r="T739" s="5" t="s">
        <v>60</v>
      </c>
      <c r="U739" s="5" t="s">
        <v>2036</v>
      </c>
      <c r="V739" s="5" t="s">
        <v>2049</v>
      </c>
      <c r="W739" s="5"/>
    </row>
    <row r="740" spans="1:23" ht="17" x14ac:dyDescent="0.2">
      <c r="A740" s="5">
        <v>738</v>
      </c>
      <c r="B740" s="5" t="s">
        <v>1032</v>
      </c>
      <c r="C740" s="6" t="s">
        <v>1514</v>
      </c>
      <c r="D740" s="94">
        <v>74700</v>
      </c>
      <c r="E740" s="94">
        <v>1557</v>
      </c>
      <c r="F740" s="7">
        <f t="shared" si="47"/>
        <v>2.0843373493975904E-2</v>
      </c>
      <c r="G740" s="5" t="s">
        <v>14</v>
      </c>
      <c r="H740" s="5">
        <v>15</v>
      </c>
      <c r="I740" s="96">
        <f t="shared" si="44"/>
        <v>103.8</v>
      </c>
      <c r="J740" s="5" t="s">
        <v>21</v>
      </c>
      <c r="K740" s="5" t="s">
        <v>22</v>
      </c>
      <c r="L740" s="5">
        <v>1416117600</v>
      </c>
      <c r="M740" s="5">
        <v>1418018400</v>
      </c>
      <c r="N740" s="8">
        <f t="shared" si="45"/>
        <v>41959.25</v>
      </c>
      <c r="O740" s="8">
        <f t="shared" si="46"/>
        <v>41981.25</v>
      </c>
      <c r="P740" s="21" t="str">
        <f>TEXT(CrowdfundingTable[[#This Row],[date_created]],"ddd")</f>
        <v>Sun</v>
      </c>
      <c r="Q740" s="21">
        <f>_xlfn.DAYS(CrowdfundingTable[[#This Row],[date_ended]],CrowdfundingTable[[#This Row],[date_created]])</f>
        <v>22</v>
      </c>
      <c r="R740" s="5" t="b">
        <v>0</v>
      </c>
      <c r="S740" s="5" t="b">
        <v>1</v>
      </c>
      <c r="T740" s="5" t="s">
        <v>33</v>
      </c>
      <c r="U740" s="5" t="s">
        <v>2040</v>
      </c>
      <c r="V740" s="5" t="s">
        <v>2055</v>
      </c>
      <c r="W740" s="5"/>
    </row>
    <row r="741" spans="1:23" ht="17" x14ac:dyDescent="0.2">
      <c r="A741" s="5">
        <v>739</v>
      </c>
      <c r="B741" s="5" t="s">
        <v>1515</v>
      </c>
      <c r="C741" s="6" t="s">
        <v>1516</v>
      </c>
      <c r="D741" s="94">
        <v>10000</v>
      </c>
      <c r="E741" s="94">
        <v>6100</v>
      </c>
      <c r="F741" s="7">
        <f t="shared" si="47"/>
        <v>0.61</v>
      </c>
      <c r="G741" s="5" t="s">
        <v>14</v>
      </c>
      <c r="H741" s="5">
        <v>191</v>
      </c>
      <c r="I741" s="96">
        <f t="shared" si="44"/>
        <v>31.937172774869111</v>
      </c>
      <c r="J741" s="5" t="s">
        <v>21</v>
      </c>
      <c r="K741" s="5" t="s">
        <v>22</v>
      </c>
      <c r="L741" s="5">
        <v>1340946000</v>
      </c>
      <c r="M741" s="5">
        <v>1341032400</v>
      </c>
      <c r="N741" s="8">
        <f t="shared" si="45"/>
        <v>41089.208333333336</v>
      </c>
      <c r="O741" s="8">
        <f t="shared" si="46"/>
        <v>41090.208333333336</v>
      </c>
      <c r="P741" s="21" t="str">
        <f>TEXT(CrowdfundingTable[[#This Row],[date_created]],"ddd")</f>
        <v>Fri</v>
      </c>
      <c r="Q741" s="21">
        <f>_xlfn.DAYS(CrowdfundingTable[[#This Row],[date_ended]],CrowdfundingTable[[#This Row],[date_created]])</f>
        <v>1</v>
      </c>
      <c r="R741" s="5" t="b">
        <v>0</v>
      </c>
      <c r="S741" s="5" t="b">
        <v>0</v>
      </c>
      <c r="T741" s="5" t="s">
        <v>60</v>
      </c>
      <c r="U741" s="5" t="s">
        <v>2036</v>
      </c>
      <c r="V741" s="5" t="s">
        <v>2049</v>
      </c>
      <c r="W741" s="5"/>
    </row>
    <row r="742" spans="1:23" ht="17" x14ac:dyDescent="0.2">
      <c r="A742" s="5">
        <v>740</v>
      </c>
      <c r="B742" s="5" t="s">
        <v>1517</v>
      </c>
      <c r="C742" s="6" t="s">
        <v>1518</v>
      </c>
      <c r="D742" s="94">
        <v>5300</v>
      </c>
      <c r="E742" s="94">
        <v>1592</v>
      </c>
      <c r="F742" s="7">
        <f t="shared" si="47"/>
        <v>0.30037735849056602</v>
      </c>
      <c r="G742" s="5" t="s">
        <v>14</v>
      </c>
      <c r="H742" s="5">
        <v>16</v>
      </c>
      <c r="I742" s="96">
        <f t="shared" si="44"/>
        <v>99.5</v>
      </c>
      <c r="J742" s="5" t="s">
        <v>21</v>
      </c>
      <c r="K742" s="5" t="s">
        <v>22</v>
      </c>
      <c r="L742" s="5">
        <v>1486101600</v>
      </c>
      <c r="M742" s="5">
        <v>1486360800</v>
      </c>
      <c r="N742" s="8">
        <f t="shared" si="45"/>
        <v>42769.25</v>
      </c>
      <c r="O742" s="8">
        <f t="shared" si="46"/>
        <v>42772.25</v>
      </c>
      <c r="P742" s="21" t="str">
        <f>TEXT(CrowdfundingTable[[#This Row],[date_created]],"ddd")</f>
        <v>Fri</v>
      </c>
      <c r="Q742" s="21">
        <f>_xlfn.DAYS(CrowdfundingTable[[#This Row],[date_ended]],CrowdfundingTable[[#This Row],[date_created]])</f>
        <v>3</v>
      </c>
      <c r="R742" s="5" t="b">
        <v>0</v>
      </c>
      <c r="S742" s="5" t="b">
        <v>0</v>
      </c>
      <c r="T742" s="5" t="s">
        <v>33</v>
      </c>
      <c r="U742" s="5" t="s">
        <v>2040</v>
      </c>
      <c r="V742" s="5" t="s">
        <v>2055</v>
      </c>
      <c r="W742" s="5"/>
    </row>
    <row r="743" spans="1:23" ht="17" x14ac:dyDescent="0.2">
      <c r="A743" s="5">
        <v>741</v>
      </c>
      <c r="B743" s="5" t="s">
        <v>628</v>
      </c>
      <c r="C743" s="6" t="s">
        <v>1519</v>
      </c>
      <c r="D743" s="94">
        <v>1200</v>
      </c>
      <c r="E743" s="94">
        <v>14150</v>
      </c>
      <c r="F743" s="7">
        <f t="shared" si="47"/>
        <v>11.791666666666666</v>
      </c>
      <c r="G743" s="5" t="s">
        <v>20</v>
      </c>
      <c r="H743" s="5">
        <v>130</v>
      </c>
      <c r="I743" s="96">
        <f t="shared" si="44"/>
        <v>108.84615384615384</v>
      </c>
      <c r="J743" s="5" t="s">
        <v>21</v>
      </c>
      <c r="K743" s="5" t="s">
        <v>22</v>
      </c>
      <c r="L743" s="5">
        <v>1274590800</v>
      </c>
      <c r="M743" s="5">
        <v>1274677200</v>
      </c>
      <c r="N743" s="8">
        <f t="shared" si="45"/>
        <v>40321.208333333336</v>
      </c>
      <c r="O743" s="8">
        <f t="shared" si="46"/>
        <v>40322.208333333336</v>
      </c>
      <c r="P743" s="21" t="str">
        <f>TEXT(CrowdfundingTable[[#This Row],[date_created]],"ddd")</f>
        <v>Sun</v>
      </c>
      <c r="Q743" s="21">
        <f>_xlfn.DAYS(CrowdfundingTable[[#This Row],[date_ended]],CrowdfundingTable[[#This Row],[date_created]])</f>
        <v>1</v>
      </c>
      <c r="R743" s="5" t="b">
        <v>0</v>
      </c>
      <c r="S743" s="5" t="b">
        <v>0</v>
      </c>
      <c r="T743" s="5" t="s">
        <v>33</v>
      </c>
      <c r="U743" s="5" t="s">
        <v>2040</v>
      </c>
      <c r="V743" s="5" t="s">
        <v>2055</v>
      </c>
      <c r="W743" s="5"/>
    </row>
    <row r="744" spans="1:23" ht="17" x14ac:dyDescent="0.2">
      <c r="A744" s="5">
        <v>742</v>
      </c>
      <c r="B744" s="5" t="s">
        <v>1520</v>
      </c>
      <c r="C744" s="6" t="s">
        <v>1521</v>
      </c>
      <c r="D744" s="94">
        <v>1200</v>
      </c>
      <c r="E744" s="94">
        <v>13513</v>
      </c>
      <c r="F744" s="7">
        <f t="shared" si="47"/>
        <v>11.260833333333334</v>
      </c>
      <c r="G744" s="5" t="s">
        <v>20</v>
      </c>
      <c r="H744" s="5">
        <v>122</v>
      </c>
      <c r="I744" s="96">
        <f t="shared" si="44"/>
        <v>110.76229508196721</v>
      </c>
      <c r="J744" s="5" t="s">
        <v>21</v>
      </c>
      <c r="K744" s="5" t="s">
        <v>22</v>
      </c>
      <c r="L744" s="5">
        <v>1263880800</v>
      </c>
      <c r="M744" s="5">
        <v>1267509600</v>
      </c>
      <c r="N744" s="8">
        <f t="shared" si="45"/>
        <v>40197.25</v>
      </c>
      <c r="O744" s="8">
        <f t="shared" si="46"/>
        <v>40239.25</v>
      </c>
      <c r="P744" s="21" t="str">
        <f>TEXT(CrowdfundingTable[[#This Row],[date_created]],"ddd")</f>
        <v>Tue</v>
      </c>
      <c r="Q744" s="21">
        <f>_xlfn.DAYS(CrowdfundingTable[[#This Row],[date_ended]],CrowdfundingTable[[#This Row],[date_created]])</f>
        <v>42</v>
      </c>
      <c r="R744" s="5" t="b">
        <v>0</v>
      </c>
      <c r="S744" s="5" t="b">
        <v>0</v>
      </c>
      <c r="T744" s="5" t="s">
        <v>50</v>
      </c>
      <c r="U744" s="5" t="s">
        <v>2036</v>
      </c>
      <c r="V744" s="5" t="s">
        <v>2046</v>
      </c>
      <c r="W744" s="5"/>
    </row>
    <row r="745" spans="1:23" ht="34" x14ac:dyDescent="0.2">
      <c r="A745" s="5">
        <v>743</v>
      </c>
      <c r="B745" s="5" t="s">
        <v>1522</v>
      </c>
      <c r="C745" s="6" t="s">
        <v>1523</v>
      </c>
      <c r="D745" s="94">
        <v>3900</v>
      </c>
      <c r="E745" s="94">
        <v>504</v>
      </c>
      <c r="F745" s="7">
        <f t="shared" si="47"/>
        <v>0.12923076923076923</v>
      </c>
      <c r="G745" s="5" t="s">
        <v>14</v>
      </c>
      <c r="H745" s="5">
        <v>17</v>
      </c>
      <c r="I745" s="96">
        <f t="shared" si="44"/>
        <v>29.647058823529413</v>
      </c>
      <c r="J745" s="5" t="s">
        <v>21</v>
      </c>
      <c r="K745" s="5" t="s">
        <v>22</v>
      </c>
      <c r="L745" s="5">
        <v>1445403600</v>
      </c>
      <c r="M745" s="5">
        <v>1445922000</v>
      </c>
      <c r="N745" s="8">
        <f t="shared" si="45"/>
        <v>42298.208333333328</v>
      </c>
      <c r="O745" s="8">
        <f t="shared" si="46"/>
        <v>42304.208333333328</v>
      </c>
      <c r="P745" s="21" t="str">
        <f>TEXT(CrowdfundingTable[[#This Row],[date_created]],"ddd")</f>
        <v>Wed</v>
      </c>
      <c r="Q745" s="21">
        <f>_xlfn.DAYS(CrowdfundingTable[[#This Row],[date_ended]],CrowdfundingTable[[#This Row],[date_created]])</f>
        <v>6</v>
      </c>
      <c r="R745" s="5" t="b">
        <v>0</v>
      </c>
      <c r="S745" s="5" t="b">
        <v>1</v>
      </c>
      <c r="T745" s="5" t="s">
        <v>33</v>
      </c>
      <c r="U745" s="5" t="s">
        <v>2040</v>
      </c>
      <c r="V745" s="5" t="s">
        <v>2055</v>
      </c>
      <c r="W745" s="5"/>
    </row>
    <row r="746" spans="1:23" ht="17" x14ac:dyDescent="0.2">
      <c r="A746" s="5">
        <v>744</v>
      </c>
      <c r="B746" s="5" t="s">
        <v>1524</v>
      </c>
      <c r="C746" s="6" t="s">
        <v>1525</v>
      </c>
      <c r="D746" s="94">
        <v>2000</v>
      </c>
      <c r="E746" s="94">
        <v>14240</v>
      </c>
      <c r="F746" s="7">
        <f t="shared" si="47"/>
        <v>7.12</v>
      </c>
      <c r="G746" s="5" t="s">
        <v>20</v>
      </c>
      <c r="H746" s="5">
        <v>140</v>
      </c>
      <c r="I746" s="96">
        <f t="shared" si="44"/>
        <v>101.71428571428571</v>
      </c>
      <c r="J746" s="5" t="s">
        <v>21</v>
      </c>
      <c r="K746" s="5" t="s">
        <v>22</v>
      </c>
      <c r="L746" s="5">
        <v>1533877200</v>
      </c>
      <c r="M746" s="5">
        <v>1534050000</v>
      </c>
      <c r="N746" s="8">
        <f t="shared" si="45"/>
        <v>43322.208333333328</v>
      </c>
      <c r="O746" s="8">
        <f t="shared" si="46"/>
        <v>43324.208333333328</v>
      </c>
      <c r="P746" s="21" t="str">
        <f>TEXT(CrowdfundingTable[[#This Row],[date_created]],"ddd")</f>
        <v>Fri</v>
      </c>
      <c r="Q746" s="21">
        <f>_xlfn.DAYS(CrowdfundingTable[[#This Row],[date_ended]],CrowdfundingTable[[#This Row],[date_created]])</f>
        <v>2</v>
      </c>
      <c r="R746" s="5" t="b">
        <v>0</v>
      </c>
      <c r="S746" s="5" t="b">
        <v>1</v>
      </c>
      <c r="T746" s="5" t="s">
        <v>33</v>
      </c>
      <c r="U746" s="5" t="s">
        <v>2040</v>
      </c>
      <c r="V746" s="5" t="s">
        <v>2055</v>
      </c>
      <c r="W746" s="5"/>
    </row>
    <row r="747" spans="1:23" ht="17" x14ac:dyDescent="0.2">
      <c r="A747" s="5">
        <v>745</v>
      </c>
      <c r="B747" s="5" t="s">
        <v>1526</v>
      </c>
      <c r="C747" s="6" t="s">
        <v>1527</v>
      </c>
      <c r="D747" s="94">
        <v>6900</v>
      </c>
      <c r="E747" s="94">
        <v>2091</v>
      </c>
      <c r="F747" s="7">
        <f t="shared" si="47"/>
        <v>0.30304347826086958</v>
      </c>
      <c r="G747" s="5" t="s">
        <v>14</v>
      </c>
      <c r="H747" s="5">
        <v>34</v>
      </c>
      <c r="I747" s="96">
        <f t="shared" si="44"/>
        <v>61.5</v>
      </c>
      <c r="J747" s="5" t="s">
        <v>21</v>
      </c>
      <c r="K747" s="5" t="s">
        <v>22</v>
      </c>
      <c r="L747" s="5">
        <v>1275195600</v>
      </c>
      <c r="M747" s="5">
        <v>1277528400</v>
      </c>
      <c r="N747" s="8">
        <f t="shared" si="45"/>
        <v>40328.208333333336</v>
      </c>
      <c r="O747" s="8">
        <f t="shared" si="46"/>
        <v>40355.208333333336</v>
      </c>
      <c r="P747" s="21" t="str">
        <f>TEXT(CrowdfundingTable[[#This Row],[date_created]],"ddd")</f>
        <v>Sun</v>
      </c>
      <c r="Q747" s="21">
        <f>_xlfn.DAYS(CrowdfundingTable[[#This Row],[date_ended]],CrowdfundingTable[[#This Row],[date_created]])</f>
        <v>27</v>
      </c>
      <c r="R747" s="5" t="b">
        <v>0</v>
      </c>
      <c r="S747" s="5" t="b">
        <v>0</v>
      </c>
      <c r="T747" s="5" t="s">
        <v>65</v>
      </c>
      <c r="U747" s="5" t="s">
        <v>2039</v>
      </c>
      <c r="V747" s="5" t="s">
        <v>2063</v>
      </c>
      <c r="W747" s="5"/>
    </row>
    <row r="748" spans="1:23" ht="17" x14ac:dyDescent="0.2">
      <c r="A748" s="5">
        <v>746</v>
      </c>
      <c r="B748" s="5" t="s">
        <v>1528</v>
      </c>
      <c r="C748" s="6" t="s">
        <v>1529</v>
      </c>
      <c r="D748" s="94">
        <v>55800</v>
      </c>
      <c r="E748" s="94">
        <v>118580</v>
      </c>
      <c r="F748" s="7">
        <f t="shared" si="47"/>
        <v>2.1250896057347672</v>
      </c>
      <c r="G748" s="5" t="s">
        <v>20</v>
      </c>
      <c r="H748" s="5">
        <v>3388</v>
      </c>
      <c r="I748" s="96">
        <f t="shared" si="44"/>
        <v>35</v>
      </c>
      <c r="J748" s="5" t="s">
        <v>21</v>
      </c>
      <c r="K748" s="5" t="s">
        <v>22</v>
      </c>
      <c r="L748" s="5">
        <v>1318136400</v>
      </c>
      <c r="M748" s="5">
        <v>1318568400</v>
      </c>
      <c r="N748" s="8">
        <f t="shared" si="45"/>
        <v>40825.208333333336</v>
      </c>
      <c r="O748" s="8">
        <f t="shared" si="46"/>
        <v>40830.208333333336</v>
      </c>
      <c r="P748" s="21" t="str">
        <f>TEXT(CrowdfundingTable[[#This Row],[date_created]],"ddd")</f>
        <v>Sun</v>
      </c>
      <c r="Q748" s="21">
        <f>_xlfn.DAYS(CrowdfundingTable[[#This Row],[date_ended]],CrowdfundingTable[[#This Row],[date_created]])</f>
        <v>5</v>
      </c>
      <c r="R748" s="5" t="b">
        <v>0</v>
      </c>
      <c r="S748" s="5" t="b">
        <v>0</v>
      </c>
      <c r="T748" s="5" t="s">
        <v>28</v>
      </c>
      <c r="U748" s="5" t="s">
        <v>2039</v>
      </c>
      <c r="V748" s="5" t="s">
        <v>2064</v>
      </c>
      <c r="W748" s="5"/>
    </row>
    <row r="749" spans="1:23" ht="17" x14ac:dyDescent="0.2">
      <c r="A749" s="5">
        <v>747</v>
      </c>
      <c r="B749" s="5" t="s">
        <v>1530</v>
      </c>
      <c r="C749" s="6" t="s">
        <v>1531</v>
      </c>
      <c r="D749" s="94">
        <v>4900</v>
      </c>
      <c r="E749" s="94">
        <v>11214</v>
      </c>
      <c r="F749" s="7">
        <f t="shared" si="47"/>
        <v>2.2885714285714287</v>
      </c>
      <c r="G749" s="5" t="s">
        <v>20</v>
      </c>
      <c r="H749" s="5">
        <v>280</v>
      </c>
      <c r="I749" s="96">
        <f t="shared" si="44"/>
        <v>40.049999999999997</v>
      </c>
      <c r="J749" s="5" t="s">
        <v>21</v>
      </c>
      <c r="K749" s="5" t="s">
        <v>22</v>
      </c>
      <c r="L749" s="5">
        <v>1283403600</v>
      </c>
      <c r="M749" s="5">
        <v>1284354000</v>
      </c>
      <c r="N749" s="8">
        <f t="shared" si="45"/>
        <v>40423.208333333336</v>
      </c>
      <c r="O749" s="8">
        <f t="shared" si="46"/>
        <v>40434.208333333336</v>
      </c>
      <c r="P749" s="21" t="str">
        <f>TEXT(CrowdfundingTable[[#This Row],[date_created]],"ddd")</f>
        <v>Thu</v>
      </c>
      <c r="Q749" s="21">
        <f>_xlfn.DAYS(CrowdfundingTable[[#This Row],[date_ended]],CrowdfundingTable[[#This Row],[date_created]])</f>
        <v>11</v>
      </c>
      <c r="R749" s="5" t="b">
        <v>0</v>
      </c>
      <c r="S749" s="5" t="b">
        <v>0</v>
      </c>
      <c r="T749" s="5" t="s">
        <v>33</v>
      </c>
      <c r="U749" s="5" t="s">
        <v>2040</v>
      </c>
      <c r="V749" s="5" t="s">
        <v>2055</v>
      </c>
      <c r="W749" s="5"/>
    </row>
    <row r="750" spans="1:23" ht="17" x14ac:dyDescent="0.2">
      <c r="A750" s="5">
        <v>748</v>
      </c>
      <c r="B750" s="5" t="s">
        <v>1532</v>
      </c>
      <c r="C750" s="6" t="s">
        <v>1533</v>
      </c>
      <c r="D750" s="94">
        <v>194900</v>
      </c>
      <c r="E750" s="94">
        <v>68137</v>
      </c>
      <c r="F750" s="7">
        <f t="shared" si="47"/>
        <v>0.34959979476654696</v>
      </c>
      <c r="G750" s="5" t="s">
        <v>74</v>
      </c>
      <c r="H750" s="5">
        <v>614</v>
      </c>
      <c r="I750" s="96">
        <f t="shared" si="44"/>
        <v>110.97231270358306</v>
      </c>
      <c r="J750" s="5" t="s">
        <v>21</v>
      </c>
      <c r="K750" s="5" t="s">
        <v>22</v>
      </c>
      <c r="L750" s="5">
        <v>1267423200</v>
      </c>
      <c r="M750" s="5">
        <v>1269579600</v>
      </c>
      <c r="N750" s="8">
        <f t="shared" si="45"/>
        <v>40238.25</v>
      </c>
      <c r="O750" s="8">
        <f t="shared" si="46"/>
        <v>40263.208333333336</v>
      </c>
      <c r="P750" s="21" t="str">
        <f>TEXT(CrowdfundingTable[[#This Row],[date_created]],"ddd")</f>
        <v>Mon</v>
      </c>
      <c r="Q750" s="21">
        <f>_xlfn.DAYS(CrowdfundingTable[[#This Row],[date_ended]],CrowdfundingTable[[#This Row],[date_created]])</f>
        <v>25</v>
      </c>
      <c r="R750" s="5" t="b">
        <v>0</v>
      </c>
      <c r="S750" s="5" t="b">
        <v>1</v>
      </c>
      <c r="T750" s="5" t="s">
        <v>71</v>
      </c>
      <c r="U750" s="5" t="s">
        <v>2032</v>
      </c>
      <c r="V750" s="5" t="s">
        <v>2042</v>
      </c>
      <c r="W750" s="5"/>
    </row>
    <row r="751" spans="1:23" ht="17" x14ac:dyDescent="0.2">
      <c r="A751" s="5">
        <v>749</v>
      </c>
      <c r="B751" s="5" t="s">
        <v>1534</v>
      </c>
      <c r="C751" s="6" t="s">
        <v>1535</v>
      </c>
      <c r="D751" s="94">
        <v>8600</v>
      </c>
      <c r="E751" s="94">
        <v>13527</v>
      </c>
      <c r="F751" s="7">
        <f t="shared" si="47"/>
        <v>1.5729069767441861</v>
      </c>
      <c r="G751" s="5" t="s">
        <v>20</v>
      </c>
      <c r="H751" s="5">
        <v>366</v>
      </c>
      <c r="I751" s="96">
        <f t="shared" si="44"/>
        <v>36.959016393442624</v>
      </c>
      <c r="J751" s="5" t="s">
        <v>107</v>
      </c>
      <c r="K751" s="5" t="s">
        <v>108</v>
      </c>
      <c r="L751" s="5">
        <v>1412744400</v>
      </c>
      <c r="M751" s="5">
        <v>1413781200</v>
      </c>
      <c r="N751" s="8">
        <f t="shared" si="45"/>
        <v>41920.208333333336</v>
      </c>
      <c r="O751" s="8">
        <f t="shared" si="46"/>
        <v>41932.208333333336</v>
      </c>
      <c r="P751" s="21" t="str">
        <f>TEXT(CrowdfundingTable[[#This Row],[date_created]],"ddd")</f>
        <v>Wed</v>
      </c>
      <c r="Q751" s="21">
        <f>_xlfn.DAYS(CrowdfundingTable[[#This Row],[date_ended]],CrowdfundingTable[[#This Row],[date_created]])</f>
        <v>12</v>
      </c>
      <c r="R751" s="5" t="b">
        <v>0</v>
      </c>
      <c r="S751" s="5" t="b">
        <v>1</v>
      </c>
      <c r="T751" s="5" t="s">
        <v>65</v>
      </c>
      <c r="U751" s="5" t="s">
        <v>2039</v>
      </c>
      <c r="V751" s="5" t="s">
        <v>2063</v>
      </c>
      <c r="W751" s="5"/>
    </row>
    <row r="752" spans="1:23" ht="17" x14ac:dyDescent="0.2">
      <c r="A752" s="5">
        <v>750</v>
      </c>
      <c r="B752" s="5" t="s">
        <v>1536</v>
      </c>
      <c r="C752" s="6" t="s">
        <v>1537</v>
      </c>
      <c r="D752" s="94">
        <v>100</v>
      </c>
      <c r="E752" s="94">
        <v>1</v>
      </c>
      <c r="F752" s="7">
        <f t="shared" si="47"/>
        <v>0.01</v>
      </c>
      <c r="G752" s="5" t="s">
        <v>14</v>
      </c>
      <c r="H752" s="5">
        <v>1</v>
      </c>
      <c r="I752" s="96">
        <f t="shared" si="44"/>
        <v>1</v>
      </c>
      <c r="J752" s="5" t="s">
        <v>40</v>
      </c>
      <c r="K752" s="5" t="s">
        <v>41</v>
      </c>
      <c r="L752" s="5">
        <v>1277960400</v>
      </c>
      <c r="M752" s="5">
        <v>1280120400</v>
      </c>
      <c r="N752" s="8">
        <f t="shared" si="45"/>
        <v>40360.208333333336</v>
      </c>
      <c r="O752" s="8">
        <f t="shared" si="46"/>
        <v>40385.208333333336</v>
      </c>
      <c r="P752" s="21" t="str">
        <f>TEXT(CrowdfundingTable[[#This Row],[date_created]],"ddd")</f>
        <v>Thu</v>
      </c>
      <c r="Q752" s="21">
        <f>_xlfn.DAYS(CrowdfundingTable[[#This Row],[date_ended]],CrowdfundingTable[[#This Row],[date_created]])</f>
        <v>25</v>
      </c>
      <c r="R752" s="5" t="b">
        <v>0</v>
      </c>
      <c r="S752" s="5" t="b">
        <v>0</v>
      </c>
      <c r="T752" s="5" t="s">
        <v>50</v>
      </c>
      <c r="U752" s="5" t="s">
        <v>2036</v>
      </c>
      <c r="V752" s="5" t="s">
        <v>2046</v>
      </c>
      <c r="W752" s="5"/>
    </row>
    <row r="753" spans="1:23" ht="17" x14ac:dyDescent="0.2">
      <c r="A753" s="5">
        <v>751</v>
      </c>
      <c r="B753" s="5" t="s">
        <v>1538</v>
      </c>
      <c r="C753" s="6" t="s">
        <v>1539</v>
      </c>
      <c r="D753" s="94">
        <v>3600</v>
      </c>
      <c r="E753" s="94">
        <v>8363</v>
      </c>
      <c r="F753" s="7">
        <f t="shared" si="47"/>
        <v>2.3230555555555554</v>
      </c>
      <c r="G753" s="5" t="s">
        <v>20</v>
      </c>
      <c r="H753" s="5">
        <v>270</v>
      </c>
      <c r="I753" s="96">
        <f t="shared" si="44"/>
        <v>30.974074074074075</v>
      </c>
      <c r="J753" s="5" t="s">
        <v>21</v>
      </c>
      <c r="K753" s="5" t="s">
        <v>22</v>
      </c>
      <c r="L753" s="5">
        <v>1458190800</v>
      </c>
      <c r="M753" s="5">
        <v>1459486800</v>
      </c>
      <c r="N753" s="8">
        <f t="shared" si="45"/>
        <v>42446.208333333328</v>
      </c>
      <c r="O753" s="8">
        <f t="shared" si="46"/>
        <v>42461.208333333328</v>
      </c>
      <c r="P753" s="21" t="str">
        <f>TEXT(CrowdfundingTable[[#This Row],[date_created]],"ddd")</f>
        <v>Thu</v>
      </c>
      <c r="Q753" s="21">
        <f>_xlfn.DAYS(CrowdfundingTable[[#This Row],[date_ended]],CrowdfundingTable[[#This Row],[date_created]])</f>
        <v>15</v>
      </c>
      <c r="R753" s="5" t="b">
        <v>1</v>
      </c>
      <c r="S753" s="5" t="b">
        <v>1</v>
      </c>
      <c r="T753" s="5" t="s">
        <v>68</v>
      </c>
      <c r="U753" s="5" t="s">
        <v>2038</v>
      </c>
      <c r="V753" s="5" t="s">
        <v>2053</v>
      </c>
      <c r="W753" s="5"/>
    </row>
    <row r="754" spans="1:23" ht="17" x14ac:dyDescent="0.2">
      <c r="A754" s="5">
        <v>752</v>
      </c>
      <c r="B754" s="5" t="s">
        <v>1540</v>
      </c>
      <c r="C754" s="6" t="s">
        <v>1541</v>
      </c>
      <c r="D754" s="94">
        <v>5800</v>
      </c>
      <c r="E754" s="94">
        <v>5362</v>
      </c>
      <c r="F754" s="7">
        <f t="shared" si="47"/>
        <v>0.92448275862068963</v>
      </c>
      <c r="G754" s="5" t="s">
        <v>74</v>
      </c>
      <c r="H754" s="5">
        <v>114</v>
      </c>
      <c r="I754" s="96">
        <f t="shared" si="44"/>
        <v>47.035087719298247</v>
      </c>
      <c r="J754" s="5" t="s">
        <v>21</v>
      </c>
      <c r="K754" s="5" t="s">
        <v>22</v>
      </c>
      <c r="L754" s="5">
        <v>1280984400</v>
      </c>
      <c r="M754" s="5">
        <v>1282539600</v>
      </c>
      <c r="N754" s="8">
        <f t="shared" si="45"/>
        <v>40395.208333333336</v>
      </c>
      <c r="O754" s="8">
        <f t="shared" si="46"/>
        <v>40413.208333333336</v>
      </c>
      <c r="P754" s="21" t="str">
        <f>TEXT(CrowdfundingTable[[#This Row],[date_created]],"ddd")</f>
        <v>Thu</v>
      </c>
      <c r="Q754" s="21">
        <f>_xlfn.DAYS(CrowdfundingTable[[#This Row],[date_ended]],CrowdfundingTable[[#This Row],[date_created]])</f>
        <v>18</v>
      </c>
      <c r="R754" s="5" t="b">
        <v>0</v>
      </c>
      <c r="S754" s="5" t="b">
        <v>1</v>
      </c>
      <c r="T754" s="5" t="s">
        <v>33</v>
      </c>
      <c r="U754" s="5" t="s">
        <v>2040</v>
      </c>
      <c r="V754" s="5" t="s">
        <v>2055</v>
      </c>
      <c r="W754" s="5"/>
    </row>
    <row r="755" spans="1:23" ht="17" x14ac:dyDescent="0.2">
      <c r="A755" s="5">
        <v>753</v>
      </c>
      <c r="B755" s="5" t="s">
        <v>1542</v>
      </c>
      <c r="C755" s="6" t="s">
        <v>1543</v>
      </c>
      <c r="D755" s="94">
        <v>4700</v>
      </c>
      <c r="E755" s="94">
        <v>12065</v>
      </c>
      <c r="F755" s="7">
        <f t="shared" si="47"/>
        <v>2.5670212765957445</v>
      </c>
      <c r="G755" s="5" t="s">
        <v>20</v>
      </c>
      <c r="H755" s="5">
        <v>137</v>
      </c>
      <c r="I755" s="96">
        <f t="shared" si="44"/>
        <v>88.065693430656935</v>
      </c>
      <c r="J755" s="5" t="s">
        <v>21</v>
      </c>
      <c r="K755" s="5" t="s">
        <v>22</v>
      </c>
      <c r="L755" s="5">
        <v>1274590800</v>
      </c>
      <c r="M755" s="5">
        <v>1275886800</v>
      </c>
      <c r="N755" s="8">
        <f t="shared" si="45"/>
        <v>40321.208333333336</v>
      </c>
      <c r="O755" s="8">
        <f t="shared" si="46"/>
        <v>40336.208333333336</v>
      </c>
      <c r="P755" s="21" t="str">
        <f>TEXT(CrowdfundingTable[[#This Row],[date_created]],"ddd")</f>
        <v>Sun</v>
      </c>
      <c r="Q755" s="21">
        <f>_xlfn.DAYS(CrowdfundingTable[[#This Row],[date_ended]],CrowdfundingTable[[#This Row],[date_created]])</f>
        <v>15</v>
      </c>
      <c r="R755" s="5" t="b">
        <v>0</v>
      </c>
      <c r="S755" s="5" t="b">
        <v>0</v>
      </c>
      <c r="T755" s="5" t="s">
        <v>122</v>
      </c>
      <c r="U755" s="5" t="s">
        <v>2037</v>
      </c>
      <c r="V755" s="5" t="s">
        <v>2054</v>
      </c>
      <c r="W755" s="5"/>
    </row>
    <row r="756" spans="1:23" ht="17" x14ac:dyDescent="0.2">
      <c r="A756" s="5">
        <v>754</v>
      </c>
      <c r="B756" s="5" t="s">
        <v>1544</v>
      </c>
      <c r="C756" s="6" t="s">
        <v>1545</v>
      </c>
      <c r="D756" s="94">
        <v>70400</v>
      </c>
      <c r="E756" s="94">
        <v>118603</v>
      </c>
      <c r="F756" s="7">
        <f t="shared" si="47"/>
        <v>1.6847017045454546</v>
      </c>
      <c r="G756" s="5" t="s">
        <v>20</v>
      </c>
      <c r="H756" s="5">
        <v>3205</v>
      </c>
      <c r="I756" s="96">
        <f t="shared" si="44"/>
        <v>37.005616224648989</v>
      </c>
      <c r="J756" s="5" t="s">
        <v>21</v>
      </c>
      <c r="K756" s="5" t="s">
        <v>22</v>
      </c>
      <c r="L756" s="5">
        <v>1351400400</v>
      </c>
      <c r="M756" s="5">
        <v>1355983200</v>
      </c>
      <c r="N756" s="8">
        <f t="shared" si="45"/>
        <v>41210.208333333336</v>
      </c>
      <c r="O756" s="8">
        <f t="shared" si="46"/>
        <v>41263.25</v>
      </c>
      <c r="P756" s="21" t="str">
        <f>TEXT(CrowdfundingTable[[#This Row],[date_created]],"ddd")</f>
        <v>Sun</v>
      </c>
      <c r="Q756" s="21">
        <f>_xlfn.DAYS(CrowdfundingTable[[#This Row],[date_ended]],CrowdfundingTable[[#This Row],[date_created]])</f>
        <v>53</v>
      </c>
      <c r="R756" s="5" t="b">
        <v>0</v>
      </c>
      <c r="S756" s="5" t="b">
        <v>0</v>
      </c>
      <c r="T756" s="5" t="s">
        <v>33</v>
      </c>
      <c r="U756" s="5" t="s">
        <v>2040</v>
      </c>
      <c r="V756" s="5" t="s">
        <v>2055</v>
      </c>
      <c r="W756" s="5"/>
    </row>
    <row r="757" spans="1:23" ht="17" x14ac:dyDescent="0.2">
      <c r="A757" s="5">
        <v>755</v>
      </c>
      <c r="B757" s="5" t="s">
        <v>1546</v>
      </c>
      <c r="C757" s="6" t="s">
        <v>1547</v>
      </c>
      <c r="D757" s="94">
        <v>4500</v>
      </c>
      <c r="E757" s="94">
        <v>7496</v>
      </c>
      <c r="F757" s="7">
        <f t="shared" si="47"/>
        <v>1.6657777777777778</v>
      </c>
      <c r="G757" s="5" t="s">
        <v>20</v>
      </c>
      <c r="H757" s="5">
        <v>288</v>
      </c>
      <c r="I757" s="96">
        <f t="shared" si="44"/>
        <v>26.027777777777779</v>
      </c>
      <c r="J757" s="5" t="s">
        <v>36</v>
      </c>
      <c r="K757" s="5" t="s">
        <v>37</v>
      </c>
      <c r="L757" s="5">
        <v>1514354400</v>
      </c>
      <c r="M757" s="5">
        <v>1515391200</v>
      </c>
      <c r="N757" s="8">
        <f t="shared" si="45"/>
        <v>43096.25</v>
      </c>
      <c r="O757" s="8">
        <f t="shared" si="46"/>
        <v>43108.25</v>
      </c>
      <c r="P757" s="21" t="str">
        <f>TEXT(CrowdfundingTable[[#This Row],[date_created]],"ddd")</f>
        <v>Wed</v>
      </c>
      <c r="Q757" s="21">
        <f>_xlfn.DAYS(CrowdfundingTable[[#This Row],[date_ended]],CrowdfundingTable[[#This Row],[date_created]])</f>
        <v>12</v>
      </c>
      <c r="R757" s="5" t="b">
        <v>0</v>
      </c>
      <c r="S757" s="5" t="b">
        <v>1</v>
      </c>
      <c r="T757" s="5" t="s">
        <v>33</v>
      </c>
      <c r="U757" s="5" t="s">
        <v>2040</v>
      </c>
      <c r="V757" s="5" t="s">
        <v>2055</v>
      </c>
      <c r="W757" s="5"/>
    </row>
    <row r="758" spans="1:23" ht="17" x14ac:dyDescent="0.2">
      <c r="A758" s="5">
        <v>756</v>
      </c>
      <c r="B758" s="5" t="s">
        <v>1548</v>
      </c>
      <c r="C758" s="6" t="s">
        <v>1549</v>
      </c>
      <c r="D758" s="94">
        <v>1300</v>
      </c>
      <c r="E758" s="94">
        <v>10037</v>
      </c>
      <c r="F758" s="7">
        <f t="shared" si="47"/>
        <v>7.7207692307692311</v>
      </c>
      <c r="G758" s="5" t="s">
        <v>20</v>
      </c>
      <c r="H758" s="5">
        <v>148</v>
      </c>
      <c r="I758" s="96">
        <f t="shared" si="44"/>
        <v>67.817567567567565</v>
      </c>
      <c r="J758" s="5" t="s">
        <v>21</v>
      </c>
      <c r="K758" s="5" t="s">
        <v>22</v>
      </c>
      <c r="L758" s="5">
        <v>1421733600</v>
      </c>
      <c r="M758" s="5">
        <v>1422252000</v>
      </c>
      <c r="N758" s="8">
        <f t="shared" si="45"/>
        <v>42024.25</v>
      </c>
      <c r="O758" s="8">
        <f t="shared" si="46"/>
        <v>42030.25</v>
      </c>
      <c r="P758" s="21" t="str">
        <f>TEXT(CrowdfundingTable[[#This Row],[date_created]],"ddd")</f>
        <v>Tue</v>
      </c>
      <c r="Q758" s="21">
        <f>_xlfn.DAYS(CrowdfundingTable[[#This Row],[date_ended]],CrowdfundingTable[[#This Row],[date_created]])</f>
        <v>6</v>
      </c>
      <c r="R758" s="5" t="b">
        <v>0</v>
      </c>
      <c r="S758" s="5" t="b">
        <v>0</v>
      </c>
      <c r="T758" s="5" t="s">
        <v>33</v>
      </c>
      <c r="U758" s="5" t="s">
        <v>2040</v>
      </c>
      <c r="V758" s="5" t="s">
        <v>2055</v>
      </c>
      <c r="W758" s="5"/>
    </row>
    <row r="759" spans="1:23" ht="17" x14ac:dyDescent="0.2">
      <c r="A759" s="5">
        <v>757</v>
      </c>
      <c r="B759" s="5" t="s">
        <v>1550</v>
      </c>
      <c r="C759" s="6" t="s">
        <v>1551</v>
      </c>
      <c r="D759" s="94">
        <v>1400</v>
      </c>
      <c r="E759" s="94">
        <v>5696</v>
      </c>
      <c r="F759" s="7">
        <f t="shared" si="47"/>
        <v>4.0685714285714285</v>
      </c>
      <c r="G759" s="5" t="s">
        <v>20</v>
      </c>
      <c r="H759" s="5">
        <v>114</v>
      </c>
      <c r="I759" s="96">
        <f t="shared" si="44"/>
        <v>49.964912280701753</v>
      </c>
      <c r="J759" s="5" t="s">
        <v>21</v>
      </c>
      <c r="K759" s="5" t="s">
        <v>22</v>
      </c>
      <c r="L759" s="5">
        <v>1305176400</v>
      </c>
      <c r="M759" s="5">
        <v>1305522000</v>
      </c>
      <c r="N759" s="8">
        <f t="shared" si="45"/>
        <v>40675.208333333336</v>
      </c>
      <c r="O759" s="8">
        <f t="shared" si="46"/>
        <v>40679.208333333336</v>
      </c>
      <c r="P759" s="21" t="str">
        <f>TEXT(CrowdfundingTable[[#This Row],[date_created]],"ddd")</f>
        <v>Thu</v>
      </c>
      <c r="Q759" s="21">
        <f>_xlfn.DAYS(CrowdfundingTable[[#This Row],[date_ended]],CrowdfundingTable[[#This Row],[date_created]])</f>
        <v>4</v>
      </c>
      <c r="R759" s="5" t="b">
        <v>0</v>
      </c>
      <c r="S759" s="5" t="b">
        <v>0</v>
      </c>
      <c r="T759" s="5" t="s">
        <v>53</v>
      </c>
      <c r="U759" s="5" t="s">
        <v>2032</v>
      </c>
      <c r="V759" s="5" t="s">
        <v>2045</v>
      </c>
      <c r="W759" s="5"/>
    </row>
    <row r="760" spans="1:23" ht="17" x14ac:dyDescent="0.2">
      <c r="A760" s="5">
        <v>758</v>
      </c>
      <c r="B760" s="5" t="s">
        <v>1552</v>
      </c>
      <c r="C760" s="6" t="s">
        <v>1553</v>
      </c>
      <c r="D760" s="94">
        <v>29600</v>
      </c>
      <c r="E760" s="94">
        <v>167005</v>
      </c>
      <c r="F760" s="7">
        <f t="shared" si="47"/>
        <v>5.6420608108108112</v>
      </c>
      <c r="G760" s="5" t="s">
        <v>20</v>
      </c>
      <c r="H760" s="5">
        <v>1518</v>
      </c>
      <c r="I760" s="96">
        <f t="shared" si="44"/>
        <v>110.01646903820817</v>
      </c>
      <c r="J760" s="5" t="s">
        <v>15</v>
      </c>
      <c r="K760" s="5" t="s">
        <v>16</v>
      </c>
      <c r="L760" s="5">
        <v>1414126800</v>
      </c>
      <c r="M760" s="5">
        <v>1414904400</v>
      </c>
      <c r="N760" s="8">
        <f t="shared" si="45"/>
        <v>41936.208333333336</v>
      </c>
      <c r="O760" s="8">
        <f t="shared" si="46"/>
        <v>41945.208333333336</v>
      </c>
      <c r="P760" s="21" t="str">
        <f>TEXT(CrowdfundingTable[[#This Row],[date_created]],"ddd")</f>
        <v>Fri</v>
      </c>
      <c r="Q760" s="21">
        <f>_xlfn.DAYS(CrowdfundingTable[[#This Row],[date_ended]],CrowdfundingTable[[#This Row],[date_created]])</f>
        <v>9</v>
      </c>
      <c r="R760" s="5" t="b">
        <v>0</v>
      </c>
      <c r="S760" s="5" t="b">
        <v>0</v>
      </c>
      <c r="T760" s="5" t="s">
        <v>23</v>
      </c>
      <c r="U760" s="5" t="s">
        <v>2036</v>
      </c>
      <c r="V760" s="5" t="s">
        <v>2057</v>
      </c>
      <c r="W760" s="5"/>
    </row>
    <row r="761" spans="1:23" ht="17" x14ac:dyDescent="0.2">
      <c r="A761" s="5">
        <v>759</v>
      </c>
      <c r="B761" s="5" t="s">
        <v>1554</v>
      </c>
      <c r="C761" s="6" t="s">
        <v>1555</v>
      </c>
      <c r="D761" s="94">
        <v>167500</v>
      </c>
      <c r="E761" s="94">
        <v>114615</v>
      </c>
      <c r="F761" s="7">
        <f t="shared" si="47"/>
        <v>0.6842686567164179</v>
      </c>
      <c r="G761" s="5" t="s">
        <v>14</v>
      </c>
      <c r="H761" s="5">
        <v>1274</v>
      </c>
      <c r="I761" s="96">
        <f t="shared" si="44"/>
        <v>89.964678178963894</v>
      </c>
      <c r="J761" s="5" t="s">
        <v>21</v>
      </c>
      <c r="K761" s="5" t="s">
        <v>22</v>
      </c>
      <c r="L761" s="5">
        <v>1517810400</v>
      </c>
      <c r="M761" s="5">
        <v>1520402400</v>
      </c>
      <c r="N761" s="8">
        <f t="shared" si="45"/>
        <v>43136.25</v>
      </c>
      <c r="O761" s="8">
        <f t="shared" si="46"/>
        <v>43166.25</v>
      </c>
      <c r="P761" s="21" t="str">
        <f>TEXT(CrowdfundingTable[[#This Row],[date_created]],"ddd")</f>
        <v>Mon</v>
      </c>
      <c r="Q761" s="21">
        <f>_xlfn.DAYS(CrowdfundingTable[[#This Row],[date_ended]],CrowdfundingTable[[#This Row],[date_created]])</f>
        <v>30</v>
      </c>
      <c r="R761" s="5" t="b">
        <v>0</v>
      </c>
      <c r="S761" s="5" t="b">
        <v>0</v>
      </c>
      <c r="T761" s="5" t="s">
        <v>50</v>
      </c>
      <c r="U761" s="5" t="s">
        <v>2036</v>
      </c>
      <c r="V761" s="5" t="s">
        <v>2046</v>
      </c>
      <c r="W761" s="5"/>
    </row>
    <row r="762" spans="1:23" ht="17" x14ac:dyDescent="0.2">
      <c r="A762" s="5">
        <v>760</v>
      </c>
      <c r="B762" s="5" t="s">
        <v>1556</v>
      </c>
      <c r="C762" s="6" t="s">
        <v>1557</v>
      </c>
      <c r="D762" s="94">
        <v>48300</v>
      </c>
      <c r="E762" s="94">
        <v>16592</v>
      </c>
      <c r="F762" s="7">
        <f t="shared" si="47"/>
        <v>0.34351966873706002</v>
      </c>
      <c r="G762" s="5" t="s">
        <v>14</v>
      </c>
      <c r="H762" s="5">
        <v>210</v>
      </c>
      <c r="I762" s="96">
        <f t="shared" si="44"/>
        <v>79.009523809523813</v>
      </c>
      <c r="J762" s="5" t="s">
        <v>107</v>
      </c>
      <c r="K762" s="5" t="s">
        <v>108</v>
      </c>
      <c r="L762" s="5">
        <v>1564635600</v>
      </c>
      <c r="M762" s="5">
        <v>1567141200</v>
      </c>
      <c r="N762" s="8">
        <f t="shared" si="45"/>
        <v>43678.208333333328</v>
      </c>
      <c r="O762" s="8">
        <f t="shared" si="46"/>
        <v>43707.208333333328</v>
      </c>
      <c r="P762" s="21" t="str">
        <f>TEXT(CrowdfundingTable[[#This Row],[date_created]],"ddd")</f>
        <v>Thu</v>
      </c>
      <c r="Q762" s="21">
        <f>_xlfn.DAYS(CrowdfundingTable[[#This Row],[date_ended]],CrowdfundingTable[[#This Row],[date_created]])</f>
        <v>29</v>
      </c>
      <c r="R762" s="5" t="b">
        <v>0</v>
      </c>
      <c r="S762" s="5" t="b">
        <v>1</v>
      </c>
      <c r="T762" s="5" t="s">
        <v>89</v>
      </c>
      <c r="U762" s="5" t="s">
        <v>2034</v>
      </c>
      <c r="V762" s="5" t="s">
        <v>2062</v>
      </c>
      <c r="W762" s="5"/>
    </row>
    <row r="763" spans="1:23" ht="17" x14ac:dyDescent="0.2">
      <c r="A763" s="5">
        <v>761</v>
      </c>
      <c r="B763" s="5" t="s">
        <v>1558</v>
      </c>
      <c r="C763" s="6" t="s">
        <v>1559</v>
      </c>
      <c r="D763" s="94">
        <v>2200</v>
      </c>
      <c r="E763" s="94">
        <v>14420</v>
      </c>
      <c r="F763" s="7">
        <f t="shared" si="47"/>
        <v>6.5545454545454547</v>
      </c>
      <c r="G763" s="5" t="s">
        <v>20</v>
      </c>
      <c r="H763" s="5">
        <v>166</v>
      </c>
      <c r="I763" s="96">
        <f t="shared" si="44"/>
        <v>86.867469879518069</v>
      </c>
      <c r="J763" s="5" t="s">
        <v>21</v>
      </c>
      <c r="K763" s="5" t="s">
        <v>22</v>
      </c>
      <c r="L763" s="5">
        <v>1500699600</v>
      </c>
      <c r="M763" s="5">
        <v>1501131600</v>
      </c>
      <c r="N763" s="8">
        <f t="shared" si="45"/>
        <v>42938.208333333328</v>
      </c>
      <c r="O763" s="8">
        <f t="shared" si="46"/>
        <v>42943.208333333328</v>
      </c>
      <c r="P763" s="21" t="str">
        <f>TEXT(CrowdfundingTable[[#This Row],[date_created]],"ddd")</f>
        <v>Sat</v>
      </c>
      <c r="Q763" s="21">
        <f>_xlfn.DAYS(CrowdfundingTable[[#This Row],[date_ended]],CrowdfundingTable[[#This Row],[date_created]])</f>
        <v>5</v>
      </c>
      <c r="R763" s="5" t="b">
        <v>0</v>
      </c>
      <c r="S763" s="5" t="b">
        <v>0</v>
      </c>
      <c r="T763" s="5" t="s">
        <v>23</v>
      </c>
      <c r="U763" s="5" t="s">
        <v>2036</v>
      </c>
      <c r="V763" s="5" t="s">
        <v>2057</v>
      </c>
      <c r="W763" s="5"/>
    </row>
    <row r="764" spans="1:23" ht="17" x14ac:dyDescent="0.2">
      <c r="A764" s="5">
        <v>762</v>
      </c>
      <c r="B764" s="5" t="s">
        <v>668</v>
      </c>
      <c r="C764" s="6" t="s">
        <v>1560</v>
      </c>
      <c r="D764" s="94">
        <v>3500</v>
      </c>
      <c r="E764" s="94">
        <v>6204</v>
      </c>
      <c r="F764" s="7">
        <f t="shared" si="47"/>
        <v>1.7725714285714285</v>
      </c>
      <c r="G764" s="5" t="s">
        <v>20</v>
      </c>
      <c r="H764" s="5">
        <v>100</v>
      </c>
      <c r="I764" s="96">
        <f t="shared" si="44"/>
        <v>62.04</v>
      </c>
      <c r="J764" s="5" t="s">
        <v>26</v>
      </c>
      <c r="K764" s="5" t="s">
        <v>27</v>
      </c>
      <c r="L764" s="5">
        <v>1354082400</v>
      </c>
      <c r="M764" s="5">
        <v>1355032800</v>
      </c>
      <c r="N764" s="8">
        <f t="shared" si="45"/>
        <v>41241.25</v>
      </c>
      <c r="O764" s="8">
        <f t="shared" si="46"/>
        <v>41252.25</v>
      </c>
      <c r="P764" s="21" t="str">
        <f>TEXT(CrowdfundingTable[[#This Row],[date_created]],"ddd")</f>
        <v>Wed</v>
      </c>
      <c r="Q764" s="21">
        <f>_xlfn.DAYS(CrowdfundingTable[[#This Row],[date_ended]],CrowdfundingTable[[#This Row],[date_created]])</f>
        <v>11</v>
      </c>
      <c r="R764" s="5" t="b">
        <v>0</v>
      </c>
      <c r="S764" s="5" t="b">
        <v>0</v>
      </c>
      <c r="T764" s="5" t="s">
        <v>159</v>
      </c>
      <c r="U764" s="5" t="s">
        <v>2036</v>
      </c>
      <c r="V764" s="5" t="s">
        <v>2050</v>
      </c>
      <c r="W764" s="5"/>
    </row>
    <row r="765" spans="1:23" ht="17" x14ac:dyDescent="0.2">
      <c r="A765" s="5">
        <v>763</v>
      </c>
      <c r="B765" s="5" t="s">
        <v>1561</v>
      </c>
      <c r="C765" s="6" t="s">
        <v>1562</v>
      </c>
      <c r="D765" s="94">
        <v>5600</v>
      </c>
      <c r="E765" s="94">
        <v>6338</v>
      </c>
      <c r="F765" s="7">
        <f t="shared" si="47"/>
        <v>1.1317857142857144</v>
      </c>
      <c r="G765" s="5" t="s">
        <v>20</v>
      </c>
      <c r="H765" s="5">
        <v>235</v>
      </c>
      <c r="I765" s="96">
        <f t="shared" si="44"/>
        <v>26.970212765957445</v>
      </c>
      <c r="J765" s="5" t="s">
        <v>21</v>
      </c>
      <c r="K765" s="5" t="s">
        <v>22</v>
      </c>
      <c r="L765" s="5">
        <v>1336453200</v>
      </c>
      <c r="M765" s="5">
        <v>1339477200</v>
      </c>
      <c r="N765" s="8">
        <f t="shared" si="45"/>
        <v>41037.208333333336</v>
      </c>
      <c r="O765" s="8">
        <f t="shared" si="46"/>
        <v>41072.208333333336</v>
      </c>
      <c r="P765" s="21" t="str">
        <f>TEXT(CrowdfundingTable[[#This Row],[date_created]],"ddd")</f>
        <v>Tue</v>
      </c>
      <c r="Q765" s="21">
        <f>_xlfn.DAYS(CrowdfundingTable[[#This Row],[date_ended]],CrowdfundingTable[[#This Row],[date_created]])</f>
        <v>35</v>
      </c>
      <c r="R765" s="5" t="b">
        <v>0</v>
      </c>
      <c r="S765" s="5" t="b">
        <v>1</v>
      </c>
      <c r="T765" s="5" t="s">
        <v>33</v>
      </c>
      <c r="U765" s="5" t="s">
        <v>2040</v>
      </c>
      <c r="V765" s="5" t="s">
        <v>2055</v>
      </c>
      <c r="W765" s="5"/>
    </row>
    <row r="766" spans="1:23" ht="34" x14ac:dyDescent="0.2">
      <c r="A766" s="5">
        <v>764</v>
      </c>
      <c r="B766" s="5" t="s">
        <v>1563</v>
      </c>
      <c r="C766" s="6" t="s">
        <v>1564</v>
      </c>
      <c r="D766" s="94">
        <v>1100</v>
      </c>
      <c r="E766" s="94">
        <v>8010</v>
      </c>
      <c r="F766" s="7">
        <f t="shared" si="47"/>
        <v>7.2818181818181822</v>
      </c>
      <c r="G766" s="5" t="s">
        <v>20</v>
      </c>
      <c r="H766" s="5">
        <v>148</v>
      </c>
      <c r="I766" s="96">
        <f t="shared" si="44"/>
        <v>54.121621621621621</v>
      </c>
      <c r="J766" s="5" t="s">
        <v>21</v>
      </c>
      <c r="K766" s="5" t="s">
        <v>22</v>
      </c>
      <c r="L766" s="5">
        <v>1305262800</v>
      </c>
      <c r="M766" s="5">
        <v>1305954000</v>
      </c>
      <c r="N766" s="8">
        <f t="shared" si="45"/>
        <v>40676.208333333336</v>
      </c>
      <c r="O766" s="8">
        <f t="shared" si="46"/>
        <v>40684.208333333336</v>
      </c>
      <c r="P766" s="21" t="str">
        <f>TEXT(CrowdfundingTable[[#This Row],[date_created]],"ddd")</f>
        <v>Fri</v>
      </c>
      <c r="Q766" s="21">
        <f>_xlfn.DAYS(CrowdfundingTable[[#This Row],[date_ended]],CrowdfundingTable[[#This Row],[date_created]])</f>
        <v>8</v>
      </c>
      <c r="R766" s="5" t="b">
        <v>0</v>
      </c>
      <c r="S766" s="5" t="b">
        <v>0</v>
      </c>
      <c r="T766" s="5" t="s">
        <v>23</v>
      </c>
      <c r="U766" s="5" t="s">
        <v>2036</v>
      </c>
      <c r="V766" s="5" t="s">
        <v>2057</v>
      </c>
      <c r="W766" s="5"/>
    </row>
    <row r="767" spans="1:23" ht="17" x14ac:dyDescent="0.2">
      <c r="A767" s="5">
        <v>765</v>
      </c>
      <c r="B767" s="5" t="s">
        <v>1565</v>
      </c>
      <c r="C767" s="6" t="s">
        <v>1566</v>
      </c>
      <c r="D767" s="94">
        <v>3900</v>
      </c>
      <c r="E767" s="94">
        <v>8125</v>
      </c>
      <c r="F767" s="7">
        <f t="shared" si="47"/>
        <v>2.0833333333333335</v>
      </c>
      <c r="G767" s="5" t="s">
        <v>20</v>
      </c>
      <c r="H767" s="5">
        <v>198</v>
      </c>
      <c r="I767" s="96">
        <f t="shared" si="44"/>
        <v>41.035353535353536</v>
      </c>
      <c r="J767" s="5" t="s">
        <v>21</v>
      </c>
      <c r="K767" s="5" t="s">
        <v>22</v>
      </c>
      <c r="L767" s="5">
        <v>1492232400</v>
      </c>
      <c r="M767" s="5">
        <v>1494392400</v>
      </c>
      <c r="N767" s="8">
        <f t="shared" si="45"/>
        <v>42840.208333333328</v>
      </c>
      <c r="O767" s="8">
        <f t="shared" si="46"/>
        <v>42865.208333333328</v>
      </c>
      <c r="P767" s="21" t="str">
        <f>TEXT(CrowdfundingTable[[#This Row],[date_created]],"ddd")</f>
        <v>Sat</v>
      </c>
      <c r="Q767" s="21">
        <f>_xlfn.DAYS(CrowdfundingTable[[#This Row],[date_ended]],CrowdfundingTable[[#This Row],[date_created]])</f>
        <v>25</v>
      </c>
      <c r="R767" s="5" t="b">
        <v>1</v>
      </c>
      <c r="S767" s="5" t="b">
        <v>1</v>
      </c>
      <c r="T767" s="5" t="s">
        <v>60</v>
      </c>
      <c r="U767" s="5" t="s">
        <v>2036</v>
      </c>
      <c r="V767" s="5" t="s">
        <v>2049</v>
      </c>
      <c r="W767" s="5"/>
    </row>
    <row r="768" spans="1:23" ht="34" x14ac:dyDescent="0.2">
      <c r="A768" s="5">
        <v>766</v>
      </c>
      <c r="B768" s="5" t="s">
        <v>1567</v>
      </c>
      <c r="C768" s="6" t="s">
        <v>1568</v>
      </c>
      <c r="D768" s="94">
        <v>43800</v>
      </c>
      <c r="E768" s="94">
        <v>13653</v>
      </c>
      <c r="F768" s="7">
        <f t="shared" si="47"/>
        <v>0.31171232876712329</v>
      </c>
      <c r="G768" s="5" t="s">
        <v>14</v>
      </c>
      <c r="H768" s="5">
        <v>248</v>
      </c>
      <c r="I768" s="96">
        <f t="shared" si="44"/>
        <v>55.052419354838712</v>
      </c>
      <c r="J768" s="5" t="s">
        <v>26</v>
      </c>
      <c r="K768" s="5" t="s">
        <v>27</v>
      </c>
      <c r="L768" s="5">
        <v>1537333200</v>
      </c>
      <c r="M768" s="5">
        <v>1537419600</v>
      </c>
      <c r="N768" s="8">
        <f t="shared" si="45"/>
        <v>43362.208333333328</v>
      </c>
      <c r="O768" s="8">
        <f t="shared" si="46"/>
        <v>43363.208333333328</v>
      </c>
      <c r="P768" s="21" t="str">
        <f>TEXT(CrowdfundingTable[[#This Row],[date_created]],"ddd")</f>
        <v>Wed</v>
      </c>
      <c r="Q768" s="21">
        <f>_xlfn.DAYS(CrowdfundingTable[[#This Row],[date_ended]],CrowdfundingTable[[#This Row],[date_created]])</f>
        <v>1</v>
      </c>
      <c r="R768" s="5" t="b">
        <v>0</v>
      </c>
      <c r="S768" s="5" t="b">
        <v>0</v>
      </c>
      <c r="T768" s="5" t="s">
        <v>474</v>
      </c>
      <c r="U768" s="5" t="s">
        <v>2032</v>
      </c>
      <c r="V768" s="5" t="s">
        <v>2058</v>
      </c>
      <c r="W768" s="5"/>
    </row>
    <row r="769" spans="1:23" ht="17" x14ac:dyDescent="0.2">
      <c r="A769" s="5">
        <v>767</v>
      </c>
      <c r="B769" s="5" t="s">
        <v>1569</v>
      </c>
      <c r="C769" s="6" t="s">
        <v>1570</v>
      </c>
      <c r="D769" s="94">
        <v>97200</v>
      </c>
      <c r="E769" s="94">
        <v>55372</v>
      </c>
      <c r="F769" s="7">
        <f t="shared" si="47"/>
        <v>0.56967078189300413</v>
      </c>
      <c r="G769" s="5" t="s">
        <v>14</v>
      </c>
      <c r="H769" s="5">
        <v>513</v>
      </c>
      <c r="I769" s="96">
        <f t="shared" si="44"/>
        <v>107.93762183235867</v>
      </c>
      <c r="J769" s="5" t="s">
        <v>21</v>
      </c>
      <c r="K769" s="5" t="s">
        <v>22</v>
      </c>
      <c r="L769" s="5">
        <v>1444107600</v>
      </c>
      <c r="M769" s="5">
        <v>1447999200</v>
      </c>
      <c r="N769" s="8">
        <f t="shared" si="45"/>
        <v>42283.208333333328</v>
      </c>
      <c r="O769" s="8">
        <f t="shared" si="46"/>
        <v>42328.25</v>
      </c>
      <c r="P769" s="21" t="str">
        <f>TEXT(CrowdfundingTable[[#This Row],[date_created]],"ddd")</f>
        <v>Tue</v>
      </c>
      <c r="Q769" s="21">
        <f>_xlfn.DAYS(CrowdfundingTable[[#This Row],[date_ended]],CrowdfundingTable[[#This Row],[date_created]])</f>
        <v>45</v>
      </c>
      <c r="R769" s="5" t="b">
        <v>0</v>
      </c>
      <c r="S769" s="5" t="b">
        <v>0</v>
      </c>
      <c r="T769" s="5" t="s">
        <v>206</v>
      </c>
      <c r="U769" s="5" t="s">
        <v>2038</v>
      </c>
      <c r="V769" s="5" t="s">
        <v>2061</v>
      </c>
      <c r="W769" s="5"/>
    </row>
    <row r="770" spans="1:23" ht="17" x14ac:dyDescent="0.2">
      <c r="A770" s="5">
        <v>768</v>
      </c>
      <c r="B770" s="5" t="s">
        <v>1571</v>
      </c>
      <c r="C770" s="6" t="s">
        <v>1572</v>
      </c>
      <c r="D770" s="94">
        <v>4800</v>
      </c>
      <c r="E770" s="94">
        <v>11088</v>
      </c>
      <c r="F770" s="7">
        <f t="shared" si="47"/>
        <v>2.31</v>
      </c>
      <c r="G770" s="5" t="s">
        <v>20</v>
      </c>
      <c r="H770" s="5">
        <v>150</v>
      </c>
      <c r="I770" s="96">
        <f t="shared" ref="I770:I833" si="48">IF(H770&lt;&gt;0,E770/H770,0)</f>
        <v>73.92</v>
      </c>
      <c r="J770" s="5" t="s">
        <v>21</v>
      </c>
      <c r="K770" s="5" t="s">
        <v>22</v>
      </c>
      <c r="L770" s="5">
        <v>1386741600</v>
      </c>
      <c r="M770" s="5">
        <v>1388037600</v>
      </c>
      <c r="N770" s="8">
        <f t="shared" si="45"/>
        <v>41619.25</v>
      </c>
      <c r="O770" s="8">
        <f t="shared" si="46"/>
        <v>41634.25</v>
      </c>
      <c r="P770" s="21" t="str">
        <f>TEXT(CrowdfundingTable[[#This Row],[date_created]],"ddd")</f>
        <v>Wed</v>
      </c>
      <c r="Q770" s="21">
        <f>_xlfn.DAYS(CrowdfundingTable[[#This Row],[date_ended]],CrowdfundingTable[[#This Row],[date_created]])</f>
        <v>15</v>
      </c>
      <c r="R770" s="5" t="b">
        <v>0</v>
      </c>
      <c r="S770" s="5" t="b">
        <v>0</v>
      </c>
      <c r="T770" s="5" t="s">
        <v>33</v>
      </c>
      <c r="U770" s="5" t="s">
        <v>2040</v>
      </c>
      <c r="V770" s="5" t="s">
        <v>2055</v>
      </c>
      <c r="W770" s="5"/>
    </row>
    <row r="771" spans="1:23" ht="17" x14ac:dyDescent="0.2">
      <c r="A771" s="5">
        <v>769</v>
      </c>
      <c r="B771" s="5" t="s">
        <v>1573</v>
      </c>
      <c r="C771" s="6" t="s">
        <v>1574</v>
      </c>
      <c r="D771" s="94">
        <v>125600</v>
      </c>
      <c r="E771" s="94">
        <v>109106</v>
      </c>
      <c r="F771" s="7">
        <f t="shared" si="47"/>
        <v>0.86867834394904464</v>
      </c>
      <c r="G771" s="5" t="s">
        <v>14</v>
      </c>
      <c r="H771" s="5">
        <v>3410</v>
      </c>
      <c r="I771" s="96">
        <f t="shared" si="48"/>
        <v>31.995894428152493</v>
      </c>
      <c r="J771" s="5" t="s">
        <v>21</v>
      </c>
      <c r="K771" s="5" t="s">
        <v>22</v>
      </c>
      <c r="L771" s="5">
        <v>1376542800</v>
      </c>
      <c r="M771" s="5">
        <v>1378789200</v>
      </c>
      <c r="N771" s="8">
        <f t="shared" ref="N771:N834" si="49">(((L771/60)/60)/24)+DATE(1970,1,1)</f>
        <v>41501.208333333336</v>
      </c>
      <c r="O771" s="8">
        <f t="shared" ref="O771:O834" si="50">(((M771/60)/60)/24)+DATE(1970,1,1)</f>
        <v>41527.208333333336</v>
      </c>
      <c r="P771" s="21" t="str">
        <f>TEXT(CrowdfundingTable[[#This Row],[date_created]],"ddd")</f>
        <v>Thu</v>
      </c>
      <c r="Q771" s="21">
        <f>_xlfn.DAYS(CrowdfundingTable[[#This Row],[date_ended]],CrowdfundingTable[[#This Row],[date_created]])</f>
        <v>26</v>
      </c>
      <c r="R771" s="5" t="b">
        <v>0</v>
      </c>
      <c r="S771" s="5" t="b">
        <v>0</v>
      </c>
      <c r="T771" s="5" t="s">
        <v>89</v>
      </c>
      <c r="U771" s="5" t="s">
        <v>2034</v>
      </c>
      <c r="V771" s="5" t="s">
        <v>2062</v>
      </c>
      <c r="W771" s="5"/>
    </row>
    <row r="772" spans="1:23" ht="17" x14ac:dyDescent="0.2">
      <c r="A772" s="5">
        <v>770</v>
      </c>
      <c r="B772" s="5" t="s">
        <v>1575</v>
      </c>
      <c r="C772" s="6" t="s">
        <v>1576</v>
      </c>
      <c r="D772" s="94">
        <v>4300</v>
      </c>
      <c r="E772" s="94">
        <v>11642</v>
      </c>
      <c r="F772" s="7">
        <f t="shared" ref="F772:F835" si="51">E772/D772</f>
        <v>2.7074418604651163</v>
      </c>
      <c r="G772" s="5" t="s">
        <v>20</v>
      </c>
      <c r="H772" s="5">
        <v>216</v>
      </c>
      <c r="I772" s="96">
        <f t="shared" si="48"/>
        <v>53.898148148148145</v>
      </c>
      <c r="J772" s="5" t="s">
        <v>107</v>
      </c>
      <c r="K772" s="5" t="s">
        <v>108</v>
      </c>
      <c r="L772" s="5">
        <v>1397451600</v>
      </c>
      <c r="M772" s="5">
        <v>1398056400</v>
      </c>
      <c r="N772" s="8">
        <f t="shared" si="49"/>
        <v>41743.208333333336</v>
      </c>
      <c r="O772" s="8">
        <f t="shared" si="50"/>
        <v>41750.208333333336</v>
      </c>
      <c r="P772" s="21" t="str">
        <f>TEXT(CrowdfundingTable[[#This Row],[date_created]],"ddd")</f>
        <v>Mon</v>
      </c>
      <c r="Q772" s="21">
        <f>_xlfn.DAYS(CrowdfundingTable[[#This Row],[date_ended]],CrowdfundingTable[[#This Row],[date_created]])</f>
        <v>7</v>
      </c>
      <c r="R772" s="5" t="b">
        <v>0</v>
      </c>
      <c r="S772" s="5" t="b">
        <v>1</v>
      </c>
      <c r="T772" s="5" t="s">
        <v>33</v>
      </c>
      <c r="U772" s="5" t="s">
        <v>2040</v>
      </c>
      <c r="V772" s="5" t="s">
        <v>2055</v>
      </c>
      <c r="W772" s="5"/>
    </row>
    <row r="773" spans="1:23" ht="17" x14ac:dyDescent="0.2">
      <c r="A773" s="5">
        <v>771</v>
      </c>
      <c r="B773" s="5" t="s">
        <v>1577</v>
      </c>
      <c r="C773" s="6" t="s">
        <v>1578</v>
      </c>
      <c r="D773" s="94">
        <v>5600</v>
      </c>
      <c r="E773" s="94">
        <v>2769</v>
      </c>
      <c r="F773" s="7">
        <f t="shared" si="51"/>
        <v>0.49446428571428569</v>
      </c>
      <c r="G773" s="5" t="s">
        <v>74</v>
      </c>
      <c r="H773" s="5">
        <v>26</v>
      </c>
      <c r="I773" s="96">
        <f t="shared" si="48"/>
        <v>106.5</v>
      </c>
      <c r="J773" s="5" t="s">
        <v>21</v>
      </c>
      <c r="K773" s="5" t="s">
        <v>22</v>
      </c>
      <c r="L773" s="5">
        <v>1548482400</v>
      </c>
      <c r="M773" s="5">
        <v>1550815200</v>
      </c>
      <c r="N773" s="8">
        <f t="shared" si="49"/>
        <v>43491.25</v>
      </c>
      <c r="O773" s="8">
        <f t="shared" si="50"/>
        <v>43518.25</v>
      </c>
      <c r="P773" s="21" t="str">
        <f>TEXT(CrowdfundingTable[[#This Row],[date_created]],"ddd")</f>
        <v>Sat</v>
      </c>
      <c r="Q773" s="21">
        <f>_xlfn.DAYS(CrowdfundingTable[[#This Row],[date_ended]],CrowdfundingTable[[#This Row],[date_created]])</f>
        <v>27</v>
      </c>
      <c r="R773" s="5" t="b">
        <v>0</v>
      </c>
      <c r="S773" s="5" t="b">
        <v>0</v>
      </c>
      <c r="T773" s="5" t="s">
        <v>33</v>
      </c>
      <c r="U773" s="5" t="s">
        <v>2040</v>
      </c>
      <c r="V773" s="5" t="s">
        <v>2055</v>
      </c>
      <c r="W773" s="5"/>
    </row>
    <row r="774" spans="1:23" ht="17" x14ac:dyDescent="0.2">
      <c r="A774" s="5">
        <v>772</v>
      </c>
      <c r="B774" s="5" t="s">
        <v>1579</v>
      </c>
      <c r="C774" s="6" t="s">
        <v>1580</v>
      </c>
      <c r="D774" s="94">
        <v>149600</v>
      </c>
      <c r="E774" s="94">
        <v>169586</v>
      </c>
      <c r="F774" s="7">
        <f t="shared" si="51"/>
        <v>1.1335962566844919</v>
      </c>
      <c r="G774" s="5" t="s">
        <v>20</v>
      </c>
      <c r="H774" s="5">
        <v>5139</v>
      </c>
      <c r="I774" s="96">
        <f t="shared" si="48"/>
        <v>32.999805409612762</v>
      </c>
      <c r="J774" s="5" t="s">
        <v>21</v>
      </c>
      <c r="K774" s="5" t="s">
        <v>22</v>
      </c>
      <c r="L774" s="5">
        <v>1549692000</v>
      </c>
      <c r="M774" s="5">
        <v>1550037600</v>
      </c>
      <c r="N774" s="8">
        <f t="shared" si="49"/>
        <v>43505.25</v>
      </c>
      <c r="O774" s="8">
        <f t="shared" si="50"/>
        <v>43509.25</v>
      </c>
      <c r="P774" s="21" t="str">
        <f>TEXT(CrowdfundingTable[[#This Row],[date_created]],"ddd")</f>
        <v>Sat</v>
      </c>
      <c r="Q774" s="21">
        <f>_xlfn.DAYS(CrowdfundingTable[[#This Row],[date_ended]],CrowdfundingTable[[#This Row],[date_created]])</f>
        <v>4</v>
      </c>
      <c r="R774" s="5" t="b">
        <v>0</v>
      </c>
      <c r="S774" s="5" t="b">
        <v>0</v>
      </c>
      <c r="T774" s="5" t="s">
        <v>60</v>
      </c>
      <c r="U774" s="5" t="s">
        <v>2036</v>
      </c>
      <c r="V774" s="5" t="s">
        <v>2049</v>
      </c>
      <c r="W774" s="5"/>
    </row>
    <row r="775" spans="1:23" ht="17" x14ac:dyDescent="0.2">
      <c r="A775" s="5">
        <v>773</v>
      </c>
      <c r="B775" s="5" t="s">
        <v>1581</v>
      </c>
      <c r="C775" s="6" t="s">
        <v>1582</v>
      </c>
      <c r="D775" s="94">
        <v>53100</v>
      </c>
      <c r="E775" s="94">
        <v>101185</v>
      </c>
      <c r="F775" s="7">
        <f t="shared" si="51"/>
        <v>1.9055555555555554</v>
      </c>
      <c r="G775" s="5" t="s">
        <v>20</v>
      </c>
      <c r="H775" s="5">
        <v>2353</v>
      </c>
      <c r="I775" s="96">
        <f t="shared" si="48"/>
        <v>43.00254993625159</v>
      </c>
      <c r="J775" s="5" t="s">
        <v>21</v>
      </c>
      <c r="K775" s="5" t="s">
        <v>22</v>
      </c>
      <c r="L775" s="5">
        <v>1492059600</v>
      </c>
      <c r="M775" s="5">
        <v>1492923600</v>
      </c>
      <c r="N775" s="8">
        <f t="shared" si="49"/>
        <v>42838.208333333328</v>
      </c>
      <c r="O775" s="8">
        <f t="shared" si="50"/>
        <v>42848.208333333328</v>
      </c>
      <c r="P775" s="21" t="str">
        <f>TEXT(CrowdfundingTable[[#This Row],[date_created]],"ddd")</f>
        <v>Thu</v>
      </c>
      <c r="Q775" s="21">
        <f>_xlfn.DAYS(CrowdfundingTable[[#This Row],[date_ended]],CrowdfundingTable[[#This Row],[date_created]])</f>
        <v>10</v>
      </c>
      <c r="R775" s="5" t="b">
        <v>0</v>
      </c>
      <c r="S775" s="5" t="b">
        <v>0</v>
      </c>
      <c r="T775" s="5" t="s">
        <v>33</v>
      </c>
      <c r="U775" s="5" t="s">
        <v>2040</v>
      </c>
      <c r="V775" s="5" t="s">
        <v>2055</v>
      </c>
      <c r="W775" s="5"/>
    </row>
    <row r="776" spans="1:23" ht="17" x14ac:dyDescent="0.2">
      <c r="A776" s="5">
        <v>774</v>
      </c>
      <c r="B776" s="5" t="s">
        <v>1583</v>
      </c>
      <c r="C776" s="6" t="s">
        <v>1584</v>
      </c>
      <c r="D776" s="94">
        <v>5000</v>
      </c>
      <c r="E776" s="94">
        <v>6775</v>
      </c>
      <c r="F776" s="7">
        <f t="shared" si="51"/>
        <v>1.355</v>
      </c>
      <c r="G776" s="5" t="s">
        <v>20</v>
      </c>
      <c r="H776" s="5">
        <v>78</v>
      </c>
      <c r="I776" s="96">
        <f t="shared" si="48"/>
        <v>86.858974358974365</v>
      </c>
      <c r="J776" s="5" t="s">
        <v>107</v>
      </c>
      <c r="K776" s="5" t="s">
        <v>108</v>
      </c>
      <c r="L776" s="5">
        <v>1463979600</v>
      </c>
      <c r="M776" s="5">
        <v>1467522000</v>
      </c>
      <c r="N776" s="8">
        <f t="shared" si="49"/>
        <v>42513.208333333328</v>
      </c>
      <c r="O776" s="8">
        <f t="shared" si="50"/>
        <v>42554.208333333328</v>
      </c>
      <c r="P776" s="21" t="str">
        <f>TEXT(CrowdfundingTable[[#This Row],[date_created]],"ddd")</f>
        <v>Mon</v>
      </c>
      <c r="Q776" s="21">
        <f>_xlfn.DAYS(CrowdfundingTable[[#This Row],[date_ended]],CrowdfundingTable[[#This Row],[date_created]])</f>
        <v>41</v>
      </c>
      <c r="R776" s="5" t="b">
        <v>0</v>
      </c>
      <c r="S776" s="5" t="b">
        <v>0</v>
      </c>
      <c r="T776" s="5" t="s">
        <v>28</v>
      </c>
      <c r="U776" s="5" t="s">
        <v>2039</v>
      </c>
      <c r="V776" s="5" t="s">
        <v>2064</v>
      </c>
      <c r="W776" s="5"/>
    </row>
    <row r="777" spans="1:23" ht="34" x14ac:dyDescent="0.2">
      <c r="A777" s="5">
        <v>775</v>
      </c>
      <c r="B777" s="5" t="s">
        <v>1585</v>
      </c>
      <c r="C777" s="6" t="s">
        <v>1586</v>
      </c>
      <c r="D777" s="94">
        <v>9400</v>
      </c>
      <c r="E777" s="94">
        <v>968</v>
      </c>
      <c r="F777" s="7">
        <f t="shared" si="51"/>
        <v>0.10297872340425532</v>
      </c>
      <c r="G777" s="5" t="s">
        <v>14</v>
      </c>
      <c r="H777" s="5">
        <v>10</v>
      </c>
      <c r="I777" s="96">
        <f t="shared" si="48"/>
        <v>96.8</v>
      </c>
      <c r="J777" s="5" t="s">
        <v>21</v>
      </c>
      <c r="K777" s="5" t="s">
        <v>22</v>
      </c>
      <c r="L777" s="5">
        <v>1415253600</v>
      </c>
      <c r="M777" s="5">
        <v>1416117600</v>
      </c>
      <c r="N777" s="8">
        <f t="shared" si="49"/>
        <v>41949.25</v>
      </c>
      <c r="O777" s="8">
        <f t="shared" si="50"/>
        <v>41959.25</v>
      </c>
      <c r="P777" s="21" t="str">
        <f>TEXT(CrowdfundingTable[[#This Row],[date_created]],"ddd")</f>
        <v>Thu</v>
      </c>
      <c r="Q777" s="21">
        <f>_xlfn.DAYS(CrowdfundingTable[[#This Row],[date_ended]],CrowdfundingTable[[#This Row],[date_created]])</f>
        <v>10</v>
      </c>
      <c r="R777" s="5" t="b">
        <v>0</v>
      </c>
      <c r="S777" s="5" t="b">
        <v>0</v>
      </c>
      <c r="T777" s="5" t="s">
        <v>23</v>
      </c>
      <c r="U777" s="5" t="s">
        <v>2036</v>
      </c>
      <c r="V777" s="5" t="s">
        <v>2057</v>
      </c>
      <c r="W777" s="5"/>
    </row>
    <row r="778" spans="1:23" ht="17" x14ac:dyDescent="0.2">
      <c r="A778" s="5">
        <v>776</v>
      </c>
      <c r="B778" s="5" t="s">
        <v>1587</v>
      </c>
      <c r="C778" s="6" t="s">
        <v>1588</v>
      </c>
      <c r="D778" s="94">
        <v>110800</v>
      </c>
      <c r="E778" s="94">
        <v>72623</v>
      </c>
      <c r="F778" s="7">
        <f t="shared" si="51"/>
        <v>0.65544223826714798</v>
      </c>
      <c r="G778" s="5" t="s">
        <v>14</v>
      </c>
      <c r="H778" s="5">
        <v>2201</v>
      </c>
      <c r="I778" s="96">
        <f t="shared" si="48"/>
        <v>32.995456610631528</v>
      </c>
      <c r="J778" s="5" t="s">
        <v>21</v>
      </c>
      <c r="K778" s="5" t="s">
        <v>22</v>
      </c>
      <c r="L778" s="5">
        <v>1562216400</v>
      </c>
      <c r="M778" s="5">
        <v>1563771600</v>
      </c>
      <c r="N778" s="8">
        <f t="shared" si="49"/>
        <v>43650.208333333328</v>
      </c>
      <c r="O778" s="8">
        <f t="shared" si="50"/>
        <v>43668.208333333328</v>
      </c>
      <c r="P778" s="21" t="str">
        <f>TEXT(CrowdfundingTable[[#This Row],[date_created]],"ddd")</f>
        <v>Thu</v>
      </c>
      <c r="Q778" s="21">
        <f>_xlfn.DAYS(CrowdfundingTable[[#This Row],[date_ended]],CrowdfundingTable[[#This Row],[date_created]])</f>
        <v>18</v>
      </c>
      <c r="R778" s="5" t="b">
        <v>0</v>
      </c>
      <c r="S778" s="5" t="b">
        <v>0</v>
      </c>
      <c r="T778" s="5" t="s">
        <v>33</v>
      </c>
      <c r="U778" s="5" t="s">
        <v>2040</v>
      </c>
      <c r="V778" s="5" t="s">
        <v>2055</v>
      </c>
      <c r="W778" s="5"/>
    </row>
    <row r="779" spans="1:23" ht="17" x14ac:dyDescent="0.2">
      <c r="A779" s="5">
        <v>777</v>
      </c>
      <c r="B779" s="5" t="s">
        <v>1589</v>
      </c>
      <c r="C779" s="6" t="s">
        <v>1590</v>
      </c>
      <c r="D779" s="94">
        <v>93800</v>
      </c>
      <c r="E779" s="94">
        <v>45987</v>
      </c>
      <c r="F779" s="7">
        <f t="shared" si="51"/>
        <v>0.49026652452025588</v>
      </c>
      <c r="G779" s="5" t="s">
        <v>14</v>
      </c>
      <c r="H779" s="5">
        <v>676</v>
      </c>
      <c r="I779" s="96">
        <f t="shared" si="48"/>
        <v>68.028106508875737</v>
      </c>
      <c r="J779" s="5" t="s">
        <v>21</v>
      </c>
      <c r="K779" s="5" t="s">
        <v>22</v>
      </c>
      <c r="L779" s="5">
        <v>1316754000</v>
      </c>
      <c r="M779" s="5">
        <v>1319259600</v>
      </c>
      <c r="N779" s="8">
        <f t="shared" si="49"/>
        <v>40809.208333333336</v>
      </c>
      <c r="O779" s="8">
        <f t="shared" si="50"/>
        <v>40838.208333333336</v>
      </c>
      <c r="P779" s="21" t="str">
        <f>TEXT(CrowdfundingTable[[#This Row],[date_created]],"ddd")</f>
        <v>Fri</v>
      </c>
      <c r="Q779" s="21">
        <f>_xlfn.DAYS(CrowdfundingTable[[#This Row],[date_ended]],CrowdfundingTable[[#This Row],[date_created]])</f>
        <v>29</v>
      </c>
      <c r="R779" s="5" t="b">
        <v>0</v>
      </c>
      <c r="S779" s="5" t="b">
        <v>0</v>
      </c>
      <c r="T779" s="5" t="s">
        <v>33</v>
      </c>
      <c r="U779" s="5" t="s">
        <v>2040</v>
      </c>
      <c r="V779" s="5" t="s">
        <v>2055</v>
      </c>
      <c r="W779" s="5"/>
    </row>
    <row r="780" spans="1:23" ht="17" x14ac:dyDescent="0.2">
      <c r="A780" s="5">
        <v>778</v>
      </c>
      <c r="B780" s="5" t="s">
        <v>1591</v>
      </c>
      <c r="C780" s="6" t="s">
        <v>1592</v>
      </c>
      <c r="D780" s="94">
        <v>1300</v>
      </c>
      <c r="E780" s="94">
        <v>10243</v>
      </c>
      <c r="F780" s="7">
        <f t="shared" si="51"/>
        <v>7.8792307692307695</v>
      </c>
      <c r="G780" s="5" t="s">
        <v>20</v>
      </c>
      <c r="H780" s="5">
        <v>174</v>
      </c>
      <c r="I780" s="96">
        <f t="shared" si="48"/>
        <v>58.867816091954026</v>
      </c>
      <c r="J780" s="5" t="s">
        <v>98</v>
      </c>
      <c r="K780" s="5" t="s">
        <v>99</v>
      </c>
      <c r="L780" s="5">
        <v>1313211600</v>
      </c>
      <c r="M780" s="5">
        <v>1313643600</v>
      </c>
      <c r="N780" s="8">
        <f t="shared" si="49"/>
        <v>40768.208333333336</v>
      </c>
      <c r="O780" s="8">
        <f t="shared" si="50"/>
        <v>40773.208333333336</v>
      </c>
      <c r="P780" s="21" t="str">
        <f>TEXT(CrowdfundingTable[[#This Row],[date_created]],"ddd")</f>
        <v>Sat</v>
      </c>
      <c r="Q780" s="21">
        <f>_xlfn.DAYS(CrowdfundingTable[[#This Row],[date_ended]],CrowdfundingTable[[#This Row],[date_created]])</f>
        <v>5</v>
      </c>
      <c r="R780" s="5" t="b">
        <v>0</v>
      </c>
      <c r="S780" s="5" t="b">
        <v>0</v>
      </c>
      <c r="T780" s="5" t="s">
        <v>71</v>
      </c>
      <c r="U780" s="5" t="s">
        <v>2032</v>
      </c>
      <c r="V780" s="5" t="s">
        <v>2042</v>
      </c>
      <c r="W780" s="5"/>
    </row>
    <row r="781" spans="1:23" ht="17" x14ac:dyDescent="0.2">
      <c r="A781" s="5">
        <v>779</v>
      </c>
      <c r="B781" s="5" t="s">
        <v>1593</v>
      </c>
      <c r="C781" s="6" t="s">
        <v>1594</v>
      </c>
      <c r="D781" s="94">
        <v>108700</v>
      </c>
      <c r="E781" s="94">
        <v>87293</v>
      </c>
      <c r="F781" s="7">
        <f t="shared" si="51"/>
        <v>0.80306347746090156</v>
      </c>
      <c r="G781" s="5" t="s">
        <v>14</v>
      </c>
      <c r="H781" s="5">
        <v>831</v>
      </c>
      <c r="I781" s="96">
        <f t="shared" si="48"/>
        <v>105.04572803850782</v>
      </c>
      <c r="J781" s="5" t="s">
        <v>21</v>
      </c>
      <c r="K781" s="5" t="s">
        <v>22</v>
      </c>
      <c r="L781" s="5">
        <v>1439528400</v>
      </c>
      <c r="M781" s="5">
        <v>1440306000</v>
      </c>
      <c r="N781" s="8">
        <f t="shared" si="49"/>
        <v>42230.208333333328</v>
      </c>
      <c r="O781" s="8">
        <f t="shared" si="50"/>
        <v>42239.208333333328</v>
      </c>
      <c r="P781" s="21" t="str">
        <f>TEXT(CrowdfundingTable[[#This Row],[date_created]],"ddd")</f>
        <v>Fri</v>
      </c>
      <c r="Q781" s="21">
        <f>_xlfn.DAYS(CrowdfundingTable[[#This Row],[date_ended]],CrowdfundingTable[[#This Row],[date_created]])</f>
        <v>9</v>
      </c>
      <c r="R781" s="5" t="b">
        <v>0</v>
      </c>
      <c r="S781" s="5" t="b">
        <v>1</v>
      </c>
      <c r="T781" s="5" t="s">
        <v>33</v>
      </c>
      <c r="U781" s="5" t="s">
        <v>2040</v>
      </c>
      <c r="V781" s="5" t="s">
        <v>2055</v>
      </c>
      <c r="W781" s="5"/>
    </row>
    <row r="782" spans="1:23" ht="17" x14ac:dyDescent="0.2">
      <c r="A782" s="5">
        <v>780</v>
      </c>
      <c r="B782" s="5" t="s">
        <v>1595</v>
      </c>
      <c r="C782" s="6" t="s">
        <v>1596</v>
      </c>
      <c r="D782" s="94">
        <v>5100</v>
      </c>
      <c r="E782" s="94">
        <v>5421</v>
      </c>
      <c r="F782" s="7">
        <f t="shared" si="51"/>
        <v>1.0629411764705883</v>
      </c>
      <c r="G782" s="5" t="s">
        <v>20</v>
      </c>
      <c r="H782" s="5">
        <v>164</v>
      </c>
      <c r="I782" s="96">
        <f t="shared" si="48"/>
        <v>33.054878048780488</v>
      </c>
      <c r="J782" s="5" t="s">
        <v>21</v>
      </c>
      <c r="K782" s="5" t="s">
        <v>22</v>
      </c>
      <c r="L782" s="5">
        <v>1469163600</v>
      </c>
      <c r="M782" s="5">
        <v>1470805200</v>
      </c>
      <c r="N782" s="8">
        <f t="shared" si="49"/>
        <v>42573.208333333328</v>
      </c>
      <c r="O782" s="8">
        <f t="shared" si="50"/>
        <v>42592.208333333328</v>
      </c>
      <c r="P782" s="21" t="str">
        <f>TEXT(CrowdfundingTable[[#This Row],[date_created]],"ddd")</f>
        <v>Fri</v>
      </c>
      <c r="Q782" s="21">
        <f>_xlfn.DAYS(CrowdfundingTable[[#This Row],[date_ended]],CrowdfundingTable[[#This Row],[date_created]])</f>
        <v>19</v>
      </c>
      <c r="R782" s="5" t="b">
        <v>0</v>
      </c>
      <c r="S782" s="5" t="b">
        <v>1</v>
      </c>
      <c r="T782" s="5" t="s">
        <v>53</v>
      </c>
      <c r="U782" s="5" t="s">
        <v>2032</v>
      </c>
      <c r="V782" s="5" t="s">
        <v>2045</v>
      </c>
      <c r="W782" s="5"/>
    </row>
    <row r="783" spans="1:23" ht="17" x14ac:dyDescent="0.2">
      <c r="A783" s="5">
        <v>781</v>
      </c>
      <c r="B783" s="5" t="s">
        <v>1597</v>
      </c>
      <c r="C783" s="6" t="s">
        <v>1598</v>
      </c>
      <c r="D783" s="94">
        <v>8700</v>
      </c>
      <c r="E783" s="94">
        <v>4414</v>
      </c>
      <c r="F783" s="7">
        <f t="shared" si="51"/>
        <v>0.50735632183908042</v>
      </c>
      <c r="G783" s="5" t="s">
        <v>74</v>
      </c>
      <c r="H783" s="5">
        <v>56</v>
      </c>
      <c r="I783" s="96">
        <f t="shared" si="48"/>
        <v>78.821428571428569</v>
      </c>
      <c r="J783" s="5" t="s">
        <v>98</v>
      </c>
      <c r="K783" s="5" t="s">
        <v>99</v>
      </c>
      <c r="L783" s="5">
        <v>1288501200</v>
      </c>
      <c r="M783" s="5">
        <v>1292911200</v>
      </c>
      <c r="N783" s="8">
        <f t="shared" si="49"/>
        <v>40482.208333333336</v>
      </c>
      <c r="O783" s="8">
        <f t="shared" si="50"/>
        <v>40533.25</v>
      </c>
      <c r="P783" s="21" t="str">
        <f>TEXT(CrowdfundingTable[[#This Row],[date_created]],"ddd")</f>
        <v>Sun</v>
      </c>
      <c r="Q783" s="21">
        <f>_xlfn.DAYS(CrowdfundingTable[[#This Row],[date_ended]],CrowdfundingTable[[#This Row],[date_created]])</f>
        <v>51</v>
      </c>
      <c r="R783" s="5" t="b">
        <v>0</v>
      </c>
      <c r="S783" s="5" t="b">
        <v>0</v>
      </c>
      <c r="T783" s="5" t="s">
        <v>33</v>
      </c>
      <c r="U783" s="5" t="s">
        <v>2040</v>
      </c>
      <c r="V783" s="5" t="s">
        <v>2055</v>
      </c>
      <c r="W783" s="5"/>
    </row>
    <row r="784" spans="1:23" ht="17" x14ac:dyDescent="0.2">
      <c r="A784" s="5">
        <v>782</v>
      </c>
      <c r="B784" s="5" t="s">
        <v>1599</v>
      </c>
      <c r="C784" s="6" t="s">
        <v>1600</v>
      </c>
      <c r="D784" s="94">
        <v>5100</v>
      </c>
      <c r="E784" s="94">
        <v>10981</v>
      </c>
      <c r="F784" s="7">
        <f t="shared" si="51"/>
        <v>2.153137254901961</v>
      </c>
      <c r="G784" s="5" t="s">
        <v>20</v>
      </c>
      <c r="H784" s="5">
        <v>161</v>
      </c>
      <c r="I784" s="96">
        <f t="shared" si="48"/>
        <v>68.204968944099377</v>
      </c>
      <c r="J784" s="5" t="s">
        <v>21</v>
      </c>
      <c r="K784" s="5" t="s">
        <v>22</v>
      </c>
      <c r="L784" s="5">
        <v>1298959200</v>
      </c>
      <c r="M784" s="5">
        <v>1301374800</v>
      </c>
      <c r="N784" s="8">
        <f t="shared" si="49"/>
        <v>40603.25</v>
      </c>
      <c r="O784" s="8">
        <f t="shared" si="50"/>
        <v>40631.208333333336</v>
      </c>
      <c r="P784" s="21" t="str">
        <f>TEXT(CrowdfundingTable[[#This Row],[date_created]],"ddd")</f>
        <v>Tue</v>
      </c>
      <c r="Q784" s="21">
        <f>_xlfn.DAYS(CrowdfundingTable[[#This Row],[date_ended]],CrowdfundingTable[[#This Row],[date_created]])</f>
        <v>28</v>
      </c>
      <c r="R784" s="5" t="b">
        <v>0</v>
      </c>
      <c r="S784" s="5" t="b">
        <v>1</v>
      </c>
      <c r="T784" s="5" t="s">
        <v>71</v>
      </c>
      <c r="U784" s="5" t="s">
        <v>2032</v>
      </c>
      <c r="V784" s="5" t="s">
        <v>2042</v>
      </c>
      <c r="W784" s="5"/>
    </row>
    <row r="785" spans="1:23" ht="17" x14ac:dyDescent="0.2">
      <c r="A785" s="5">
        <v>783</v>
      </c>
      <c r="B785" s="5" t="s">
        <v>1601</v>
      </c>
      <c r="C785" s="6" t="s">
        <v>1602</v>
      </c>
      <c r="D785" s="94">
        <v>7400</v>
      </c>
      <c r="E785" s="94">
        <v>10451</v>
      </c>
      <c r="F785" s="7">
        <f t="shared" si="51"/>
        <v>1.4122972972972974</v>
      </c>
      <c r="G785" s="5" t="s">
        <v>20</v>
      </c>
      <c r="H785" s="5">
        <v>138</v>
      </c>
      <c r="I785" s="96">
        <f t="shared" si="48"/>
        <v>75.731884057971016</v>
      </c>
      <c r="J785" s="5" t="s">
        <v>21</v>
      </c>
      <c r="K785" s="5" t="s">
        <v>22</v>
      </c>
      <c r="L785" s="5">
        <v>1387260000</v>
      </c>
      <c r="M785" s="5">
        <v>1387864800</v>
      </c>
      <c r="N785" s="8">
        <f t="shared" si="49"/>
        <v>41625.25</v>
      </c>
      <c r="O785" s="8">
        <f t="shared" si="50"/>
        <v>41632.25</v>
      </c>
      <c r="P785" s="21" t="str">
        <f>TEXT(CrowdfundingTable[[#This Row],[date_created]],"ddd")</f>
        <v>Tue</v>
      </c>
      <c r="Q785" s="21">
        <f>_xlfn.DAYS(CrowdfundingTable[[#This Row],[date_ended]],CrowdfundingTable[[#This Row],[date_created]])</f>
        <v>7</v>
      </c>
      <c r="R785" s="5" t="b">
        <v>0</v>
      </c>
      <c r="S785" s="5" t="b">
        <v>0</v>
      </c>
      <c r="T785" s="5" t="s">
        <v>23</v>
      </c>
      <c r="U785" s="5" t="s">
        <v>2036</v>
      </c>
      <c r="V785" s="5" t="s">
        <v>2057</v>
      </c>
      <c r="W785" s="5"/>
    </row>
    <row r="786" spans="1:23" ht="17" x14ac:dyDescent="0.2">
      <c r="A786" s="5">
        <v>784</v>
      </c>
      <c r="B786" s="5" t="s">
        <v>1603</v>
      </c>
      <c r="C786" s="6" t="s">
        <v>1604</v>
      </c>
      <c r="D786" s="94">
        <v>88900</v>
      </c>
      <c r="E786" s="94">
        <v>102535</v>
      </c>
      <c r="F786" s="7">
        <f t="shared" si="51"/>
        <v>1.1533745781777278</v>
      </c>
      <c r="G786" s="5" t="s">
        <v>20</v>
      </c>
      <c r="H786" s="5">
        <v>3308</v>
      </c>
      <c r="I786" s="96">
        <f t="shared" si="48"/>
        <v>30.996070133010882</v>
      </c>
      <c r="J786" s="5" t="s">
        <v>21</v>
      </c>
      <c r="K786" s="5" t="s">
        <v>22</v>
      </c>
      <c r="L786" s="5">
        <v>1457244000</v>
      </c>
      <c r="M786" s="5">
        <v>1458190800</v>
      </c>
      <c r="N786" s="8">
        <f t="shared" si="49"/>
        <v>42435.25</v>
      </c>
      <c r="O786" s="8">
        <f t="shared" si="50"/>
        <v>42446.208333333328</v>
      </c>
      <c r="P786" s="21" t="str">
        <f>TEXT(CrowdfundingTable[[#This Row],[date_created]],"ddd")</f>
        <v>Sun</v>
      </c>
      <c r="Q786" s="21">
        <f>_xlfn.DAYS(CrowdfundingTable[[#This Row],[date_ended]],CrowdfundingTable[[#This Row],[date_created]])</f>
        <v>11</v>
      </c>
      <c r="R786" s="5" t="b">
        <v>0</v>
      </c>
      <c r="S786" s="5" t="b">
        <v>0</v>
      </c>
      <c r="T786" s="5" t="s">
        <v>28</v>
      </c>
      <c r="U786" s="5" t="s">
        <v>2039</v>
      </c>
      <c r="V786" s="5" t="s">
        <v>2064</v>
      </c>
      <c r="W786" s="5"/>
    </row>
    <row r="787" spans="1:23" ht="34" x14ac:dyDescent="0.2">
      <c r="A787" s="5">
        <v>785</v>
      </c>
      <c r="B787" s="5" t="s">
        <v>1605</v>
      </c>
      <c r="C787" s="6" t="s">
        <v>1606</v>
      </c>
      <c r="D787" s="94">
        <v>6700</v>
      </c>
      <c r="E787" s="94">
        <v>12939</v>
      </c>
      <c r="F787" s="7">
        <f t="shared" si="51"/>
        <v>1.9311940298507462</v>
      </c>
      <c r="G787" s="5" t="s">
        <v>20</v>
      </c>
      <c r="H787" s="5">
        <v>127</v>
      </c>
      <c r="I787" s="96">
        <f t="shared" si="48"/>
        <v>101.88188976377953</v>
      </c>
      <c r="J787" s="5" t="s">
        <v>26</v>
      </c>
      <c r="K787" s="5" t="s">
        <v>27</v>
      </c>
      <c r="L787" s="5">
        <v>1556341200</v>
      </c>
      <c r="M787" s="5">
        <v>1559278800</v>
      </c>
      <c r="N787" s="8">
        <f t="shared" si="49"/>
        <v>43582.208333333328</v>
      </c>
      <c r="O787" s="8">
        <f t="shared" si="50"/>
        <v>43616.208333333328</v>
      </c>
      <c r="P787" s="21" t="str">
        <f>TEXT(CrowdfundingTable[[#This Row],[date_created]],"ddd")</f>
        <v>Sat</v>
      </c>
      <c r="Q787" s="21">
        <f>_xlfn.DAYS(CrowdfundingTable[[#This Row],[date_ended]],CrowdfundingTable[[#This Row],[date_created]])</f>
        <v>34</v>
      </c>
      <c r="R787" s="5" t="b">
        <v>0</v>
      </c>
      <c r="S787" s="5" t="b">
        <v>1</v>
      </c>
      <c r="T787" s="5" t="s">
        <v>71</v>
      </c>
      <c r="U787" s="5" t="s">
        <v>2032</v>
      </c>
      <c r="V787" s="5" t="s">
        <v>2042</v>
      </c>
      <c r="W787" s="5"/>
    </row>
    <row r="788" spans="1:23" ht="17" x14ac:dyDescent="0.2">
      <c r="A788" s="5">
        <v>786</v>
      </c>
      <c r="B788" s="5" t="s">
        <v>1607</v>
      </c>
      <c r="C788" s="6" t="s">
        <v>1608</v>
      </c>
      <c r="D788" s="94">
        <v>1500</v>
      </c>
      <c r="E788" s="94">
        <v>10946</v>
      </c>
      <c r="F788" s="7">
        <f t="shared" si="51"/>
        <v>7.2973333333333334</v>
      </c>
      <c r="G788" s="5" t="s">
        <v>20</v>
      </c>
      <c r="H788" s="5">
        <v>207</v>
      </c>
      <c r="I788" s="96">
        <f t="shared" si="48"/>
        <v>52.879227053140099</v>
      </c>
      <c r="J788" s="5" t="s">
        <v>107</v>
      </c>
      <c r="K788" s="5" t="s">
        <v>108</v>
      </c>
      <c r="L788" s="5">
        <v>1522126800</v>
      </c>
      <c r="M788" s="5">
        <v>1522731600</v>
      </c>
      <c r="N788" s="8">
        <f t="shared" si="49"/>
        <v>43186.208333333328</v>
      </c>
      <c r="O788" s="8">
        <f t="shared" si="50"/>
        <v>43193.208333333328</v>
      </c>
      <c r="P788" s="21" t="str">
        <f>TEXT(CrowdfundingTable[[#This Row],[date_created]],"ddd")</f>
        <v>Tue</v>
      </c>
      <c r="Q788" s="21">
        <f>_xlfn.DAYS(CrowdfundingTable[[#This Row],[date_ended]],CrowdfundingTable[[#This Row],[date_created]])</f>
        <v>7</v>
      </c>
      <c r="R788" s="5" t="b">
        <v>0</v>
      </c>
      <c r="S788" s="5" t="b">
        <v>1</v>
      </c>
      <c r="T788" s="5" t="s">
        <v>159</v>
      </c>
      <c r="U788" s="5" t="s">
        <v>2036</v>
      </c>
      <c r="V788" s="5" t="s">
        <v>2050</v>
      </c>
      <c r="W788" s="5"/>
    </row>
    <row r="789" spans="1:23" ht="17" x14ac:dyDescent="0.2">
      <c r="A789" s="5">
        <v>787</v>
      </c>
      <c r="B789" s="5" t="s">
        <v>1609</v>
      </c>
      <c r="C789" s="6" t="s">
        <v>1610</v>
      </c>
      <c r="D789" s="94">
        <v>61200</v>
      </c>
      <c r="E789" s="94">
        <v>60994</v>
      </c>
      <c r="F789" s="7">
        <f t="shared" si="51"/>
        <v>0.99663398692810456</v>
      </c>
      <c r="G789" s="5" t="s">
        <v>14</v>
      </c>
      <c r="H789" s="5">
        <v>859</v>
      </c>
      <c r="I789" s="96">
        <f t="shared" si="48"/>
        <v>71.005820721769496</v>
      </c>
      <c r="J789" s="5" t="s">
        <v>15</v>
      </c>
      <c r="K789" s="5" t="s">
        <v>16</v>
      </c>
      <c r="L789" s="5">
        <v>1305954000</v>
      </c>
      <c r="M789" s="5">
        <v>1306731600</v>
      </c>
      <c r="N789" s="8">
        <f t="shared" si="49"/>
        <v>40684.208333333336</v>
      </c>
      <c r="O789" s="8">
        <f t="shared" si="50"/>
        <v>40693.208333333336</v>
      </c>
      <c r="P789" s="21" t="str">
        <f>TEXT(CrowdfundingTable[[#This Row],[date_created]],"ddd")</f>
        <v>Sat</v>
      </c>
      <c r="Q789" s="21">
        <f>_xlfn.DAYS(CrowdfundingTable[[#This Row],[date_ended]],CrowdfundingTable[[#This Row],[date_created]])</f>
        <v>9</v>
      </c>
      <c r="R789" s="5" t="b">
        <v>0</v>
      </c>
      <c r="S789" s="5" t="b">
        <v>0</v>
      </c>
      <c r="T789" s="5" t="s">
        <v>23</v>
      </c>
      <c r="U789" s="5" t="s">
        <v>2036</v>
      </c>
      <c r="V789" s="5" t="s">
        <v>2057</v>
      </c>
      <c r="W789" s="5"/>
    </row>
    <row r="790" spans="1:23" ht="17" x14ac:dyDescent="0.2">
      <c r="A790" s="5">
        <v>788</v>
      </c>
      <c r="B790" s="5" t="s">
        <v>1611</v>
      </c>
      <c r="C790" s="6" t="s">
        <v>1612</v>
      </c>
      <c r="D790" s="94">
        <v>3600</v>
      </c>
      <c r="E790" s="94">
        <v>3174</v>
      </c>
      <c r="F790" s="7">
        <f t="shared" si="51"/>
        <v>0.88166666666666671</v>
      </c>
      <c r="G790" s="5" t="s">
        <v>47</v>
      </c>
      <c r="H790" s="5">
        <v>31</v>
      </c>
      <c r="I790" s="96">
        <f t="shared" si="48"/>
        <v>102.38709677419355</v>
      </c>
      <c r="J790" s="5" t="s">
        <v>21</v>
      </c>
      <c r="K790" s="5" t="s">
        <v>22</v>
      </c>
      <c r="L790" s="5">
        <v>1350709200</v>
      </c>
      <c r="M790" s="5">
        <v>1352527200</v>
      </c>
      <c r="N790" s="8">
        <f t="shared" si="49"/>
        <v>41202.208333333336</v>
      </c>
      <c r="O790" s="8">
        <f t="shared" si="50"/>
        <v>41223.25</v>
      </c>
      <c r="P790" s="21" t="str">
        <f>TEXT(CrowdfundingTable[[#This Row],[date_created]],"ddd")</f>
        <v>Sat</v>
      </c>
      <c r="Q790" s="21">
        <f>_xlfn.DAYS(CrowdfundingTable[[#This Row],[date_ended]],CrowdfundingTable[[#This Row],[date_created]])</f>
        <v>21</v>
      </c>
      <c r="R790" s="5" t="b">
        <v>0</v>
      </c>
      <c r="S790" s="5" t="b">
        <v>0</v>
      </c>
      <c r="T790" s="5" t="s">
        <v>71</v>
      </c>
      <c r="U790" s="5" t="s">
        <v>2032</v>
      </c>
      <c r="V790" s="5" t="s">
        <v>2042</v>
      </c>
      <c r="W790" s="5"/>
    </row>
    <row r="791" spans="1:23" ht="17" x14ac:dyDescent="0.2">
      <c r="A791" s="5">
        <v>789</v>
      </c>
      <c r="B791" s="5" t="s">
        <v>1613</v>
      </c>
      <c r="C791" s="6" t="s">
        <v>1614</v>
      </c>
      <c r="D791" s="94">
        <v>9000</v>
      </c>
      <c r="E791" s="94">
        <v>3351</v>
      </c>
      <c r="F791" s="7">
        <f t="shared" si="51"/>
        <v>0.37233333333333335</v>
      </c>
      <c r="G791" s="5" t="s">
        <v>14</v>
      </c>
      <c r="H791" s="5">
        <v>45</v>
      </c>
      <c r="I791" s="96">
        <f t="shared" si="48"/>
        <v>74.466666666666669</v>
      </c>
      <c r="J791" s="5" t="s">
        <v>21</v>
      </c>
      <c r="K791" s="5" t="s">
        <v>22</v>
      </c>
      <c r="L791" s="5">
        <v>1401166800</v>
      </c>
      <c r="M791" s="5">
        <v>1404363600</v>
      </c>
      <c r="N791" s="8">
        <f t="shared" si="49"/>
        <v>41786.208333333336</v>
      </c>
      <c r="O791" s="8">
        <f t="shared" si="50"/>
        <v>41823.208333333336</v>
      </c>
      <c r="P791" s="21" t="str">
        <f>TEXT(CrowdfundingTable[[#This Row],[date_created]],"ddd")</f>
        <v>Tue</v>
      </c>
      <c r="Q791" s="21">
        <f>_xlfn.DAYS(CrowdfundingTable[[#This Row],[date_ended]],CrowdfundingTable[[#This Row],[date_created]])</f>
        <v>37</v>
      </c>
      <c r="R791" s="5" t="b">
        <v>0</v>
      </c>
      <c r="S791" s="5" t="b">
        <v>0</v>
      </c>
      <c r="T791" s="5" t="s">
        <v>33</v>
      </c>
      <c r="U791" s="5" t="s">
        <v>2040</v>
      </c>
      <c r="V791" s="5" t="s">
        <v>2055</v>
      </c>
      <c r="W791" s="5"/>
    </row>
    <row r="792" spans="1:23" ht="17" x14ac:dyDescent="0.2">
      <c r="A792" s="5">
        <v>790</v>
      </c>
      <c r="B792" s="5" t="s">
        <v>1615</v>
      </c>
      <c r="C792" s="6" t="s">
        <v>1616</v>
      </c>
      <c r="D792" s="94">
        <v>185900</v>
      </c>
      <c r="E792" s="94">
        <v>56774</v>
      </c>
      <c r="F792" s="7">
        <f t="shared" si="51"/>
        <v>0.30540075309306081</v>
      </c>
      <c r="G792" s="5" t="s">
        <v>74</v>
      </c>
      <c r="H792" s="5">
        <v>1113</v>
      </c>
      <c r="I792" s="96">
        <f t="shared" si="48"/>
        <v>51.009883198562441</v>
      </c>
      <c r="J792" s="5" t="s">
        <v>21</v>
      </c>
      <c r="K792" s="5" t="s">
        <v>22</v>
      </c>
      <c r="L792" s="5">
        <v>1266127200</v>
      </c>
      <c r="M792" s="5">
        <v>1266645600</v>
      </c>
      <c r="N792" s="8">
        <f t="shared" si="49"/>
        <v>40223.25</v>
      </c>
      <c r="O792" s="8">
        <f t="shared" si="50"/>
        <v>40229.25</v>
      </c>
      <c r="P792" s="21" t="str">
        <f>TEXT(CrowdfundingTable[[#This Row],[date_created]],"ddd")</f>
        <v>Sun</v>
      </c>
      <c r="Q792" s="21">
        <f>_xlfn.DAYS(CrowdfundingTable[[#This Row],[date_ended]],CrowdfundingTable[[#This Row],[date_created]])</f>
        <v>6</v>
      </c>
      <c r="R792" s="5" t="b">
        <v>0</v>
      </c>
      <c r="S792" s="5" t="b">
        <v>0</v>
      </c>
      <c r="T792" s="5" t="s">
        <v>33</v>
      </c>
      <c r="U792" s="5" t="s">
        <v>2040</v>
      </c>
      <c r="V792" s="5" t="s">
        <v>2055</v>
      </c>
      <c r="W792" s="5"/>
    </row>
    <row r="793" spans="1:23" ht="17" x14ac:dyDescent="0.2">
      <c r="A793" s="5">
        <v>791</v>
      </c>
      <c r="B793" s="5" t="s">
        <v>1617</v>
      </c>
      <c r="C793" s="6" t="s">
        <v>1618</v>
      </c>
      <c r="D793" s="94">
        <v>2100</v>
      </c>
      <c r="E793" s="94">
        <v>540</v>
      </c>
      <c r="F793" s="7">
        <f t="shared" si="51"/>
        <v>0.25714285714285712</v>
      </c>
      <c r="G793" s="5" t="s">
        <v>14</v>
      </c>
      <c r="H793" s="5">
        <v>6</v>
      </c>
      <c r="I793" s="96">
        <f t="shared" si="48"/>
        <v>90</v>
      </c>
      <c r="J793" s="5" t="s">
        <v>21</v>
      </c>
      <c r="K793" s="5" t="s">
        <v>22</v>
      </c>
      <c r="L793" s="5">
        <v>1481436000</v>
      </c>
      <c r="M793" s="5">
        <v>1482818400</v>
      </c>
      <c r="N793" s="8">
        <f t="shared" si="49"/>
        <v>42715.25</v>
      </c>
      <c r="O793" s="8">
        <f t="shared" si="50"/>
        <v>42731.25</v>
      </c>
      <c r="P793" s="21" t="str">
        <f>TEXT(CrowdfundingTable[[#This Row],[date_created]],"ddd")</f>
        <v>Sun</v>
      </c>
      <c r="Q793" s="21">
        <f>_xlfn.DAYS(CrowdfundingTable[[#This Row],[date_ended]],CrowdfundingTable[[#This Row],[date_created]])</f>
        <v>16</v>
      </c>
      <c r="R793" s="5" t="b">
        <v>0</v>
      </c>
      <c r="S793" s="5" t="b">
        <v>0</v>
      </c>
      <c r="T793" s="5" t="s">
        <v>17</v>
      </c>
      <c r="U793" s="5" t="s">
        <v>2033</v>
      </c>
      <c r="V793" s="5" t="s">
        <v>2048</v>
      </c>
      <c r="W793" s="5"/>
    </row>
    <row r="794" spans="1:23" ht="17" x14ac:dyDescent="0.2">
      <c r="A794" s="5">
        <v>792</v>
      </c>
      <c r="B794" s="5" t="s">
        <v>1619</v>
      </c>
      <c r="C794" s="6" t="s">
        <v>1620</v>
      </c>
      <c r="D794" s="94">
        <v>2000</v>
      </c>
      <c r="E794" s="94">
        <v>680</v>
      </c>
      <c r="F794" s="7">
        <f t="shared" si="51"/>
        <v>0.34</v>
      </c>
      <c r="G794" s="5" t="s">
        <v>14</v>
      </c>
      <c r="H794" s="5">
        <v>7</v>
      </c>
      <c r="I794" s="96">
        <f t="shared" si="48"/>
        <v>97.142857142857139</v>
      </c>
      <c r="J794" s="5" t="s">
        <v>21</v>
      </c>
      <c r="K794" s="5" t="s">
        <v>22</v>
      </c>
      <c r="L794" s="5">
        <v>1372222800</v>
      </c>
      <c r="M794" s="5">
        <v>1374642000</v>
      </c>
      <c r="N794" s="8">
        <f t="shared" si="49"/>
        <v>41451.208333333336</v>
      </c>
      <c r="O794" s="8">
        <f t="shared" si="50"/>
        <v>41479.208333333336</v>
      </c>
      <c r="P794" s="21" t="str">
        <f>TEXT(CrowdfundingTable[[#This Row],[date_created]],"ddd")</f>
        <v>Wed</v>
      </c>
      <c r="Q794" s="21">
        <f>_xlfn.DAYS(CrowdfundingTable[[#This Row],[date_ended]],CrowdfundingTable[[#This Row],[date_created]])</f>
        <v>28</v>
      </c>
      <c r="R794" s="5" t="b">
        <v>0</v>
      </c>
      <c r="S794" s="5" t="b">
        <v>1</v>
      </c>
      <c r="T794" s="5" t="s">
        <v>33</v>
      </c>
      <c r="U794" s="5" t="s">
        <v>2040</v>
      </c>
      <c r="V794" s="5" t="s">
        <v>2055</v>
      </c>
      <c r="W794" s="5"/>
    </row>
    <row r="795" spans="1:23" ht="17" x14ac:dyDescent="0.2">
      <c r="A795" s="5">
        <v>793</v>
      </c>
      <c r="B795" s="5" t="s">
        <v>1621</v>
      </c>
      <c r="C795" s="6" t="s">
        <v>1622</v>
      </c>
      <c r="D795" s="94">
        <v>1100</v>
      </c>
      <c r="E795" s="94">
        <v>13045</v>
      </c>
      <c r="F795" s="7">
        <f t="shared" si="51"/>
        <v>11.859090909090909</v>
      </c>
      <c r="G795" s="5" t="s">
        <v>20</v>
      </c>
      <c r="H795" s="5">
        <v>181</v>
      </c>
      <c r="I795" s="96">
        <f t="shared" si="48"/>
        <v>72.071823204419886</v>
      </c>
      <c r="J795" s="5" t="s">
        <v>98</v>
      </c>
      <c r="K795" s="5" t="s">
        <v>99</v>
      </c>
      <c r="L795" s="5">
        <v>1372136400</v>
      </c>
      <c r="M795" s="5">
        <v>1372482000</v>
      </c>
      <c r="N795" s="8">
        <f t="shared" si="49"/>
        <v>41450.208333333336</v>
      </c>
      <c r="O795" s="8">
        <f t="shared" si="50"/>
        <v>41454.208333333336</v>
      </c>
      <c r="P795" s="21" t="str">
        <f>TEXT(CrowdfundingTable[[#This Row],[date_created]],"ddd")</f>
        <v>Tue</v>
      </c>
      <c r="Q795" s="21">
        <f>_xlfn.DAYS(CrowdfundingTable[[#This Row],[date_ended]],CrowdfundingTable[[#This Row],[date_created]])</f>
        <v>4</v>
      </c>
      <c r="R795" s="5" t="b">
        <v>0</v>
      </c>
      <c r="S795" s="5" t="b">
        <v>0</v>
      </c>
      <c r="T795" s="5" t="s">
        <v>68</v>
      </c>
      <c r="U795" s="5" t="s">
        <v>2038</v>
      </c>
      <c r="V795" s="5" t="s">
        <v>2053</v>
      </c>
      <c r="W795" s="5"/>
    </row>
    <row r="796" spans="1:23" ht="17" x14ac:dyDescent="0.2">
      <c r="A796" s="5">
        <v>794</v>
      </c>
      <c r="B796" s="5" t="s">
        <v>1623</v>
      </c>
      <c r="C796" s="6" t="s">
        <v>1624</v>
      </c>
      <c r="D796" s="94">
        <v>6600</v>
      </c>
      <c r="E796" s="94">
        <v>8276</v>
      </c>
      <c r="F796" s="7">
        <f t="shared" si="51"/>
        <v>1.2539393939393939</v>
      </c>
      <c r="G796" s="5" t="s">
        <v>20</v>
      </c>
      <c r="H796" s="5">
        <v>110</v>
      </c>
      <c r="I796" s="96">
        <f t="shared" si="48"/>
        <v>75.236363636363635</v>
      </c>
      <c r="J796" s="5" t="s">
        <v>21</v>
      </c>
      <c r="K796" s="5" t="s">
        <v>22</v>
      </c>
      <c r="L796" s="5">
        <v>1513922400</v>
      </c>
      <c r="M796" s="5">
        <v>1514959200</v>
      </c>
      <c r="N796" s="8">
        <f t="shared" si="49"/>
        <v>43091.25</v>
      </c>
      <c r="O796" s="8">
        <f t="shared" si="50"/>
        <v>43103.25</v>
      </c>
      <c r="P796" s="21" t="str">
        <f>TEXT(CrowdfundingTable[[#This Row],[date_created]],"ddd")</f>
        <v>Fri</v>
      </c>
      <c r="Q796" s="21">
        <f>_xlfn.DAYS(CrowdfundingTable[[#This Row],[date_ended]],CrowdfundingTable[[#This Row],[date_created]])</f>
        <v>12</v>
      </c>
      <c r="R796" s="5" t="b">
        <v>0</v>
      </c>
      <c r="S796" s="5" t="b">
        <v>0</v>
      </c>
      <c r="T796" s="5" t="s">
        <v>23</v>
      </c>
      <c r="U796" s="5" t="s">
        <v>2036</v>
      </c>
      <c r="V796" s="5" t="s">
        <v>2057</v>
      </c>
      <c r="W796" s="5"/>
    </row>
    <row r="797" spans="1:23" ht="17" x14ac:dyDescent="0.2">
      <c r="A797" s="5">
        <v>795</v>
      </c>
      <c r="B797" s="5" t="s">
        <v>1625</v>
      </c>
      <c r="C797" s="6" t="s">
        <v>1626</v>
      </c>
      <c r="D797" s="94">
        <v>7100</v>
      </c>
      <c r="E797" s="94">
        <v>1022</v>
      </c>
      <c r="F797" s="7">
        <f t="shared" si="51"/>
        <v>0.14394366197183098</v>
      </c>
      <c r="G797" s="5" t="s">
        <v>14</v>
      </c>
      <c r="H797" s="5">
        <v>31</v>
      </c>
      <c r="I797" s="96">
        <f t="shared" si="48"/>
        <v>32.967741935483872</v>
      </c>
      <c r="J797" s="5" t="s">
        <v>21</v>
      </c>
      <c r="K797" s="5" t="s">
        <v>22</v>
      </c>
      <c r="L797" s="5">
        <v>1477976400</v>
      </c>
      <c r="M797" s="5">
        <v>1478235600</v>
      </c>
      <c r="N797" s="8">
        <f t="shared" si="49"/>
        <v>42675.208333333328</v>
      </c>
      <c r="O797" s="8">
        <f t="shared" si="50"/>
        <v>42678.208333333328</v>
      </c>
      <c r="P797" s="21" t="str">
        <f>TEXT(CrowdfundingTable[[#This Row],[date_created]],"ddd")</f>
        <v>Tue</v>
      </c>
      <c r="Q797" s="21">
        <f>_xlfn.DAYS(CrowdfundingTable[[#This Row],[date_ended]],CrowdfundingTable[[#This Row],[date_created]])</f>
        <v>3</v>
      </c>
      <c r="R797" s="5" t="b">
        <v>0</v>
      </c>
      <c r="S797" s="5" t="b">
        <v>0</v>
      </c>
      <c r="T797" s="5" t="s">
        <v>53</v>
      </c>
      <c r="U797" s="5" t="s">
        <v>2032</v>
      </c>
      <c r="V797" s="5" t="s">
        <v>2045</v>
      </c>
      <c r="W797" s="5"/>
    </row>
    <row r="798" spans="1:23" ht="17" x14ac:dyDescent="0.2">
      <c r="A798" s="5">
        <v>796</v>
      </c>
      <c r="B798" s="5" t="s">
        <v>1627</v>
      </c>
      <c r="C798" s="6" t="s">
        <v>1628</v>
      </c>
      <c r="D798" s="94">
        <v>7800</v>
      </c>
      <c r="E798" s="94">
        <v>4275</v>
      </c>
      <c r="F798" s="7">
        <f t="shared" si="51"/>
        <v>0.54807692307692313</v>
      </c>
      <c r="G798" s="5" t="s">
        <v>14</v>
      </c>
      <c r="H798" s="5">
        <v>78</v>
      </c>
      <c r="I798" s="96">
        <f t="shared" si="48"/>
        <v>54.807692307692307</v>
      </c>
      <c r="J798" s="5" t="s">
        <v>21</v>
      </c>
      <c r="K798" s="5" t="s">
        <v>22</v>
      </c>
      <c r="L798" s="5">
        <v>1407474000</v>
      </c>
      <c r="M798" s="5">
        <v>1408078800</v>
      </c>
      <c r="N798" s="8">
        <f t="shared" si="49"/>
        <v>41859.208333333336</v>
      </c>
      <c r="O798" s="8">
        <f t="shared" si="50"/>
        <v>41866.208333333336</v>
      </c>
      <c r="P798" s="21" t="str">
        <f>TEXT(CrowdfundingTable[[#This Row],[date_created]],"ddd")</f>
        <v>Fri</v>
      </c>
      <c r="Q798" s="21">
        <f>_xlfn.DAYS(CrowdfundingTable[[#This Row],[date_ended]],CrowdfundingTable[[#This Row],[date_created]])</f>
        <v>7</v>
      </c>
      <c r="R798" s="5" t="b">
        <v>0</v>
      </c>
      <c r="S798" s="5" t="b">
        <v>1</v>
      </c>
      <c r="T798" s="5" t="s">
        <v>292</v>
      </c>
      <c r="U798" s="5" t="s">
        <v>2034</v>
      </c>
      <c r="V798" s="5" t="s">
        <v>2052</v>
      </c>
      <c r="W798" s="5"/>
    </row>
    <row r="799" spans="1:23" ht="17" x14ac:dyDescent="0.2">
      <c r="A799" s="5">
        <v>797</v>
      </c>
      <c r="B799" s="5" t="s">
        <v>1629</v>
      </c>
      <c r="C799" s="6" t="s">
        <v>1630</v>
      </c>
      <c r="D799" s="94">
        <v>7600</v>
      </c>
      <c r="E799" s="94">
        <v>8332</v>
      </c>
      <c r="F799" s="7">
        <f t="shared" si="51"/>
        <v>1.0963157894736841</v>
      </c>
      <c r="G799" s="5" t="s">
        <v>20</v>
      </c>
      <c r="H799" s="5">
        <v>185</v>
      </c>
      <c r="I799" s="96">
        <f t="shared" si="48"/>
        <v>45.037837837837834</v>
      </c>
      <c r="J799" s="5" t="s">
        <v>21</v>
      </c>
      <c r="K799" s="5" t="s">
        <v>22</v>
      </c>
      <c r="L799" s="5">
        <v>1546149600</v>
      </c>
      <c r="M799" s="5">
        <v>1548136800</v>
      </c>
      <c r="N799" s="8">
        <f t="shared" si="49"/>
        <v>43464.25</v>
      </c>
      <c r="O799" s="8">
        <f t="shared" si="50"/>
        <v>43487.25</v>
      </c>
      <c r="P799" s="21" t="str">
        <f>TEXT(CrowdfundingTable[[#This Row],[date_created]],"ddd")</f>
        <v>Sun</v>
      </c>
      <c r="Q799" s="21">
        <f>_xlfn.DAYS(CrowdfundingTable[[#This Row],[date_ended]],CrowdfundingTable[[#This Row],[date_created]])</f>
        <v>23</v>
      </c>
      <c r="R799" s="5" t="b">
        <v>0</v>
      </c>
      <c r="S799" s="5" t="b">
        <v>0</v>
      </c>
      <c r="T799" s="5" t="s">
        <v>28</v>
      </c>
      <c r="U799" s="5" t="s">
        <v>2039</v>
      </c>
      <c r="V799" s="5" t="s">
        <v>2064</v>
      </c>
      <c r="W799" s="5"/>
    </row>
    <row r="800" spans="1:23" ht="17" x14ac:dyDescent="0.2">
      <c r="A800" s="5">
        <v>798</v>
      </c>
      <c r="B800" s="5" t="s">
        <v>1631</v>
      </c>
      <c r="C800" s="6" t="s">
        <v>1632</v>
      </c>
      <c r="D800" s="94">
        <v>3400</v>
      </c>
      <c r="E800" s="94">
        <v>6408</v>
      </c>
      <c r="F800" s="7">
        <f t="shared" si="51"/>
        <v>1.8847058823529412</v>
      </c>
      <c r="G800" s="5" t="s">
        <v>20</v>
      </c>
      <c r="H800" s="5">
        <v>121</v>
      </c>
      <c r="I800" s="96">
        <f t="shared" si="48"/>
        <v>52.958677685950413</v>
      </c>
      <c r="J800" s="5" t="s">
        <v>21</v>
      </c>
      <c r="K800" s="5" t="s">
        <v>22</v>
      </c>
      <c r="L800" s="5">
        <v>1338440400</v>
      </c>
      <c r="M800" s="5">
        <v>1340859600</v>
      </c>
      <c r="N800" s="8">
        <f t="shared" si="49"/>
        <v>41060.208333333336</v>
      </c>
      <c r="O800" s="8">
        <f t="shared" si="50"/>
        <v>41088.208333333336</v>
      </c>
      <c r="P800" s="21" t="str">
        <f>TEXT(CrowdfundingTable[[#This Row],[date_created]],"ddd")</f>
        <v>Thu</v>
      </c>
      <c r="Q800" s="21">
        <f>_xlfn.DAYS(CrowdfundingTable[[#This Row],[date_ended]],CrowdfundingTable[[#This Row],[date_created]])</f>
        <v>28</v>
      </c>
      <c r="R800" s="5" t="b">
        <v>0</v>
      </c>
      <c r="S800" s="5" t="b">
        <v>1</v>
      </c>
      <c r="T800" s="5" t="s">
        <v>33</v>
      </c>
      <c r="U800" s="5" t="s">
        <v>2040</v>
      </c>
      <c r="V800" s="5" t="s">
        <v>2055</v>
      </c>
      <c r="W800" s="5"/>
    </row>
    <row r="801" spans="1:23" ht="17" x14ac:dyDescent="0.2">
      <c r="A801" s="5">
        <v>799</v>
      </c>
      <c r="B801" s="5" t="s">
        <v>1633</v>
      </c>
      <c r="C801" s="6" t="s">
        <v>1634</v>
      </c>
      <c r="D801" s="94">
        <v>84500</v>
      </c>
      <c r="E801" s="94">
        <v>73522</v>
      </c>
      <c r="F801" s="7">
        <f t="shared" si="51"/>
        <v>0.87008284023668636</v>
      </c>
      <c r="G801" s="5" t="s">
        <v>14</v>
      </c>
      <c r="H801" s="5">
        <v>1225</v>
      </c>
      <c r="I801" s="96">
        <f t="shared" si="48"/>
        <v>60.017959183673469</v>
      </c>
      <c r="J801" s="5" t="s">
        <v>40</v>
      </c>
      <c r="K801" s="5" t="s">
        <v>41</v>
      </c>
      <c r="L801" s="5">
        <v>1454133600</v>
      </c>
      <c r="M801" s="5">
        <v>1454479200</v>
      </c>
      <c r="N801" s="8">
        <f t="shared" si="49"/>
        <v>42399.25</v>
      </c>
      <c r="O801" s="8">
        <f t="shared" si="50"/>
        <v>42403.25</v>
      </c>
      <c r="P801" s="21" t="str">
        <f>TEXT(CrowdfundingTable[[#This Row],[date_created]],"ddd")</f>
        <v>Sat</v>
      </c>
      <c r="Q801" s="21">
        <f>_xlfn.DAYS(CrowdfundingTable[[#This Row],[date_ended]],CrowdfundingTable[[#This Row],[date_created]])</f>
        <v>4</v>
      </c>
      <c r="R801" s="5" t="b">
        <v>0</v>
      </c>
      <c r="S801" s="5" t="b">
        <v>0</v>
      </c>
      <c r="T801" s="5" t="s">
        <v>33</v>
      </c>
      <c r="U801" s="5" t="s">
        <v>2040</v>
      </c>
      <c r="V801" s="5" t="s">
        <v>2055</v>
      </c>
      <c r="W801" s="5"/>
    </row>
    <row r="802" spans="1:23" ht="17" x14ac:dyDescent="0.2">
      <c r="A802" s="5">
        <v>800</v>
      </c>
      <c r="B802" s="5" t="s">
        <v>1635</v>
      </c>
      <c r="C802" s="6" t="s">
        <v>1636</v>
      </c>
      <c r="D802" s="94">
        <v>100</v>
      </c>
      <c r="E802" s="94">
        <v>1</v>
      </c>
      <c r="F802" s="7">
        <f t="shared" si="51"/>
        <v>0.01</v>
      </c>
      <c r="G802" s="5" t="s">
        <v>14</v>
      </c>
      <c r="H802" s="5">
        <v>1</v>
      </c>
      <c r="I802" s="96">
        <f t="shared" si="48"/>
        <v>1</v>
      </c>
      <c r="J802" s="5" t="s">
        <v>98</v>
      </c>
      <c r="K802" s="5" t="s">
        <v>99</v>
      </c>
      <c r="L802" s="5">
        <v>1434085200</v>
      </c>
      <c r="M802" s="5">
        <v>1434430800</v>
      </c>
      <c r="N802" s="8">
        <f t="shared" si="49"/>
        <v>42167.208333333328</v>
      </c>
      <c r="O802" s="8">
        <f t="shared" si="50"/>
        <v>42171.208333333328</v>
      </c>
      <c r="P802" s="21" t="str">
        <f>TEXT(CrowdfundingTable[[#This Row],[date_created]],"ddd")</f>
        <v>Fri</v>
      </c>
      <c r="Q802" s="21">
        <f>_xlfn.DAYS(CrowdfundingTable[[#This Row],[date_ended]],CrowdfundingTable[[#This Row],[date_created]])</f>
        <v>4</v>
      </c>
      <c r="R802" s="5" t="b">
        <v>0</v>
      </c>
      <c r="S802" s="5" t="b">
        <v>0</v>
      </c>
      <c r="T802" s="5" t="s">
        <v>23</v>
      </c>
      <c r="U802" s="5" t="s">
        <v>2036</v>
      </c>
      <c r="V802" s="5" t="s">
        <v>2057</v>
      </c>
      <c r="W802" s="5"/>
    </row>
    <row r="803" spans="1:23" ht="17" x14ac:dyDescent="0.2">
      <c r="A803" s="5">
        <v>801</v>
      </c>
      <c r="B803" s="5" t="s">
        <v>1637</v>
      </c>
      <c r="C803" s="6" t="s">
        <v>1638</v>
      </c>
      <c r="D803" s="94">
        <v>2300</v>
      </c>
      <c r="E803" s="94">
        <v>4667</v>
      </c>
      <c r="F803" s="7">
        <f t="shared" si="51"/>
        <v>2.0291304347826089</v>
      </c>
      <c r="G803" s="5" t="s">
        <v>20</v>
      </c>
      <c r="H803" s="5">
        <v>106</v>
      </c>
      <c r="I803" s="96">
        <f t="shared" si="48"/>
        <v>44.028301886792455</v>
      </c>
      <c r="J803" s="5" t="s">
        <v>21</v>
      </c>
      <c r="K803" s="5" t="s">
        <v>22</v>
      </c>
      <c r="L803" s="5">
        <v>1577772000</v>
      </c>
      <c r="M803" s="5">
        <v>1579672800</v>
      </c>
      <c r="N803" s="8">
        <f t="shared" si="49"/>
        <v>43830.25</v>
      </c>
      <c r="O803" s="8">
        <f t="shared" si="50"/>
        <v>43852.25</v>
      </c>
      <c r="P803" s="21" t="str">
        <f>TEXT(CrowdfundingTable[[#This Row],[date_created]],"ddd")</f>
        <v>Tue</v>
      </c>
      <c r="Q803" s="21">
        <f>_xlfn.DAYS(CrowdfundingTable[[#This Row],[date_ended]],CrowdfundingTable[[#This Row],[date_created]])</f>
        <v>22</v>
      </c>
      <c r="R803" s="5" t="b">
        <v>0</v>
      </c>
      <c r="S803" s="5" t="b">
        <v>1</v>
      </c>
      <c r="T803" s="5" t="s">
        <v>122</v>
      </c>
      <c r="U803" s="5" t="s">
        <v>2037</v>
      </c>
      <c r="V803" s="5" t="s">
        <v>2054</v>
      </c>
      <c r="W803" s="5"/>
    </row>
    <row r="804" spans="1:23" ht="34" x14ac:dyDescent="0.2">
      <c r="A804" s="5">
        <v>802</v>
      </c>
      <c r="B804" s="5" t="s">
        <v>1639</v>
      </c>
      <c r="C804" s="6" t="s">
        <v>1640</v>
      </c>
      <c r="D804" s="94">
        <v>6200</v>
      </c>
      <c r="E804" s="94">
        <v>12216</v>
      </c>
      <c r="F804" s="7">
        <f t="shared" si="51"/>
        <v>1.9703225806451612</v>
      </c>
      <c r="G804" s="5" t="s">
        <v>20</v>
      </c>
      <c r="H804" s="5">
        <v>142</v>
      </c>
      <c r="I804" s="96">
        <f t="shared" si="48"/>
        <v>86.028169014084511</v>
      </c>
      <c r="J804" s="5" t="s">
        <v>21</v>
      </c>
      <c r="K804" s="5" t="s">
        <v>22</v>
      </c>
      <c r="L804" s="5">
        <v>1562216400</v>
      </c>
      <c r="M804" s="5">
        <v>1562389200</v>
      </c>
      <c r="N804" s="8">
        <f t="shared" si="49"/>
        <v>43650.208333333328</v>
      </c>
      <c r="O804" s="8">
        <f t="shared" si="50"/>
        <v>43652.208333333328</v>
      </c>
      <c r="P804" s="21" t="str">
        <f>TEXT(CrowdfundingTable[[#This Row],[date_created]],"ddd")</f>
        <v>Thu</v>
      </c>
      <c r="Q804" s="21">
        <f>_xlfn.DAYS(CrowdfundingTable[[#This Row],[date_ended]],CrowdfundingTable[[#This Row],[date_created]])</f>
        <v>2</v>
      </c>
      <c r="R804" s="5" t="b">
        <v>0</v>
      </c>
      <c r="S804" s="5" t="b">
        <v>0</v>
      </c>
      <c r="T804" s="5" t="s">
        <v>122</v>
      </c>
      <c r="U804" s="5" t="s">
        <v>2037</v>
      </c>
      <c r="V804" s="5" t="s">
        <v>2054</v>
      </c>
      <c r="W804" s="5"/>
    </row>
    <row r="805" spans="1:23" ht="34" x14ac:dyDescent="0.2">
      <c r="A805" s="5">
        <v>803</v>
      </c>
      <c r="B805" s="5" t="s">
        <v>1641</v>
      </c>
      <c r="C805" s="6" t="s">
        <v>1642</v>
      </c>
      <c r="D805" s="94">
        <v>6100</v>
      </c>
      <c r="E805" s="94">
        <v>6527</v>
      </c>
      <c r="F805" s="7">
        <f t="shared" si="51"/>
        <v>1.07</v>
      </c>
      <c r="G805" s="5" t="s">
        <v>20</v>
      </c>
      <c r="H805" s="5">
        <v>233</v>
      </c>
      <c r="I805" s="96">
        <f t="shared" si="48"/>
        <v>28.012875536480685</v>
      </c>
      <c r="J805" s="5" t="s">
        <v>21</v>
      </c>
      <c r="K805" s="5" t="s">
        <v>22</v>
      </c>
      <c r="L805" s="5">
        <v>1548568800</v>
      </c>
      <c r="M805" s="5">
        <v>1551506400</v>
      </c>
      <c r="N805" s="8">
        <f t="shared" si="49"/>
        <v>43492.25</v>
      </c>
      <c r="O805" s="8">
        <f t="shared" si="50"/>
        <v>43526.25</v>
      </c>
      <c r="P805" s="21" t="str">
        <f>TEXT(CrowdfundingTable[[#This Row],[date_created]],"ddd")</f>
        <v>Sun</v>
      </c>
      <c r="Q805" s="21">
        <f>_xlfn.DAYS(CrowdfundingTable[[#This Row],[date_ended]],CrowdfundingTable[[#This Row],[date_created]])</f>
        <v>34</v>
      </c>
      <c r="R805" s="5" t="b">
        <v>0</v>
      </c>
      <c r="S805" s="5" t="b">
        <v>0</v>
      </c>
      <c r="T805" s="5" t="s">
        <v>33</v>
      </c>
      <c r="U805" s="5" t="s">
        <v>2040</v>
      </c>
      <c r="V805" s="5" t="s">
        <v>2055</v>
      </c>
      <c r="W805" s="5"/>
    </row>
    <row r="806" spans="1:23" ht="17" x14ac:dyDescent="0.2">
      <c r="A806" s="5">
        <v>804</v>
      </c>
      <c r="B806" s="5" t="s">
        <v>1643</v>
      </c>
      <c r="C806" s="6" t="s">
        <v>1644</v>
      </c>
      <c r="D806" s="94">
        <v>2600</v>
      </c>
      <c r="E806" s="94">
        <v>6987</v>
      </c>
      <c r="F806" s="7">
        <f t="shared" si="51"/>
        <v>2.6873076923076922</v>
      </c>
      <c r="G806" s="5" t="s">
        <v>20</v>
      </c>
      <c r="H806" s="5">
        <v>218</v>
      </c>
      <c r="I806" s="96">
        <f t="shared" si="48"/>
        <v>32.050458715596328</v>
      </c>
      <c r="J806" s="5" t="s">
        <v>21</v>
      </c>
      <c r="K806" s="5" t="s">
        <v>22</v>
      </c>
      <c r="L806" s="5">
        <v>1514872800</v>
      </c>
      <c r="M806" s="5">
        <v>1516600800</v>
      </c>
      <c r="N806" s="8">
        <f t="shared" si="49"/>
        <v>43102.25</v>
      </c>
      <c r="O806" s="8">
        <f t="shared" si="50"/>
        <v>43122.25</v>
      </c>
      <c r="P806" s="21" t="str">
        <f>TEXT(CrowdfundingTable[[#This Row],[date_created]],"ddd")</f>
        <v>Tue</v>
      </c>
      <c r="Q806" s="21">
        <f>_xlfn.DAYS(CrowdfundingTable[[#This Row],[date_ended]],CrowdfundingTable[[#This Row],[date_created]])</f>
        <v>20</v>
      </c>
      <c r="R806" s="5" t="b">
        <v>0</v>
      </c>
      <c r="S806" s="5" t="b">
        <v>0</v>
      </c>
      <c r="T806" s="5" t="s">
        <v>23</v>
      </c>
      <c r="U806" s="5" t="s">
        <v>2036</v>
      </c>
      <c r="V806" s="5" t="s">
        <v>2057</v>
      </c>
      <c r="W806" s="5"/>
    </row>
    <row r="807" spans="1:23" ht="34" x14ac:dyDescent="0.2">
      <c r="A807" s="5">
        <v>805</v>
      </c>
      <c r="B807" s="5" t="s">
        <v>1645</v>
      </c>
      <c r="C807" s="6" t="s">
        <v>1646</v>
      </c>
      <c r="D807" s="94">
        <v>9700</v>
      </c>
      <c r="E807" s="94">
        <v>4932</v>
      </c>
      <c r="F807" s="7">
        <f t="shared" si="51"/>
        <v>0.50845360824742269</v>
      </c>
      <c r="G807" s="5" t="s">
        <v>14</v>
      </c>
      <c r="H807" s="5">
        <v>67</v>
      </c>
      <c r="I807" s="96">
        <f t="shared" si="48"/>
        <v>73.611940298507463</v>
      </c>
      <c r="J807" s="5" t="s">
        <v>26</v>
      </c>
      <c r="K807" s="5" t="s">
        <v>27</v>
      </c>
      <c r="L807" s="5">
        <v>1416031200</v>
      </c>
      <c r="M807" s="5">
        <v>1420437600</v>
      </c>
      <c r="N807" s="8">
        <f t="shared" si="49"/>
        <v>41958.25</v>
      </c>
      <c r="O807" s="8">
        <f t="shared" si="50"/>
        <v>42009.25</v>
      </c>
      <c r="P807" s="21" t="str">
        <f>TEXT(CrowdfundingTable[[#This Row],[date_created]],"ddd")</f>
        <v>Sat</v>
      </c>
      <c r="Q807" s="21">
        <f>_xlfn.DAYS(CrowdfundingTable[[#This Row],[date_ended]],CrowdfundingTable[[#This Row],[date_created]])</f>
        <v>51</v>
      </c>
      <c r="R807" s="5" t="b">
        <v>0</v>
      </c>
      <c r="S807" s="5" t="b">
        <v>0</v>
      </c>
      <c r="T807" s="5" t="s">
        <v>42</v>
      </c>
      <c r="U807" s="5" t="s">
        <v>2032</v>
      </c>
      <c r="V807" s="5" t="s">
        <v>2044</v>
      </c>
      <c r="W807" s="5"/>
    </row>
    <row r="808" spans="1:23" ht="17" x14ac:dyDescent="0.2">
      <c r="A808" s="5">
        <v>806</v>
      </c>
      <c r="B808" s="5" t="s">
        <v>1647</v>
      </c>
      <c r="C808" s="6" t="s">
        <v>1648</v>
      </c>
      <c r="D808" s="94">
        <v>700</v>
      </c>
      <c r="E808" s="94">
        <v>8262</v>
      </c>
      <c r="F808" s="7">
        <f t="shared" si="51"/>
        <v>11.802857142857142</v>
      </c>
      <c r="G808" s="5" t="s">
        <v>20</v>
      </c>
      <c r="H808" s="5">
        <v>76</v>
      </c>
      <c r="I808" s="96">
        <f t="shared" si="48"/>
        <v>108.71052631578948</v>
      </c>
      <c r="J808" s="5" t="s">
        <v>21</v>
      </c>
      <c r="K808" s="5" t="s">
        <v>22</v>
      </c>
      <c r="L808" s="5">
        <v>1330927200</v>
      </c>
      <c r="M808" s="5">
        <v>1332997200</v>
      </c>
      <c r="N808" s="8">
        <f t="shared" si="49"/>
        <v>40973.25</v>
      </c>
      <c r="O808" s="8">
        <f t="shared" si="50"/>
        <v>40997.208333333336</v>
      </c>
      <c r="P808" s="21" t="str">
        <f>TEXT(CrowdfundingTable[[#This Row],[date_created]],"ddd")</f>
        <v>Mon</v>
      </c>
      <c r="Q808" s="21">
        <f>_xlfn.DAYS(CrowdfundingTable[[#This Row],[date_ended]],CrowdfundingTable[[#This Row],[date_created]])</f>
        <v>24</v>
      </c>
      <c r="R808" s="5" t="b">
        <v>0</v>
      </c>
      <c r="S808" s="5" t="b">
        <v>1</v>
      </c>
      <c r="T808" s="5" t="s">
        <v>53</v>
      </c>
      <c r="U808" s="5" t="s">
        <v>2032</v>
      </c>
      <c r="V808" s="5" t="s">
        <v>2045</v>
      </c>
      <c r="W808" s="5"/>
    </row>
    <row r="809" spans="1:23" ht="17" x14ac:dyDescent="0.2">
      <c r="A809" s="5">
        <v>807</v>
      </c>
      <c r="B809" s="5" t="s">
        <v>1649</v>
      </c>
      <c r="C809" s="6" t="s">
        <v>1650</v>
      </c>
      <c r="D809" s="94">
        <v>700</v>
      </c>
      <c r="E809" s="94">
        <v>1848</v>
      </c>
      <c r="F809" s="7">
        <f t="shared" si="51"/>
        <v>2.64</v>
      </c>
      <c r="G809" s="5" t="s">
        <v>20</v>
      </c>
      <c r="H809" s="5">
        <v>43</v>
      </c>
      <c r="I809" s="96">
        <f t="shared" si="48"/>
        <v>42.97674418604651</v>
      </c>
      <c r="J809" s="5" t="s">
        <v>21</v>
      </c>
      <c r="K809" s="5" t="s">
        <v>22</v>
      </c>
      <c r="L809" s="5">
        <v>1571115600</v>
      </c>
      <c r="M809" s="5">
        <v>1574920800</v>
      </c>
      <c r="N809" s="8">
        <f t="shared" si="49"/>
        <v>43753.208333333328</v>
      </c>
      <c r="O809" s="8">
        <f t="shared" si="50"/>
        <v>43797.25</v>
      </c>
      <c r="P809" s="21" t="str">
        <f>TEXT(CrowdfundingTable[[#This Row],[date_created]],"ddd")</f>
        <v>Tue</v>
      </c>
      <c r="Q809" s="21">
        <f>_xlfn.DAYS(CrowdfundingTable[[#This Row],[date_ended]],CrowdfundingTable[[#This Row],[date_created]])</f>
        <v>44</v>
      </c>
      <c r="R809" s="5" t="b">
        <v>0</v>
      </c>
      <c r="S809" s="5" t="b">
        <v>1</v>
      </c>
      <c r="T809" s="5" t="s">
        <v>33</v>
      </c>
      <c r="U809" s="5" t="s">
        <v>2040</v>
      </c>
      <c r="V809" s="5" t="s">
        <v>2055</v>
      </c>
      <c r="W809" s="5"/>
    </row>
    <row r="810" spans="1:23" ht="17" x14ac:dyDescent="0.2">
      <c r="A810" s="5">
        <v>808</v>
      </c>
      <c r="B810" s="5" t="s">
        <v>1651</v>
      </c>
      <c r="C810" s="6" t="s">
        <v>1652</v>
      </c>
      <c r="D810" s="94">
        <v>5200</v>
      </c>
      <c r="E810" s="94">
        <v>1583</v>
      </c>
      <c r="F810" s="7">
        <f t="shared" si="51"/>
        <v>0.30442307692307691</v>
      </c>
      <c r="G810" s="5" t="s">
        <v>14</v>
      </c>
      <c r="H810" s="5">
        <v>19</v>
      </c>
      <c r="I810" s="96">
        <f t="shared" si="48"/>
        <v>83.315789473684205</v>
      </c>
      <c r="J810" s="5" t="s">
        <v>21</v>
      </c>
      <c r="K810" s="5" t="s">
        <v>22</v>
      </c>
      <c r="L810" s="5">
        <v>1463461200</v>
      </c>
      <c r="M810" s="5">
        <v>1464930000</v>
      </c>
      <c r="N810" s="8">
        <f t="shared" si="49"/>
        <v>42507.208333333328</v>
      </c>
      <c r="O810" s="8">
        <f t="shared" si="50"/>
        <v>42524.208333333328</v>
      </c>
      <c r="P810" s="21" t="str">
        <f>TEXT(CrowdfundingTable[[#This Row],[date_created]],"ddd")</f>
        <v>Tue</v>
      </c>
      <c r="Q810" s="21">
        <f>_xlfn.DAYS(CrowdfundingTable[[#This Row],[date_ended]],CrowdfundingTable[[#This Row],[date_created]])</f>
        <v>17</v>
      </c>
      <c r="R810" s="5" t="b">
        <v>0</v>
      </c>
      <c r="S810" s="5" t="b">
        <v>0</v>
      </c>
      <c r="T810" s="5" t="s">
        <v>17</v>
      </c>
      <c r="U810" s="5" t="s">
        <v>2033</v>
      </c>
      <c r="V810" s="5" t="s">
        <v>2048</v>
      </c>
      <c r="W810" s="5"/>
    </row>
    <row r="811" spans="1:23" ht="17" x14ac:dyDescent="0.2">
      <c r="A811" s="5">
        <v>809</v>
      </c>
      <c r="B811" s="5" t="s">
        <v>1599</v>
      </c>
      <c r="C811" s="6" t="s">
        <v>1653</v>
      </c>
      <c r="D811" s="94">
        <v>140800</v>
      </c>
      <c r="E811" s="94">
        <v>88536</v>
      </c>
      <c r="F811" s="7">
        <f t="shared" si="51"/>
        <v>0.62880681818181816</v>
      </c>
      <c r="G811" s="5" t="s">
        <v>14</v>
      </c>
      <c r="H811" s="5">
        <v>2108</v>
      </c>
      <c r="I811" s="96">
        <f t="shared" si="48"/>
        <v>42</v>
      </c>
      <c r="J811" s="5" t="s">
        <v>98</v>
      </c>
      <c r="K811" s="5" t="s">
        <v>99</v>
      </c>
      <c r="L811" s="5">
        <v>1344920400</v>
      </c>
      <c r="M811" s="5">
        <v>1345006800</v>
      </c>
      <c r="N811" s="8">
        <f t="shared" si="49"/>
        <v>41135.208333333336</v>
      </c>
      <c r="O811" s="8">
        <f t="shared" si="50"/>
        <v>41136.208333333336</v>
      </c>
      <c r="P811" s="21" t="str">
        <f>TEXT(CrowdfundingTable[[#This Row],[date_created]],"ddd")</f>
        <v>Tue</v>
      </c>
      <c r="Q811" s="21">
        <f>_xlfn.DAYS(CrowdfundingTable[[#This Row],[date_ended]],CrowdfundingTable[[#This Row],[date_created]])</f>
        <v>1</v>
      </c>
      <c r="R811" s="5" t="b">
        <v>0</v>
      </c>
      <c r="S811" s="5" t="b">
        <v>0</v>
      </c>
      <c r="T811" s="5" t="s">
        <v>42</v>
      </c>
      <c r="U811" s="5" t="s">
        <v>2032</v>
      </c>
      <c r="V811" s="5" t="s">
        <v>2044</v>
      </c>
      <c r="W811" s="5"/>
    </row>
    <row r="812" spans="1:23" ht="17" x14ac:dyDescent="0.2">
      <c r="A812" s="5">
        <v>810</v>
      </c>
      <c r="B812" s="5" t="s">
        <v>1654</v>
      </c>
      <c r="C812" s="6" t="s">
        <v>1655</v>
      </c>
      <c r="D812" s="94">
        <v>6400</v>
      </c>
      <c r="E812" s="94">
        <v>12360</v>
      </c>
      <c r="F812" s="7">
        <f t="shared" si="51"/>
        <v>1.9312499999999999</v>
      </c>
      <c r="G812" s="5" t="s">
        <v>20</v>
      </c>
      <c r="H812" s="5">
        <v>221</v>
      </c>
      <c r="I812" s="96">
        <f t="shared" si="48"/>
        <v>55.927601809954751</v>
      </c>
      <c r="J812" s="5" t="s">
        <v>21</v>
      </c>
      <c r="K812" s="5" t="s">
        <v>22</v>
      </c>
      <c r="L812" s="5">
        <v>1511848800</v>
      </c>
      <c r="M812" s="5">
        <v>1512712800</v>
      </c>
      <c r="N812" s="8">
        <f t="shared" si="49"/>
        <v>43067.25</v>
      </c>
      <c r="O812" s="8">
        <f t="shared" si="50"/>
        <v>43077.25</v>
      </c>
      <c r="P812" s="21" t="str">
        <f>TEXT(CrowdfundingTable[[#This Row],[date_created]],"ddd")</f>
        <v>Tue</v>
      </c>
      <c r="Q812" s="21">
        <f>_xlfn.DAYS(CrowdfundingTable[[#This Row],[date_ended]],CrowdfundingTable[[#This Row],[date_created]])</f>
        <v>10</v>
      </c>
      <c r="R812" s="5" t="b">
        <v>0</v>
      </c>
      <c r="S812" s="5" t="b">
        <v>1</v>
      </c>
      <c r="T812" s="5" t="s">
        <v>33</v>
      </c>
      <c r="U812" s="5" t="s">
        <v>2040</v>
      </c>
      <c r="V812" s="5" t="s">
        <v>2055</v>
      </c>
      <c r="W812" s="5"/>
    </row>
    <row r="813" spans="1:23" ht="17" x14ac:dyDescent="0.2">
      <c r="A813" s="5">
        <v>811</v>
      </c>
      <c r="B813" s="5" t="s">
        <v>1656</v>
      </c>
      <c r="C813" s="6" t="s">
        <v>1657</v>
      </c>
      <c r="D813" s="94">
        <v>92500</v>
      </c>
      <c r="E813" s="94">
        <v>71320</v>
      </c>
      <c r="F813" s="7">
        <f t="shared" si="51"/>
        <v>0.77102702702702708</v>
      </c>
      <c r="G813" s="5" t="s">
        <v>14</v>
      </c>
      <c r="H813" s="5">
        <v>679</v>
      </c>
      <c r="I813" s="96">
        <f t="shared" si="48"/>
        <v>105.03681885125184</v>
      </c>
      <c r="J813" s="5" t="s">
        <v>21</v>
      </c>
      <c r="K813" s="5" t="s">
        <v>22</v>
      </c>
      <c r="L813" s="5">
        <v>1452319200</v>
      </c>
      <c r="M813" s="5">
        <v>1452492000</v>
      </c>
      <c r="N813" s="8">
        <f t="shared" si="49"/>
        <v>42378.25</v>
      </c>
      <c r="O813" s="8">
        <f t="shared" si="50"/>
        <v>42380.25</v>
      </c>
      <c r="P813" s="21" t="str">
        <f>TEXT(CrowdfundingTable[[#This Row],[date_created]],"ddd")</f>
        <v>Sat</v>
      </c>
      <c r="Q813" s="21">
        <f>_xlfn.DAYS(CrowdfundingTable[[#This Row],[date_ended]],CrowdfundingTable[[#This Row],[date_created]])</f>
        <v>2</v>
      </c>
      <c r="R813" s="5" t="b">
        <v>0</v>
      </c>
      <c r="S813" s="5" t="b">
        <v>1</v>
      </c>
      <c r="T813" s="5" t="s">
        <v>89</v>
      </c>
      <c r="U813" s="5" t="s">
        <v>2034</v>
      </c>
      <c r="V813" s="5" t="s">
        <v>2062</v>
      </c>
      <c r="W813" s="5"/>
    </row>
    <row r="814" spans="1:23" ht="17" x14ac:dyDescent="0.2">
      <c r="A814" s="5">
        <v>812</v>
      </c>
      <c r="B814" s="5" t="s">
        <v>1658</v>
      </c>
      <c r="C814" s="6" t="s">
        <v>1659</v>
      </c>
      <c r="D814" s="94">
        <v>59700</v>
      </c>
      <c r="E814" s="94">
        <v>134640</v>
      </c>
      <c r="F814" s="7">
        <f t="shared" si="51"/>
        <v>2.2552763819095478</v>
      </c>
      <c r="G814" s="5" t="s">
        <v>20</v>
      </c>
      <c r="H814" s="5">
        <v>2805</v>
      </c>
      <c r="I814" s="96">
        <f t="shared" si="48"/>
        <v>48</v>
      </c>
      <c r="J814" s="5" t="s">
        <v>15</v>
      </c>
      <c r="K814" s="5" t="s">
        <v>16</v>
      </c>
      <c r="L814" s="5">
        <v>1523854800</v>
      </c>
      <c r="M814" s="5">
        <v>1524286800</v>
      </c>
      <c r="N814" s="8">
        <f t="shared" si="49"/>
        <v>43206.208333333328</v>
      </c>
      <c r="O814" s="8">
        <f t="shared" si="50"/>
        <v>43211.208333333328</v>
      </c>
      <c r="P814" s="21" t="str">
        <f>TEXT(CrowdfundingTable[[#This Row],[date_created]],"ddd")</f>
        <v>Mon</v>
      </c>
      <c r="Q814" s="21">
        <f>_xlfn.DAYS(CrowdfundingTable[[#This Row],[date_ended]],CrowdfundingTable[[#This Row],[date_created]])</f>
        <v>5</v>
      </c>
      <c r="R814" s="5" t="b">
        <v>0</v>
      </c>
      <c r="S814" s="5" t="b">
        <v>0</v>
      </c>
      <c r="T814" s="5" t="s">
        <v>68</v>
      </c>
      <c r="U814" s="5" t="s">
        <v>2038</v>
      </c>
      <c r="V814" s="5" t="s">
        <v>2053</v>
      </c>
      <c r="W814" s="5"/>
    </row>
    <row r="815" spans="1:23" ht="17" x14ac:dyDescent="0.2">
      <c r="A815" s="5">
        <v>813</v>
      </c>
      <c r="B815" s="5" t="s">
        <v>1660</v>
      </c>
      <c r="C815" s="6" t="s">
        <v>1661</v>
      </c>
      <c r="D815" s="94">
        <v>3200</v>
      </c>
      <c r="E815" s="94">
        <v>7661</v>
      </c>
      <c r="F815" s="7">
        <f t="shared" si="51"/>
        <v>2.3940625</v>
      </c>
      <c r="G815" s="5" t="s">
        <v>20</v>
      </c>
      <c r="H815" s="5">
        <v>68</v>
      </c>
      <c r="I815" s="96">
        <f t="shared" si="48"/>
        <v>112.66176470588235</v>
      </c>
      <c r="J815" s="5" t="s">
        <v>21</v>
      </c>
      <c r="K815" s="5" t="s">
        <v>22</v>
      </c>
      <c r="L815" s="5">
        <v>1346043600</v>
      </c>
      <c r="M815" s="5">
        <v>1346907600</v>
      </c>
      <c r="N815" s="8">
        <f t="shared" si="49"/>
        <v>41148.208333333336</v>
      </c>
      <c r="O815" s="8">
        <f t="shared" si="50"/>
        <v>41158.208333333336</v>
      </c>
      <c r="P815" s="21" t="str">
        <f>TEXT(CrowdfundingTable[[#This Row],[date_created]],"ddd")</f>
        <v>Mon</v>
      </c>
      <c r="Q815" s="21">
        <f>_xlfn.DAYS(CrowdfundingTable[[#This Row],[date_ended]],CrowdfundingTable[[#This Row],[date_created]])</f>
        <v>10</v>
      </c>
      <c r="R815" s="5" t="b">
        <v>0</v>
      </c>
      <c r="S815" s="5" t="b">
        <v>0</v>
      </c>
      <c r="T815" s="5" t="s">
        <v>89</v>
      </c>
      <c r="U815" s="5" t="s">
        <v>2034</v>
      </c>
      <c r="V815" s="5" t="s">
        <v>2062</v>
      </c>
      <c r="W815" s="5"/>
    </row>
    <row r="816" spans="1:23" ht="17" x14ac:dyDescent="0.2">
      <c r="A816" s="5">
        <v>814</v>
      </c>
      <c r="B816" s="5" t="s">
        <v>1662</v>
      </c>
      <c r="C816" s="6" t="s">
        <v>1663</v>
      </c>
      <c r="D816" s="94">
        <v>3200</v>
      </c>
      <c r="E816" s="94">
        <v>2950</v>
      </c>
      <c r="F816" s="7">
        <f t="shared" si="51"/>
        <v>0.921875</v>
      </c>
      <c r="G816" s="5" t="s">
        <v>14</v>
      </c>
      <c r="H816" s="5">
        <v>36</v>
      </c>
      <c r="I816" s="96">
        <f t="shared" si="48"/>
        <v>81.944444444444443</v>
      </c>
      <c r="J816" s="5" t="s">
        <v>36</v>
      </c>
      <c r="K816" s="5" t="s">
        <v>37</v>
      </c>
      <c r="L816" s="5">
        <v>1464325200</v>
      </c>
      <c r="M816" s="5">
        <v>1464498000</v>
      </c>
      <c r="N816" s="8">
        <f t="shared" si="49"/>
        <v>42517.208333333328</v>
      </c>
      <c r="O816" s="8">
        <f t="shared" si="50"/>
        <v>42519.208333333328</v>
      </c>
      <c r="P816" s="21" t="str">
        <f>TEXT(CrowdfundingTable[[#This Row],[date_created]],"ddd")</f>
        <v>Fri</v>
      </c>
      <c r="Q816" s="21">
        <f>_xlfn.DAYS(CrowdfundingTable[[#This Row],[date_ended]],CrowdfundingTable[[#This Row],[date_created]])</f>
        <v>2</v>
      </c>
      <c r="R816" s="5" t="b">
        <v>0</v>
      </c>
      <c r="S816" s="5" t="b">
        <v>1</v>
      </c>
      <c r="T816" s="5" t="s">
        <v>23</v>
      </c>
      <c r="U816" s="5" t="s">
        <v>2036</v>
      </c>
      <c r="V816" s="5" t="s">
        <v>2057</v>
      </c>
      <c r="W816" s="5"/>
    </row>
    <row r="817" spans="1:23" ht="34" x14ac:dyDescent="0.2">
      <c r="A817" s="5">
        <v>815</v>
      </c>
      <c r="B817" s="5" t="s">
        <v>1664</v>
      </c>
      <c r="C817" s="6" t="s">
        <v>1665</v>
      </c>
      <c r="D817" s="94">
        <v>9000</v>
      </c>
      <c r="E817" s="94">
        <v>11721</v>
      </c>
      <c r="F817" s="7">
        <f t="shared" si="51"/>
        <v>1.3023333333333333</v>
      </c>
      <c r="G817" s="5" t="s">
        <v>20</v>
      </c>
      <c r="H817" s="5">
        <v>183</v>
      </c>
      <c r="I817" s="96">
        <f t="shared" si="48"/>
        <v>64.049180327868854</v>
      </c>
      <c r="J817" s="5" t="s">
        <v>15</v>
      </c>
      <c r="K817" s="5" t="s">
        <v>16</v>
      </c>
      <c r="L817" s="5">
        <v>1511935200</v>
      </c>
      <c r="M817" s="5">
        <v>1514181600</v>
      </c>
      <c r="N817" s="8">
        <f t="shared" si="49"/>
        <v>43068.25</v>
      </c>
      <c r="O817" s="8">
        <f t="shared" si="50"/>
        <v>43094.25</v>
      </c>
      <c r="P817" s="21" t="str">
        <f>TEXT(CrowdfundingTable[[#This Row],[date_created]],"ddd")</f>
        <v>Wed</v>
      </c>
      <c r="Q817" s="21">
        <f>_xlfn.DAYS(CrowdfundingTable[[#This Row],[date_ended]],CrowdfundingTable[[#This Row],[date_created]])</f>
        <v>26</v>
      </c>
      <c r="R817" s="5" t="b">
        <v>0</v>
      </c>
      <c r="S817" s="5" t="b">
        <v>0</v>
      </c>
      <c r="T817" s="5" t="s">
        <v>23</v>
      </c>
      <c r="U817" s="5" t="s">
        <v>2036</v>
      </c>
      <c r="V817" s="5" t="s">
        <v>2057</v>
      </c>
      <c r="W817" s="5"/>
    </row>
    <row r="818" spans="1:23" ht="17" x14ac:dyDescent="0.2">
      <c r="A818" s="5">
        <v>816</v>
      </c>
      <c r="B818" s="5" t="s">
        <v>1666</v>
      </c>
      <c r="C818" s="6" t="s">
        <v>1667</v>
      </c>
      <c r="D818" s="94">
        <v>2300</v>
      </c>
      <c r="E818" s="94">
        <v>14150</v>
      </c>
      <c r="F818" s="7">
        <f t="shared" si="51"/>
        <v>6.1521739130434785</v>
      </c>
      <c r="G818" s="5" t="s">
        <v>20</v>
      </c>
      <c r="H818" s="5">
        <v>133</v>
      </c>
      <c r="I818" s="96">
        <f t="shared" si="48"/>
        <v>106.39097744360902</v>
      </c>
      <c r="J818" s="5" t="s">
        <v>21</v>
      </c>
      <c r="K818" s="5" t="s">
        <v>22</v>
      </c>
      <c r="L818" s="5">
        <v>1392012000</v>
      </c>
      <c r="M818" s="5">
        <v>1392184800</v>
      </c>
      <c r="N818" s="8">
        <f t="shared" si="49"/>
        <v>41680.25</v>
      </c>
      <c r="O818" s="8">
        <f t="shared" si="50"/>
        <v>41682.25</v>
      </c>
      <c r="P818" s="21" t="str">
        <f>TEXT(CrowdfundingTable[[#This Row],[date_created]],"ddd")</f>
        <v>Mon</v>
      </c>
      <c r="Q818" s="21">
        <f>_xlfn.DAYS(CrowdfundingTable[[#This Row],[date_ended]],CrowdfundingTable[[#This Row],[date_created]])</f>
        <v>2</v>
      </c>
      <c r="R818" s="5" t="b">
        <v>1</v>
      </c>
      <c r="S818" s="5" t="b">
        <v>1</v>
      </c>
      <c r="T818" s="5" t="s">
        <v>33</v>
      </c>
      <c r="U818" s="5" t="s">
        <v>2040</v>
      </c>
      <c r="V818" s="5" t="s">
        <v>2055</v>
      </c>
      <c r="W818" s="5"/>
    </row>
    <row r="819" spans="1:23" ht="17" x14ac:dyDescent="0.2">
      <c r="A819" s="5">
        <v>817</v>
      </c>
      <c r="B819" s="5" t="s">
        <v>1668</v>
      </c>
      <c r="C819" s="6" t="s">
        <v>1669</v>
      </c>
      <c r="D819" s="94">
        <v>51300</v>
      </c>
      <c r="E819" s="94">
        <v>189192</v>
      </c>
      <c r="F819" s="7">
        <f t="shared" si="51"/>
        <v>3.687953216374269</v>
      </c>
      <c r="G819" s="5" t="s">
        <v>20</v>
      </c>
      <c r="H819" s="5">
        <v>2489</v>
      </c>
      <c r="I819" s="96">
        <f t="shared" si="48"/>
        <v>76.011249497790274</v>
      </c>
      <c r="J819" s="5" t="s">
        <v>107</v>
      </c>
      <c r="K819" s="5" t="s">
        <v>108</v>
      </c>
      <c r="L819" s="5">
        <v>1556946000</v>
      </c>
      <c r="M819" s="5">
        <v>1559365200</v>
      </c>
      <c r="N819" s="8">
        <f t="shared" si="49"/>
        <v>43589.208333333328</v>
      </c>
      <c r="O819" s="8">
        <f t="shared" si="50"/>
        <v>43617.208333333328</v>
      </c>
      <c r="P819" s="21" t="str">
        <f>TEXT(CrowdfundingTable[[#This Row],[date_created]],"ddd")</f>
        <v>Sat</v>
      </c>
      <c r="Q819" s="21">
        <f>_xlfn.DAYS(CrowdfundingTable[[#This Row],[date_ended]],CrowdfundingTable[[#This Row],[date_created]])</f>
        <v>28</v>
      </c>
      <c r="R819" s="5" t="b">
        <v>0</v>
      </c>
      <c r="S819" s="5" t="b">
        <v>1</v>
      </c>
      <c r="T819" s="5" t="s">
        <v>68</v>
      </c>
      <c r="U819" s="5" t="s">
        <v>2038</v>
      </c>
      <c r="V819" s="5" t="s">
        <v>2053</v>
      </c>
      <c r="W819" s="5"/>
    </row>
    <row r="820" spans="1:23" ht="17" x14ac:dyDescent="0.2">
      <c r="A820" s="5">
        <v>818</v>
      </c>
      <c r="B820" s="5" t="s">
        <v>676</v>
      </c>
      <c r="C820" s="6" t="s">
        <v>1670</v>
      </c>
      <c r="D820" s="94">
        <v>700</v>
      </c>
      <c r="E820" s="94">
        <v>7664</v>
      </c>
      <c r="F820" s="7">
        <f t="shared" si="51"/>
        <v>10.948571428571428</v>
      </c>
      <c r="G820" s="5" t="s">
        <v>20</v>
      </c>
      <c r="H820" s="5">
        <v>69</v>
      </c>
      <c r="I820" s="96">
        <f t="shared" si="48"/>
        <v>111.07246376811594</v>
      </c>
      <c r="J820" s="5" t="s">
        <v>21</v>
      </c>
      <c r="K820" s="5" t="s">
        <v>22</v>
      </c>
      <c r="L820" s="5">
        <v>1548050400</v>
      </c>
      <c r="M820" s="5">
        <v>1549173600</v>
      </c>
      <c r="N820" s="8">
        <f t="shared" si="49"/>
        <v>43486.25</v>
      </c>
      <c r="O820" s="8">
        <f t="shared" si="50"/>
        <v>43499.25</v>
      </c>
      <c r="P820" s="21" t="str">
        <f>TEXT(CrowdfundingTable[[#This Row],[date_created]],"ddd")</f>
        <v>Mon</v>
      </c>
      <c r="Q820" s="21">
        <f>_xlfn.DAYS(CrowdfundingTable[[#This Row],[date_ended]],CrowdfundingTable[[#This Row],[date_created]])</f>
        <v>13</v>
      </c>
      <c r="R820" s="5" t="b">
        <v>0</v>
      </c>
      <c r="S820" s="5" t="b">
        <v>1</v>
      </c>
      <c r="T820" s="5" t="s">
        <v>33</v>
      </c>
      <c r="U820" s="5" t="s">
        <v>2040</v>
      </c>
      <c r="V820" s="5" t="s">
        <v>2055</v>
      </c>
      <c r="W820" s="5"/>
    </row>
    <row r="821" spans="1:23" ht="17" x14ac:dyDescent="0.2">
      <c r="A821" s="5">
        <v>819</v>
      </c>
      <c r="B821" s="5" t="s">
        <v>1671</v>
      </c>
      <c r="C821" s="6" t="s">
        <v>1672</v>
      </c>
      <c r="D821" s="94">
        <v>8900</v>
      </c>
      <c r="E821" s="94">
        <v>4509</v>
      </c>
      <c r="F821" s="7">
        <f t="shared" si="51"/>
        <v>0.50662921348314605</v>
      </c>
      <c r="G821" s="5" t="s">
        <v>14</v>
      </c>
      <c r="H821" s="5">
        <v>47</v>
      </c>
      <c r="I821" s="96">
        <f t="shared" si="48"/>
        <v>95.936170212765958</v>
      </c>
      <c r="J821" s="5" t="s">
        <v>21</v>
      </c>
      <c r="K821" s="5" t="s">
        <v>22</v>
      </c>
      <c r="L821" s="5">
        <v>1353736800</v>
      </c>
      <c r="M821" s="5">
        <v>1355032800</v>
      </c>
      <c r="N821" s="8">
        <f t="shared" si="49"/>
        <v>41237.25</v>
      </c>
      <c r="O821" s="8">
        <f t="shared" si="50"/>
        <v>41252.25</v>
      </c>
      <c r="P821" s="21" t="str">
        <f>TEXT(CrowdfundingTable[[#This Row],[date_created]],"ddd")</f>
        <v>Sat</v>
      </c>
      <c r="Q821" s="21">
        <f>_xlfn.DAYS(CrowdfundingTable[[#This Row],[date_ended]],CrowdfundingTable[[#This Row],[date_created]])</f>
        <v>15</v>
      </c>
      <c r="R821" s="5" t="b">
        <v>1</v>
      </c>
      <c r="S821" s="5" t="b">
        <v>0</v>
      </c>
      <c r="T821" s="5" t="s">
        <v>89</v>
      </c>
      <c r="U821" s="5" t="s">
        <v>2034</v>
      </c>
      <c r="V821" s="5" t="s">
        <v>2062</v>
      </c>
      <c r="W821" s="5"/>
    </row>
    <row r="822" spans="1:23" ht="17" x14ac:dyDescent="0.2">
      <c r="A822" s="5">
        <v>820</v>
      </c>
      <c r="B822" s="5" t="s">
        <v>1673</v>
      </c>
      <c r="C822" s="6" t="s">
        <v>1674</v>
      </c>
      <c r="D822" s="94">
        <v>1500</v>
      </c>
      <c r="E822" s="94">
        <v>12009</v>
      </c>
      <c r="F822" s="7">
        <f t="shared" si="51"/>
        <v>8.0060000000000002</v>
      </c>
      <c r="G822" s="5" t="s">
        <v>20</v>
      </c>
      <c r="H822" s="5">
        <v>279</v>
      </c>
      <c r="I822" s="96">
        <f t="shared" si="48"/>
        <v>43.043010752688176</v>
      </c>
      <c r="J822" s="5" t="s">
        <v>40</v>
      </c>
      <c r="K822" s="5" t="s">
        <v>41</v>
      </c>
      <c r="L822" s="5">
        <v>1532840400</v>
      </c>
      <c r="M822" s="5">
        <v>1533963600</v>
      </c>
      <c r="N822" s="8">
        <f t="shared" si="49"/>
        <v>43310.208333333328</v>
      </c>
      <c r="O822" s="8">
        <f t="shared" si="50"/>
        <v>43323.208333333328</v>
      </c>
      <c r="P822" s="21" t="str">
        <f>TEXT(CrowdfundingTable[[#This Row],[date_created]],"ddd")</f>
        <v>Sun</v>
      </c>
      <c r="Q822" s="21">
        <f>_xlfn.DAYS(CrowdfundingTable[[#This Row],[date_ended]],CrowdfundingTable[[#This Row],[date_created]])</f>
        <v>13</v>
      </c>
      <c r="R822" s="5" t="b">
        <v>0</v>
      </c>
      <c r="S822" s="5" t="b">
        <v>1</v>
      </c>
      <c r="T822" s="5" t="s">
        <v>23</v>
      </c>
      <c r="U822" s="5" t="s">
        <v>2036</v>
      </c>
      <c r="V822" s="5" t="s">
        <v>2057</v>
      </c>
      <c r="W822" s="5"/>
    </row>
    <row r="823" spans="1:23" ht="17" x14ac:dyDescent="0.2">
      <c r="A823" s="5">
        <v>821</v>
      </c>
      <c r="B823" s="5" t="s">
        <v>1675</v>
      </c>
      <c r="C823" s="6" t="s">
        <v>1676</v>
      </c>
      <c r="D823" s="94">
        <v>4900</v>
      </c>
      <c r="E823" s="94">
        <v>14273</v>
      </c>
      <c r="F823" s="7">
        <f t="shared" si="51"/>
        <v>2.9128571428571428</v>
      </c>
      <c r="G823" s="5" t="s">
        <v>20</v>
      </c>
      <c r="H823" s="5">
        <v>210</v>
      </c>
      <c r="I823" s="96">
        <f t="shared" si="48"/>
        <v>67.966666666666669</v>
      </c>
      <c r="J823" s="5" t="s">
        <v>21</v>
      </c>
      <c r="K823" s="5" t="s">
        <v>22</v>
      </c>
      <c r="L823" s="5">
        <v>1488261600</v>
      </c>
      <c r="M823" s="5">
        <v>1489381200</v>
      </c>
      <c r="N823" s="8">
        <f t="shared" si="49"/>
        <v>42794.25</v>
      </c>
      <c r="O823" s="8">
        <f t="shared" si="50"/>
        <v>42807.208333333328</v>
      </c>
      <c r="P823" s="21" t="str">
        <f>TEXT(CrowdfundingTable[[#This Row],[date_created]],"ddd")</f>
        <v>Tue</v>
      </c>
      <c r="Q823" s="21">
        <f>_xlfn.DAYS(CrowdfundingTable[[#This Row],[date_ended]],CrowdfundingTable[[#This Row],[date_created]])</f>
        <v>13</v>
      </c>
      <c r="R823" s="5" t="b">
        <v>0</v>
      </c>
      <c r="S823" s="5" t="b">
        <v>0</v>
      </c>
      <c r="T823" s="5" t="s">
        <v>42</v>
      </c>
      <c r="U823" s="5" t="s">
        <v>2032</v>
      </c>
      <c r="V823" s="5" t="s">
        <v>2044</v>
      </c>
      <c r="W823" s="5"/>
    </row>
    <row r="824" spans="1:23" ht="17" x14ac:dyDescent="0.2">
      <c r="A824" s="5">
        <v>822</v>
      </c>
      <c r="B824" s="5" t="s">
        <v>1677</v>
      </c>
      <c r="C824" s="6" t="s">
        <v>1678</v>
      </c>
      <c r="D824" s="94">
        <v>54000</v>
      </c>
      <c r="E824" s="94">
        <v>188982</v>
      </c>
      <c r="F824" s="7">
        <f t="shared" si="51"/>
        <v>3.4996666666666667</v>
      </c>
      <c r="G824" s="5" t="s">
        <v>20</v>
      </c>
      <c r="H824" s="5">
        <v>2100</v>
      </c>
      <c r="I824" s="96">
        <f t="shared" si="48"/>
        <v>89.991428571428571</v>
      </c>
      <c r="J824" s="5" t="s">
        <v>21</v>
      </c>
      <c r="K824" s="5" t="s">
        <v>22</v>
      </c>
      <c r="L824" s="5">
        <v>1393567200</v>
      </c>
      <c r="M824" s="5">
        <v>1395032400</v>
      </c>
      <c r="N824" s="8">
        <f t="shared" si="49"/>
        <v>41698.25</v>
      </c>
      <c r="O824" s="8">
        <f t="shared" si="50"/>
        <v>41715.208333333336</v>
      </c>
      <c r="P824" s="21" t="str">
        <f>TEXT(CrowdfundingTable[[#This Row],[date_created]],"ddd")</f>
        <v>Fri</v>
      </c>
      <c r="Q824" s="21">
        <f>_xlfn.DAYS(CrowdfundingTable[[#This Row],[date_ended]],CrowdfundingTable[[#This Row],[date_created]])</f>
        <v>17</v>
      </c>
      <c r="R824" s="5" t="b">
        <v>0</v>
      </c>
      <c r="S824" s="5" t="b">
        <v>0</v>
      </c>
      <c r="T824" s="5" t="s">
        <v>23</v>
      </c>
      <c r="U824" s="5" t="s">
        <v>2036</v>
      </c>
      <c r="V824" s="5" t="s">
        <v>2057</v>
      </c>
      <c r="W824" s="5"/>
    </row>
    <row r="825" spans="1:23" ht="17" x14ac:dyDescent="0.2">
      <c r="A825" s="5">
        <v>823</v>
      </c>
      <c r="B825" s="5" t="s">
        <v>1679</v>
      </c>
      <c r="C825" s="6" t="s">
        <v>1680</v>
      </c>
      <c r="D825" s="94">
        <v>4100</v>
      </c>
      <c r="E825" s="94">
        <v>14640</v>
      </c>
      <c r="F825" s="7">
        <f t="shared" si="51"/>
        <v>3.5707317073170732</v>
      </c>
      <c r="G825" s="5" t="s">
        <v>20</v>
      </c>
      <c r="H825" s="5">
        <v>252</v>
      </c>
      <c r="I825" s="96">
        <f t="shared" si="48"/>
        <v>58.095238095238095</v>
      </c>
      <c r="J825" s="5" t="s">
        <v>21</v>
      </c>
      <c r="K825" s="5" t="s">
        <v>22</v>
      </c>
      <c r="L825" s="5">
        <v>1410325200</v>
      </c>
      <c r="M825" s="5">
        <v>1412485200</v>
      </c>
      <c r="N825" s="8">
        <f t="shared" si="49"/>
        <v>41892.208333333336</v>
      </c>
      <c r="O825" s="8">
        <f t="shared" si="50"/>
        <v>41917.208333333336</v>
      </c>
      <c r="P825" s="21" t="str">
        <f>TEXT(CrowdfundingTable[[#This Row],[date_created]],"ddd")</f>
        <v>Wed</v>
      </c>
      <c r="Q825" s="21">
        <f>_xlfn.DAYS(CrowdfundingTable[[#This Row],[date_ended]],CrowdfundingTable[[#This Row],[date_created]])</f>
        <v>25</v>
      </c>
      <c r="R825" s="5" t="b">
        <v>1</v>
      </c>
      <c r="S825" s="5" t="b">
        <v>1</v>
      </c>
      <c r="T825" s="5" t="s">
        <v>23</v>
      </c>
      <c r="U825" s="5" t="s">
        <v>2036</v>
      </c>
      <c r="V825" s="5" t="s">
        <v>2057</v>
      </c>
      <c r="W825" s="5"/>
    </row>
    <row r="826" spans="1:23" ht="17" x14ac:dyDescent="0.2">
      <c r="A826" s="5">
        <v>824</v>
      </c>
      <c r="B826" s="5" t="s">
        <v>1681</v>
      </c>
      <c r="C826" s="6" t="s">
        <v>1682</v>
      </c>
      <c r="D826" s="94">
        <v>85000</v>
      </c>
      <c r="E826" s="94">
        <v>107516</v>
      </c>
      <c r="F826" s="7">
        <f t="shared" si="51"/>
        <v>1.2648941176470587</v>
      </c>
      <c r="G826" s="5" t="s">
        <v>20</v>
      </c>
      <c r="H826" s="5">
        <v>1280</v>
      </c>
      <c r="I826" s="96">
        <f t="shared" si="48"/>
        <v>83.996875000000003</v>
      </c>
      <c r="J826" s="5" t="s">
        <v>21</v>
      </c>
      <c r="K826" s="5" t="s">
        <v>22</v>
      </c>
      <c r="L826" s="5">
        <v>1276923600</v>
      </c>
      <c r="M826" s="5">
        <v>1279688400</v>
      </c>
      <c r="N826" s="8">
        <f t="shared" si="49"/>
        <v>40348.208333333336</v>
      </c>
      <c r="O826" s="8">
        <f t="shared" si="50"/>
        <v>40380.208333333336</v>
      </c>
      <c r="P826" s="21" t="str">
        <f>TEXT(CrowdfundingTable[[#This Row],[date_created]],"ddd")</f>
        <v>Sat</v>
      </c>
      <c r="Q826" s="21">
        <f>_xlfn.DAYS(CrowdfundingTable[[#This Row],[date_ended]],CrowdfundingTable[[#This Row],[date_created]])</f>
        <v>32</v>
      </c>
      <c r="R826" s="5" t="b">
        <v>0</v>
      </c>
      <c r="S826" s="5" t="b">
        <v>1</v>
      </c>
      <c r="T826" s="5" t="s">
        <v>68</v>
      </c>
      <c r="U826" s="5" t="s">
        <v>2038</v>
      </c>
      <c r="V826" s="5" t="s">
        <v>2053</v>
      </c>
      <c r="W826" s="5"/>
    </row>
    <row r="827" spans="1:23" ht="17" x14ac:dyDescent="0.2">
      <c r="A827" s="5">
        <v>825</v>
      </c>
      <c r="B827" s="5" t="s">
        <v>1683</v>
      </c>
      <c r="C827" s="6" t="s">
        <v>1684</v>
      </c>
      <c r="D827" s="94">
        <v>3600</v>
      </c>
      <c r="E827" s="94">
        <v>13950</v>
      </c>
      <c r="F827" s="7">
        <f t="shared" si="51"/>
        <v>3.875</v>
      </c>
      <c r="G827" s="5" t="s">
        <v>20</v>
      </c>
      <c r="H827" s="5">
        <v>157</v>
      </c>
      <c r="I827" s="96">
        <f t="shared" si="48"/>
        <v>88.853503184713375</v>
      </c>
      <c r="J827" s="5" t="s">
        <v>40</v>
      </c>
      <c r="K827" s="5" t="s">
        <v>41</v>
      </c>
      <c r="L827" s="5">
        <v>1500958800</v>
      </c>
      <c r="M827" s="5">
        <v>1501995600</v>
      </c>
      <c r="N827" s="8">
        <f t="shared" si="49"/>
        <v>42941.208333333328</v>
      </c>
      <c r="O827" s="8">
        <f t="shared" si="50"/>
        <v>42953.208333333328</v>
      </c>
      <c r="P827" s="21" t="str">
        <f>TEXT(CrowdfundingTable[[#This Row],[date_created]],"ddd")</f>
        <v>Tue</v>
      </c>
      <c r="Q827" s="21">
        <f>_xlfn.DAYS(CrowdfundingTable[[#This Row],[date_ended]],CrowdfundingTable[[#This Row],[date_created]])</f>
        <v>12</v>
      </c>
      <c r="R827" s="5" t="b">
        <v>0</v>
      </c>
      <c r="S827" s="5" t="b">
        <v>0</v>
      </c>
      <c r="T827" s="5" t="s">
        <v>100</v>
      </c>
      <c r="U827" s="5" t="s">
        <v>2032</v>
      </c>
      <c r="V827" s="5" t="s">
        <v>2059</v>
      </c>
      <c r="W827" s="5"/>
    </row>
    <row r="828" spans="1:23" ht="34" x14ac:dyDescent="0.2">
      <c r="A828" s="5">
        <v>826</v>
      </c>
      <c r="B828" s="5" t="s">
        <v>1685</v>
      </c>
      <c r="C828" s="6" t="s">
        <v>1686</v>
      </c>
      <c r="D828" s="94">
        <v>2800</v>
      </c>
      <c r="E828" s="94">
        <v>12797</v>
      </c>
      <c r="F828" s="7">
        <f t="shared" si="51"/>
        <v>4.5703571428571426</v>
      </c>
      <c r="G828" s="5" t="s">
        <v>20</v>
      </c>
      <c r="H828" s="5">
        <v>194</v>
      </c>
      <c r="I828" s="96">
        <f t="shared" si="48"/>
        <v>65.963917525773198</v>
      </c>
      <c r="J828" s="5" t="s">
        <v>21</v>
      </c>
      <c r="K828" s="5" t="s">
        <v>22</v>
      </c>
      <c r="L828" s="5">
        <v>1292220000</v>
      </c>
      <c r="M828" s="5">
        <v>1294639200</v>
      </c>
      <c r="N828" s="8">
        <f t="shared" si="49"/>
        <v>40525.25</v>
      </c>
      <c r="O828" s="8">
        <f t="shared" si="50"/>
        <v>40553.25</v>
      </c>
      <c r="P828" s="21" t="str">
        <f>TEXT(CrowdfundingTable[[#This Row],[date_created]],"ddd")</f>
        <v>Mon</v>
      </c>
      <c r="Q828" s="21">
        <f>_xlfn.DAYS(CrowdfundingTable[[#This Row],[date_ended]],CrowdfundingTable[[#This Row],[date_created]])</f>
        <v>28</v>
      </c>
      <c r="R828" s="5" t="b">
        <v>0</v>
      </c>
      <c r="S828" s="5" t="b">
        <v>1</v>
      </c>
      <c r="T828" s="5" t="s">
        <v>33</v>
      </c>
      <c r="U828" s="5" t="s">
        <v>2040</v>
      </c>
      <c r="V828" s="5" t="s">
        <v>2055</v>
      </c>
      <c r="W828" s="5"/>
    </row>
    <row r="829" spans="1:23" ht="17" x14ac:dyDescent="0.2">
      <c r="A829" s="5">
        <v>827</v>
      </c>
      <c r="B829" s="5" t="s">
        <v>1687</v>
      </c>
      <c r="C829" s="6" t="s">
        <v>1688</v>
      </c>
      <c r="D829" s="94">
        <v>2300</v>
      </c>
      <c r="E829" s="94">
        <v>6134</v>
      </c>
      <c r="F829" s="7">
        <f t="shared" si="51"/>
        <v>2.6669565217391304</v>
      </c>
      <c r="G829" s="5" t="s">
        <v>20</v>
      </c>
      <c r="H829" s="5">
        <v>82</v>
      </c>
      <c r="I829" s="96">
        <f t="shared" si="48"/>
        <v>74.804878048780495</v>
      </c>
      <c r="J829" s="5" t="s">
        <v>26</v>
      </c>
      <c r="K829" s="5" t="s">
        <v>27</v>
      </c>
      <c r="L829" s="5">
        <v>1304398800</v>
      </c>
      <c r="M829" s="5">
        <v>1305435600</v>
      </c>
      <c r="N829" s="8">
        <f t="shared" si="49"/>
        <v>40666.208333333336</v>
      </c>
      <c r="O829" s="8">
        <f t="shared" si="50"/>
        <v>40678.208333333336</v>
      </c>
      <c r="P829" s="21" t="str">
        <f>TEXT(CrowdfundingTable[[#This Row],[date_created]],"ddd")</f>
        <v>Tue</v>
      </c>
      <c r="Q829" s="21">
        <f>_xlfn.DAYS(CrowdfundingTable[[#This Row],[date_ended]],CrowdfundingTable[[#This Row],[date_created]])</f>
        <v>12</v>
      </c>
      <c r="R829" s="5" t="b">
        <v>0</v>
      </c>
      <c r="S829" s="5" t="b">
        <v>1</v>
      </c>
      <c r="T829" s="5" t="s">
        <v>53</v>
      </c>
      <c r="U829" s="5" t="s">
        <v>2032</v>
      </c>
      <c r="V829" s="5" t="s">
        <v>2045</v>
      </c>
      <c r="W829" s="5"/>
    </row>
    <row r="830" spans="1:23" ht="34" x14ac:dyDescent="0.2">
      <c r="A830" s="5">
        <v>828</v>
      </c>
      <c r="B830" s="5" t="s">
        <v>1689</v>
      </c>
      <c r="C830" s="6" t="s">
        <v>1690</v>
      </c>
      <c r="D830" s="94">
        <v>7100</v>
      </c>
      <c r="E830" s="94">
        <v>4899</v>
      </c>
      <c r="F830" s="7">
        <f t="shared" si="51"/>
        <v>0.69</v>
      </c>
      <c r="G830" s="5" t="s">
        <v>14</v>
      </c>
      <c r="H830" s="5">
        <v>70</v>
      </c>
      <c r="I830" s="96">
        <f t="shared" si="48"/>
        <v>69.98571428571428</v>
      </c>
      <c r="J830" s="5" t="s">
        <v>21</v>
      </c>
      <c r="K830" s="5" t="s">
        <v>22</v>
      </c>
      <c r="L830" s="5">
        <v>1535432400</v>
      </c>
      <c r="M830" s="5">
        <v>1537592400</v>
      </c>
      <c r="N830" s="8">
        <f t="shared" si="49"/>
        <v>43340.208333333328</v>
      </c>
      <c r="O830" s="8">
        <f t="shared" si="50"/>
        <v>43365.208333333328</v>
      </c>
      <c r="P830" s="21" t="str">
        <f>TEXT(CrowdfundingTable[[#This Row],[date_created]],"ddd")</f>
        <v>Tue</v>
      </c>
      <c r="Q830" s="21">
        <f>_xlfn.DAYS(CrowdfundingTable[[#This Row],[date_ended]],CrowdfundingTable[[#This Row],[date_created]])</f>
        <v>25</v>
      </c>
      <c r="R830" s="5" t="b">
        <v>0</v>
      </c>
      <c r="S830" s="5" t="b">
        <v>0</v>
      </c>
      <c r="T830" s="5" t="s">
        <v>33</v>
      </c>
      <c r="U830" s="5" t="s">
        <v>2040</v>
      </c>
      <c r="V830" s="5" t="s">
        <v>2055</v>
      </c>
      <c r="W830" s="5"/>
    </row>
    <row r="831" spans="1:23" ht="17" x14ac:dyDescent="0.2">
      <c r="A831" s="5">
        <v>829</v>
      </c>
      <c r="B831" s="5" t="s">
        <v>1691</v>
      </c>
      <c r="C831" s="6" t="s">
        <v>1692</v>
      </c>
      <c r="D831" s="94">
        <v>9600</v>
      </c>
      <c r="E831" s="94">
        <v>4929</v>
      </c>
      <c r="F831" s="7">
        <f t="shared" si="51"/>
        <v>0.51343749999999999</v>
      </c>
      <c r="G831" s="5" t="s">
        <v>14</v>
      </c>
      <c r="H831" s="5">
        <v>154</v>
      </c>
      <c r="I831" s="96">
        <f t="shared" si="48"/>
        <v>32.006493506493506</v>
      </c>
      <c r="J831" s="5" t="s">
        <v>21</v>
      </c>
      <c r="K831" s="5" t="s">
        <v>22</v>
      </c>
      <c r="L831" s="5">
        <v>1433826000</v>
      </c>
      <c r="M831" s="5">
        <v>1435122000</v>
      </c>
      <c r="N831" s="8">
        <f t="shared" si="49"/>
        <v>42164.208333333328</v>
      </c>
      <c r="O831" s="8">
        <f t="shared" si="50"/>
        <v>42179.208333333328</v>
      </c>
      <c r="P831" s="21" t="str">
        <f>TEXT(CrowdfundingTable[[#This Row],[date_created]],"ddd")</f>
        <v>Tue</v>
      </c>
      <c r="Q831" s="21">
        <f>_xlfn.DAYS(CrowdfundingTable[[#This Row],[date_ended]],CrowdfundingTable[[#This Row],[date_created]])</f>
        <v>15</v>
      </c>
      <c r="R831" s="5" t="b">
        <v>0</v>
      </c>
      <c r="S831" s="5" t="b">
        <v>0</v>
      </c>
      <c r="T831" s="5" t="s">
        <v>33</v>
      </c>
      <c r="U831" s="5" t="s">
        <v>2040</v>
      </c>
      <c r="V831" s="5" t="s">
        <v>2055</v>
      </c>
      <c r="W831" s="5"/>
    </row>
    <row r="832" spans="1:23" ht="34" x14ac:dyDescent="0.2">
      <c r="A832" s="5">
        <v>830</v>
      </c>
      <c r="B832" s="5" t="s">
        <v>1693</v>
      </c>
      <c r="C832" s="6" t="s">
        <v>1694</v>
      </c>
      <c r="D832" s="94">
        <v>121600</v>
      </c>
      <c r="E832" s="94">
        <v>1424</v>
      </c>
      <c r="F832" s="7">
        <f t="shared" si="51"/>
        <v>1.1710526315789473E-2</v>
      </c>
      <c r="G832" s="5" t="s">
        <v>14</v>
      </c>
      <c r="H832" s="5">
        <v>22</v>
      </c>
      <c r="I832" s="96">
        <f t="shared" si="48"/>
        <v>64.727272727272734</v>
      </c>
      <c r="J832" s="5" t="s">
        <v>21</v>
      </c>
      <c r="K832" s="5" t="s">
        <v>22</v>
      </c>
      <c r="L832" s="5">
        <v>1514959200</v>
      </c>
      <c r="M832" s="5">
        <v>1520056800</v>
      </c>
      <c r="N832" s="8">
        <f t="shared" si="49"/>
        <v>43103.25</v>
      </c>
      <c r="O832" s="8">
        <f t="shared" si="50"/>
        <v>43162.25</v>
      </c>
      <c r="P832" s="21" t="str">
        <f>TEXT(CrowdfundingTable[[#This Row],[date_created]],"ddd")</f>
        <v>Wed</v>
      </c>
      <c r="Q832" s="21">
        <f>_xlfn.DAYS(CrowdfundingTable[[#This Row],[date_ended]],CrowdfundingTable[[#This Row],[date_created]])</f>
        <v>59</v>
      </c>
      <c r="R832" s="5" t="b">
        <v>0</v>
      </c>
      <c r="S832" s="5" t="b">
        <v>0</v>
      </c>
      <c r="T832" s="5" t="s">
        <v>33</v>
      </c>
      <c r="U832" s="5" t="s">
        <v>2040</v>
      </c>
      <c r="V832" s="5" t="s">
        <v>2055</v>
      </c>
      <c r="W832" s="5"/>
    </row>
    <row r="833" spans="1:23" ht="17" x14ac:dyDescent="0.2">
      <c r="A833" s="5">
        <v>831</v>
      </c>
      <c r="B833" s="5" t="s">
        <v>1695</v>
      </c>
      <c r="C833" s="6" t="s">
        <v>1696</v>
      </c>
      <c r="D833" s="94">
        <v>97100</v>
      </c>
      <c r="E833" s="94">
        <v>105817</v>
      </c>
      <c r="F833" s="7">
        <f t="shared" si="51"/>
        <v>1.089773429454171</v>
      </c>
      <c r="G833" s="5" t="s">
        <v>20</v>
      </c>
      <c r="H833" s="5">
        <v>4233</v>
      </c>
      <c r="I833" s="96">
        <f t="shared" si="48"/>
        <v>24.998110087408456</v>
      </c>
      <c r="J833" s="5" t="s">
        <v>21</v>
      </c>
      <c r="K833" s="5" t="s">
        <v>22</v>
      </c>
      <c r="L833" s="5">
        <v>1332738000</v>
      </c>
      <c r="M833" s="5">
        <v>1335675600</v>
      </c>
      <c r="N833" s="8">
        <f t="shared" si="49"/>
        <v>40994.208333333336</v>
      </c>
      <c r="O833" s="8">
        <f t="shared" si="50"/>
        <v>41028.208333333336</v>
      </c>
      <c r="P833" s="21" t="str">
        <f>TEXT(CrowdfundingTable[[#This Row],[date_created]],"ddd")</f>
        <v>Mon</v>
      </c>
      <c r="Q833" s="21">
        <f>_xlfn.DAYS(CrowdfundingTable[[#This Row],[date_ended]],CrowdfundingTable[[#This Row],[date_created]])</f>
        <v>34</v>
      </c>
      <c r="R833" s="5" t="b">
        <v>0</v>
      </c>
      <c r="S833" s="5" t="b">
        <v>0</v>
      </c>
      <c r="T833" s="5" t="s">
        <v>122</v>
      </c>
      <c r="U833" s="5" t="s">
        <v>2037</v>
      </c>
      <c r="V833" s="5" t="s">
        <v>2054</v>
      </c>
      <c r="W833" s="5"/>
    </row>
    <row r="834" spans="1:23" ht="17" x14ac:dyDescent="0.2">
      <c r="A834" s="5">
        <v>832</v>
      </c>
      <c r="B834" s="5" t="s">
        <v>1697</v>
      </c>
      <c r="C834" s="6" t="s">
        <v>1698</v>
      </c>
      <c r="D834" s="94">
        <v>43200</v>
      </c>
      <c r="E834" s="94">
        <v>136156</v>
      </c>
      <c r="F834" s="7">
        <f t="shared" si="51"/>
        <v>3.1517592592592591</v>
      </c>
      <c r="G834" s="5" t="s">
        <v>20</v>
      </c>
      <c r="H834" s="5">
        <v>1297</v>
      </c>
      <c r="I834" s="96">
        <f t="shared" ref="I834:I897" si="52">IF(H834&lt;&gt;0,E834/H834,0)</f>
        <v>104.97764070932922</v>
      </c>
      <c r="J834" s="5" t="s">
        <v>36</v>
      </c>
      <c r="K834" s="5" t="s">
        <v>37</v>
      </c>
      <c r="L834" s="5">
        <v>1445490000</v>
      </c>
      <c r="M834" s="5">
        <v>1448431200</v>
      </c>
      <c r="N834" s="8">
        <f t="shared" si="49"/>
        <v>42299.208333333328</v>
      </c>
      <c r="O834" s="8">
        <f t="shared" si="50"/>
        <v>42333.25</v>
      </c>
      <c r="P834" s="21" t="str">
        <f>TEXT(CrowdfundingTable[[#This Row],[date_created]],"ddd")</f>
        <v>Thu</v>
      </c>
      <c r="Q834" s="21">
        <f>_xlfn.DAYS(CrowdfundingTable[[#This Row],[date_ended]],CrowdfundingTable[[#This Row],[date_created]])</f>
        <v>34</v>
      </c>
      <c r="R834" s="5" t="b">
        <v>1</v>
      </c>
      <c r="S834" s="5" t="b">
        <v>0</v>
      </c>
      <c r="T834" s="5" t="s">
        <v>206</v>
      </c>
      <c r="U834" s="5" t="s">
        <v>2038</v>
      </c>
      <c r="V834" s="5" t="s">
        <v>2061</v>
      </c>
      <c r="W834" s="5"/>
    </row>
    <row r="835" spans="1:23" ht="17" x14ac:dyDescent="0.2">
      <c r="A835" s="5">
        <v>833</v>
      </c>
      <c r="B835" s="5" t="s">
        <v>1699</v>
      </c>
      <c r="C835" s="6" t="s">
        <v>1700</v>
      </c>
      <c r="D835" s="94">
        <v>6800</v>
      </c>
      <c r="E835" s="94">
        <v>10723</v>
      </c>
      <c r="F835" s="7">
        <f t="shared" si="51"/>
        <v>1.5769117647058823</v>
      </c>
      <c r="G835" s="5" t="s">
        <v>20</v>
      </c>
      <c r="H835" s="5">
        <v>165</v>
      </c>
      <c r="I835" s="96">
        <f t="shared" si="52"/>
        <v>64.987878787878785</v>
      </c>
      <c r="J835" s="5" t="s">
        <v>36</v>
      </c>
      <c r="K835" s="5" t="s">
        <v>37</v>
      </c>
      <c r="L835" s="5">
        <v>1297663200</v>
      </c>
      <c r="M835" s="5">
        <v>1298613600</v>
      </c>
      <c r="N835" s="8">
        <f t="shared" ref="N835:N898" si="53">(((L835/60)/60)/24)+DATE(1970,1,1)</f>
        <v>40588.25</v>
      </c>
      <c r="O835" s="8">
        <f t="shared" ref="O835:O898" si="54">(((M835/60)/60)/24)+DATE(1970,1,1)</f>
        <v>40599.25</v>
      </c>
      <c r="P835" s="21" t="str">
        <f>TEXT(CrowdfundingTable[[#This Row],[date_created]],"ddd")</f>
        <v>Mon</v>
      </c>
      <c r="Q835" s="21">
        <f>_xlfn.DAYS(CrowdfundingTable[[#This Row],[date_ended]],CrowdfundingTable[[#This Row],[date_created]])</f>
        <v>11</v>
      </c>
      <c r="R835" s="5" t="b">
        <v>0</v>
      </c>
      <c r="S835" s="5" t="b">
        <v>0</v>
      </c>
      <c r="T835" s="5" t="s">
        <v>206</v>
      </c>
      <c r="U835" s="5" t="s">
        <v>2038</v>
      </c>
      <c r="V835" s="5" t="s">
        <v>2061</v>
      </c>
      <c r="W835" s="5"/>
    </row>
    <row r="836" spans="1:23" ht="17" x14ac:dyDescent="0.2">
      <c r="A836" s="5">
        <v>834</v>
      </c>
      <c r="B836" s="5" t="s">
        <v>1701</v>
      </c>
      <c r="C836" s="6" t="s">
        <v>1702</v>
      </c>
      <c r="D836" s="94">
        <v>7300</v>
      </c>
      <c r="E836" s="94">
        <v>11228</v>
      </c>
      <c r="F836" s="7">
        <f t="shared" ref="F836:F899" si="55">E836/D836</f>
        <v>1.5380821917808218</v>
      </c>
      <c r="G836" s="5" t="s">
        <v>20</v>
      </c>
      <c r="H836" s="5">
        <v>119</v>
      </c>
      <c r="I836" s="96">
        <f t="shared" si="52"/>
        <v>94.352941176470594</v>
      </c>
      <c r="J836" s="5" t="s">
        <v>21</v>
      </c>
      <c r="K836" s="5" t="s">
        <v>22</v>
      </c>
      <c r="L836" s="5">
        <v>1371963600</v>
      </c>
      <c r="M836" s="5">
        <v>1372482000</v>
      </c>
      <c r="N836" s="8">
        <f t="shared" si="53"/>
        <v>41448.208333333336</v>
      </c>
      <c r="O836" s="8">
        <f t="shared" si="54"/>
        <v>41454.208333333336</v>
      </c>
      <c r="P836" s="21" t="str">
        <f>TEXT(CrowdfundingTable[[#This Row],[date_created]],"ddd")</f>
        <v>Sun</v>
      </c>
      <c r="Q836" s="21">
        <f>_xlfn.DAYS(CrowdfundingTable[[#This Row],[date_ended]],CrowdfundingTable[[#This Row],[date_created]])</f>
        <v>6</v>
      </c>
      <c r="R836" s="5" t="b">
        <v>0</v>
      </c>
      <c r="S836" s="5" t="b">
        <v>0</v>
      </c>
      <c r="T836" s="5" t="s">
        <v>33</v>
      </c>
      <c r="U836" s="5" t="s">
        <v>2040</v>
      </c>
      <c r="V836" s="5" t="s">
        <v>2055</v>
      </c>
      <c r="W836" s="5"/>
    </row>
    <row r="837" spans="1:23" ht="17" x14ac:dyDescent="0.2">
      <c r="A837" s="5">
        <v>835</v>
      </c>
      <c r="B837" s="5" t="s">
        <v>1703</v>
      </c>
      <c r="C837" s="6" t="s">
        <v>1704</v>
      </c>
      <c r="D837" s="94">
        <v>86200</v>
      </c>
      <c r="E837" s="94">
        <v>77355</v>
      </c>
      <c r="F837" s="7">
        <f t="shared" si="55"/>
        <v>0.89738979118329465</v>
      </c>
      <c r="G837" s="5" t="s">
        <v>14</v>
      </c>
      <c r="H837" s="5">
        <v>1758</v>
      </c>
      <c r="I837" s="96">
        <f t="shared" si="52"/>
        <v>44.001706484641637</v>
      </c>
      <c r="J837" s="5" t="s">
        <v>21</v>
      </c>
      <c r="K837" s="5" t="s">
        <v>22</v>
      </c>
      <c r="L837" s="5">
        <v>1425103200</v>
      </c>
      <c r="M837" s="5">
        <v>1425621600</v>
      </c>
      <c r="N837" s="8">
        <f t="shared" si="53"/>
        <v>42063.25</v>
      </c>
      <c r="O837" s="8">
        <f t="shared" si="54"/>
        <v>42069.25</v>
      </c>
      <c r="P837" s="21" t="str">
        <f>TEXT(CrowdfundingTable[[#This Row],[date_created]],"ddd")</f>
        <v>Sat</v>
      </c>
      <c r="Q837" s="21">
        <f>_xlfn.DAYS(CrowdfundingTable[[#This Row],[date_ended]],CrowdfundingTable[[#This Row],[date_created]])</f>
        <v>6</v>
      </c>
      <c r="R837" s="5" t="b">
        <v>0</v>
      </c>
      <c r="S837" s="5" t="b">
        <v>0</v>
      </c>
      <c r="T837" s="5" t="s">
        <v>28</v>
      </c>
      <c r="U837" s="5" t="s">
        <v>2039</v>
      </c>
      <c r="V837" s="5" t="s">
        <v>2064</v>
      </c>
      <c r="W837" s="5"/>
    </row>
    <row r="838" spans="1:23" ht="17" x14ac:dyDescent="0.2">
      <c r="A838" s="5">
        <v>836</v>
      </c>
      <c r="B838" s="5" t="s">
        <v>1705</v>
      </c>
      <c r="C838" s="6" t="s">
        <v>1706</v>
      </c>
      <c r="D838" s="94">
        <v>8100</v>
      </c>
      <c r="E838" s="94">
        <v>6086</v>
      </c>
      <c r="F838" s="7">
        <f t="shared" si="55"/>
        <v>0.75135802469135804</v>
      </c>
      <c r="G838" s="5" t="s">
        <v>14</v>
      </c>
      <c r="H838" s="5">
        <v>94</v>
      </c>
      <c r="I838" s="96">
        <f t="shared" si="52"/>
        <v>64.744680851063833</v>
      </c>
      <c r="J838" s="5" t="s">
        <v>21</v>
      </c>
      <c r="K838" s="5" t="s">
        <v>22</v>
      </c>
      <c r="L838" s="5">
        <v>1265349600</v>
      </c>
      <c r="M838" s="5">
        <v>1266300000</v>
      </c>
      <c r="N838" s="8">
        <f t="shared" si="53"/>
        <v>40214.25</v>
      </c>
      <c r="O838" s="8">
        <f t="shared" si="54"/>
        <v>40225.25</v>
      </c>
      <c r="P838" s="21" t="str">
        <f>TEXT(CrowdfundingTable[[#This Row],[date_created]],"ddd")</f>
        <v>Fri</v>
      </c>
      <c r="Q838" s="21">
        <f>_xlfn.DAYS(CrowdfundingTable[[#This Row],[date_ended]],CrowdfundingTable[[#This Row],[date_created]])</f>
        <v>11</v>
      </c>
      <c r="R838" s="5" t="b">
        <v>0</v>
      </c>
      <c r="S838" s="5" t="b">
        <v>0</v>
      </c>
      <c r="T838" s="5" t="s">
        <v>60</v>
      </c>
      <c r="U838" s="5" t="s">
        <v>2036</v>
      </c>
      <c r="V838" s="5" t="s">
        <v>2049</v>
      </c>
      <c r="W838" s="5"/>
    </row>
    <row r="839" spans="1:23" ht="17" x14ac:dyDescent="0.2">
      <c r="A839" s="5">
        <v>837</v>
      </c>
      <c r="B839" s="5" t="s">
        <v>1707</v>
      </c>
      <c r="C839" s="6" t="s">
        <v>1708</v>
      </c>
      <c r="D839" s="94">
        <v>17700</v>
      </c>
      <c r="E839" s="94">
        <v>150960</v>
      </c>
      <c r="F839" s="7">
        <f t="shared" si="55"/>
        <v>8.5288135593220336</v>
      </c>
      <c r="G839" s="5" t="s">
        <v>20</v>
      </c>
      <c r="H839" s="5">
        <v>1797</v>
      </c>
      <c r="I839" s="96">
        <f t="shared" si="52"/>
        <v>84.00667779632721</v>
      </c>
      <c r="J839" s="5" t="s">
        <v>21</v>
      </c>
      <c r="K839" s="5" t="s">
        <v>22</v>
      </c>
      <c r="L839" s="5">
        <v>1301202000</v>
      </c>
      <c r="M839" s="5">
        <v>1305867600</v>
      </c>
      <c r="N839" s="8">
        <f t="shared" si="53"/>
        <v>40629.208333333336</v>
      </c>
      <c r="O839" s="8">
        <f t="shared" si="54"/>
        <v>40683.208333333336</v>
      </c>
      <c r="P839" s="21" t="str">
        <f>TEXT(CrowdfundingTable[[#This Row],[date_created]],"ddd")</f>
        <v>Sun</v>
      </c>
      <c r="Q839" s="21">
        <f>_xlfn.DAYS(CrowdfundingTable[[#This Row],[date_ended]],CrowdfundingTable[[#This Row],[date_created]])</f>
        <v>54</v>
      </c>
      <c r="R839" s="5" t="b">
        <v>0</v>
      </c>
      <c r="S839" s="5" t="b">
        <v>0</v>
      </c>
      <c r="T839" s="5" t="s">
        <v>159</v>
      </c>
      <c r="U839" s="5" t="s">
        <v>2036</v>
      </c>
      <c r="V839" s="5" t="s">
        <v>2050</v>
      </c>
      <c r="W839" s="5"/>
    </row>
    <row r="840" spans="1:23" ht="17" x14ac:dyDescent="0.2">
      <c r="A840" s="5">
        <v>838</v>
      </c>
      <c r="B840" s="5" t="s">
        <v>1709</v>
      </c>
      <c r="C840" s="6" t="s">
        <v>1710</v>
      </c>
      <c r="D840" s="94">
        <v>6400</v>
      </c>
      <c r="E840" s="94">
        <v>8890</v>
      </c>
      <c r="F840" s="7">
        <f t="shared" si="55"/>
        <v>1.3890625000000001</v>
      </c>
      <c r="G840" s="5" t="s">
        <v>20</v>
      </c>
      <c r="H840" s="5">
        <v>261</v>
      </c>
      <c r="I840" s="96">
        <f t="shared" si="52"/>
        <v>34.061302681992338</v>
      </c>
      <c r="J840" s="5" t="s">
        <v>21</v>
      </c>
      <c r="K840" s="5" t="s">
        <v>22</v>
      </c>
      <c r="L840" s="5">
        <v>1538024400</v>
      </c>
      <c r="M840" s="5">
        <v>1538802000</v>
      </c>
      <c r="N840" s="8">
        <f t="shared" si="53"/>
        <v>43370.208333333328</v>
      </c>
      <c r="O840" s="8">
        <f t="shared" si="54"/>
        <v>43379.208333333328</v>
      </c>
      <c r="P840" s="21" t="str">
        <f>TEXT(CrowdfundingTable[[#This Row],[date_created]],"ddd")</f>
        <v>Thu</v>
      </c>
      <c r="Q840" s="21">
        <f>_xlfn.DAYS(CrowdfundingTable[[#This Row],[date_ended]],CrowdfundingTable[[#This Row],[date_created]])</f>
        <v>9</v>
      </c>
      <c r="R840" s="5" t="b">
        <v>0</v>
      </c>
      <c r="S840" s="5" t="b">
        <v>0</v>
      </c>
      <c r="T840" s="5" t="s">
        <v>33</v>
      </c>
      <c r="U840" s="5" t="s">
        <v>2040</v>
      </c>
      <c r="V840" s="5" t="s">
        <v>2055</v>
      </c>
      <c r="W840" s="5"/>
    </row>
    <row r="841" spans="1:23" ht="17" x14ac:dyDescent="0.2">
      <c r="A841" s="5">
        <v>839</v>
      </c>
      <c r="B841" s="5" t="s">
        <v>1711</v>
      </c>
      <c r="C841" s="6" t="s">
        <v>1712</v>
      </c>
      <c r="D841" s="94">
        <v>7700</v>
      </c>
      <c r="E841" s="94">
        <v>14644</v>
      </c>
      <c r="F841" s="7">
        <f t="shared" si="55"/>
        <v>1.9018181818181819</v>
      </c>
      <c r="G841" s="5" t="s">
        <v>20</v>
      </c>
      <c r="H841" s="5">
        <v>157</v>
      </c>
      <c r="I841" s="96">
        <f t="shared" si="52"/>
        <v>93.273885350318466</v>
      </c>
      <c r="J841" s="5" t="s">
        <v>21</v>
      </c>
      <c r="K841" s="5" t="s">
        <v>22</v>
      </c>
      <c r="L841" s="5">
        <v>1395032400</v>
      </c>
      <c r="M841" s="5">
        <v>1398920400</v>
      </c>
      <c r="N841" s="8">
        <f t="shared" si="53"/>
        <v>41715.208333333336</v>
      </c>
      <c r="O841" s="8">
        <f t="shared" si="54"/>
        <v>41760.208333333336</v>
      </c>
      <c r="P841" s="21" t="str">
        <f>TEXT(CrowdfundingTable[[#This Row],[date_created]],"ddd")</f>
        <v>Mon</v>
      </c>
      <c r="Q841" s="21">
        <f>_xlfn.DAYS(CrowdfundingTable[[#This Row],[date_ended]],CrowdfundingTable[[#This Row],[date_created]])</f>
        <v>45</v>
      </c>
      <c r="R841" s="5" t="b">
        <v>0</v>
      </c>
      <c r="S841" s="5" t="b">
        <v>1</v>
      </c>
      <c r="T841" s="5" t="s">
        <v>42</v>
      </c>
      <c r="U841" s="5" t="s">
        <v>2032</v>
      </c>
      <c r="V841" s="5" t="s">
        <v>2044</v>
      </c>
      <c r="W841" s="5"/>
    </row>
    <row r="842" spans="1:23" ht="17" x14ac:dyDescent="0.2">
      <c r="A842" s="5">
        <v>840</v>
      </c>
      <c r="B842" s="5" t="s">
        <v>1713</v>
      </c>
      <c r="C842" s="6" t="s">
        <v>1714</v>
      </c>
      <c r="D842" s="94">
        <v>116300</v>
      </c>
      <c r="E842" s="94">
        <v>116583</v>
      </c>
      <c r="F842" s="7">
        <f t="shared" si="55"/>
        <v>1.0024333619948409</v>
      </c>
      <c r="G842" s="5" t="s">
        <v>20</v>
      </c>
      <c r="H842" s="5">
        <v>3533</v>
      </c>
      <c r="I842" s="96">
        <f t="shared" si="52"/>
        <v>32.998301726577978</v>
      </c>
      <c r="J842" s="5" t="s">
        <v>21</v>
      </c>
      <c r="K842" s="5" t="s">
        <v>22</v>
      </c>
      <c r="L842" s="5">
        <v>1405486800</v>
      </c>
      <c r="M842" s="5">
        <v>1405659600</v>
      </c>
      <c r="N842" s="8">
        <f t="shared" si="53"/>
        <v>41836.208333333336</v>
      </c>
      <c r="O842" s="8">
        <f t="shared" si="54"/>
        <v>41838.208333333336</v>
      </c>
      <c r="P842" s="21" t="str">
        <f>TEXT(CrowdfundingTable[[#This Row],[date_created]],"ddd")</f>
        <v>Wed</v>
      </c>
      <c r="Q842" s="21">
        <f>_xlfn.DAYS(CrowdfundingTable[[#This Row],[date_ended]],CrowdfundingTable[[#This Row],[date_created]])</f>
        <v>2</v>
      </c>
      <c r="R842" s="5" t="b">
        <v>0</v>
      </c>
      <c r="S842" s="5" t="b">
        <v>1</v>
      </c>
      <c r="T842" s="5" t="s">
        <v>33</v>
      </c>
      <c r="U842" s="5" t="s">
        <v>2040</v>
      </c>
      <c r="V842" s="5" t="s">
        <v>2055</v>
      </c>
      <c r="W842" s="5"/>
    </row>
    <row r="843" spans="1:23" ht="17" x14ac:dyDescent="0.2">
      <c r="A843" s="5">
        <v>841</v>
      </c>
      <c r="B843" s="5" t="s">
        <v>1715</v>
      </c>
      <c r="C843" s="6" t="s">
        <v>1716</v>
      </c>
      <c r="D843" s="94">
        <v>9100</v>
      </c>
      <c r="E843" s="94">
        <v>12991</v>
      </c>
      <c r="F843" s="7">
        <f t="shared" si="55"/>
        <v>1.4275824175824177</v>
      </c>
      <c r="G843" s="5" t="s">
        <v>20</v>
      </c>
      <c r="H843" s="5">
        <v>155</v>
      </c>
      <c r="I843" s="96">
        <f t="shared" si="52"/>
        <v>83.812903225806451</v>
      </c>
      <c r="J843" s="5" t="s">
        <v>21</v>
      </c>
      <c r="K843" s="5" t="s">
        <v>22</v>
      </c>
      <c r="L843" s="5">
        <v>1455861600</v>
      </c>
      <c r="M843" s="5">
        <v>1457244000</v>
      </c>
      <c r="N843" s="8">
        <f t="shared" si="53"/>
        <v>42419.25</v>
      </c>
      <c r="O843" s="8">
        <f t="shared" si="54"/>
        <v>42435.25</v>
      </c>
      <c r="P843" s="21" t="str">
        <f>TEXT(CrowdfundingTable[[#This Row],[date_created]],"ddd")</f>
        <v>Fri</v>
      </c>
      <c r="Q843" s="21">
        <f>_xlfn.DAYS(CrowdfundingTable[[#This Row],[date_ended]],CrowdfundingTable[[#This Row],[date_created]])</f>
        <v>16</v>
      </c>
      <c r="R843" s="5" t="b">
        <v>0</v>
      </c>
      <c r="S843" s="5" t="b">
        <v>0</v>
      </c>
      <c r="T843" s="5" t="s">
        <v>28</v>
      </c>
      <c r="U843" s="5" t="s">
        <v>2039</v>
      </c>
      <c r="V843" s="5" t="s">
        <v>2064</v>
      </c>
      <c r="W843" s="5"/>
    </row>
    <row r="844" spans="1:23" ht="34" x14ac:dyDescent="0.2">
      <c r="A844" s="5">
        <v>842</v>
      </c>
      <c r="B844" s="5" t="s">
        <v>1717</v>
      </c>
      <c r="C844" s="6" t="s">
        <v>1718</v>
      </c>
      <c r="D844" s="94">
        <v>1500</v>
      </c>
      <c r="E844" s="94">
        <v>8447</v>
      </c>
      <c r="F844" s="7">
        <f t="shared" si="55"/>
        <v>5.6313333333333331</v>
      </c>
      <c r="G844" s="5" t="s">
        <v>20</v>
      </c>
      <c r="H844" s="5">
        <v>132</v>
      </c>
      <c r="I844" s="96">
        <f t="shared" si="52"/>
        <v>63.992424242424242</v>
      </c>
      <c r="J844" s="5" t="s">
        <v>107</v>
      </c>
      <c r="K844" s="5" t="s">
        <v>108</v>
      </c>
      <c r="L844" s="5">
        <v>1529038800</v>
      </c>
      <c r="M844" s="5">
        <v>1529298000</v>
      </c>
      <c r="N844" s="8">
        <f t="shared" si="53"/>
        <v>43266.208333333328</v>
      </c>
      <c r="O844" s="8">
        <f t="shared" si="54"/>
        <v>43269.208333333328</v>
      </c>
      <c r="P844" s="21" t="str">
        <f>TEXT(CrowdfundingTable[[#This Row],[date_created]],"ddd")</f>
        <v>Fri</v>
      </c>
      <c r="Q844" s="21">
        <f>_xlfn.DAYS(CrowdfundingTable[[#This Row],[date_ended]],CrowdfundingTable[[#This Row],[date_created]])</f>
        <v>3</v>
      </c>
      <c r="R844" s="5" t="b">
        <v>0</v>
      </c>
      <c r="S844" s="5" t="b">
        <v>0</v>
      </c>
      <c r="T844" s="5" t="s">
        <v>65</v>
      </c>
      <c r="U844" s="5" t="s">
        <v>2039</v>
      </c>
      <c r="V844" s="5" t="s">
        <v>2063</v>
      </c>
      <c r="W844" s="5"/>
    </row>
    <row r="845" spans="1:23" ht="34" x14ac:dyDescent="0.2">
      <c r="A845" s="5">
        <v>843</v>
      </c>
      <c r="B845" s="5" t="s">
        <v>1719</v>
      </c>
      <c r="C845" s="6" t="s">
        <v>1720</v>
      </c>
      <c r="D845" s="94">
        <v>8800</v>
      </c>
      <c r="E845" s="94">
        <v>2703</v>
      </c>
      <c r="F845" s="7">
        <f t="shared" si="55"/>
        <v>0.30715909090909088</v>
      </c>
      <c r="G845" s="5" t="s">
        <v>14</v>
      </c>
      <c r="H845" s="5">
        <v>33</v>
      </c>
      <c r="I845" s="96">
        <f t="shared" si="52"/>
        <v>81.909090909090907</v>
      </c>
      <c r="J845" s="5" t="s">
        <v>21</v>
      </c>
      <c r="K845" s="5" t="s">
        <v>22</v>
      </c>
      <c r="L845" s="5">
        <v>1535259600</v>
      </c>
      <c r="M845" s="5">
        <v>1535778000</v>
      </c>
      <c r="N845" s="8">
        <f t="shared" si="53"/>
        <v>43338.208333333328</v>
      </c>
      <c r="O845" s="8">
        <f t="shared" si="54"/>
        <v>43344.208333333328</v>
      </c>
      <c r="P845" s="21" t="str">
        <f>TEXT(CrowdfundingTable[[#This Row],[date_created]],"ddd")</f>
        <v>Sun</v>
      </c>
      <c r="Q845" s="21">
        <f>_xlfn.DAYS(CrowdfundingTable[[#This Row],[date_ended]],CrowdfundingTable[[#This Row],[date_created]])</f>
        <v>6</v>
      </c>
      <c r="R845" s="5" t="b">
        <v>0</v>
      </c>
      <c r="S845" s="5" t="b">
        <v>0</v>
      </c>
      <c r="T845" s="5" t="s">
        <v>122</v>
      </c>
      <c r="U845" s="5" t="s">
        <v>2037</v>
      </c>
      <c r="V845" s="5" t="s">
        <v>2054</v>
      </c>
      <c r="W845" s="5"/>
    </row>
    <row r="846" spans="1:23" ht="17" x14ac:dyDescent="0.2">
      <c r="A846" s="5">
        <v>844</v>
      </c>
      <c r="B846" s="5" t="s">
        <v>1721</v>
      </c>
      <c r="C846" s="6" t="s">
        <v>1722</v>
      </c>
      <c r="D846" s="94">
        <v>8800</v>
      </c>
      <c r="E846" s="94">
        <v>8747</v>
      </c>
      <c r="F846" s="7">
        <f>E846/D846</f>
        <v>0.99397727272727276</v>
      </c>
      <c r="G846" s="5" t="s">
        <v>74</v>
      </c>
      <c r="H846" s="5">
        <v>94</v>
      </c>
      <c r="I846" s="96">
        <f t="shared" si="52"/>
        <v>93.053191489361708</v>
      </c>
      <c r="J846" s="5" t="s">
        <v>21</v>
      </c>
      <c r="K846" s="5" t="s">
        <v>22</v>
      </c>
      <c r="L846" s="5">
        <v>1327212000</v>
      </c>
      <c r="M846" s="5">
        <v>1327471200</v>
      </c>
      <c r="N846" s="8">
        <f t="shared" si="53"/>
        <v>40930.25</v>
      </c>
      <c r="O846" s="8">
        <f t="shared" si="54"/>
        <v>40933.25</v>
      </c>
      <c r="P846" s="21" t="str">
        <f>TEXT(CrowdfundingTable[[#This Row],[date_created]],"ddd")</f>
        <v>Sun</v>
      </c>
      <c r="Q846" s="21">
        <f>_xlfn.DAYS(CrowdfundingTable[[#This Row],[date_ended]],CrowdfundingTable[[#This Row],[date_created]])</f>
        <v>3</v>
      </c>
      <c r="R846" s="5" t="b">
        <v>0</v>
      </c>
      <c r="S846" s="5" t="b">
        <v>0</v>
      </c>
      <c r="T846" s="5" t="s">
        <v>42</v>
      </c>
      <c r="U846" s="5" t="s">
        <v>2032</v>
      </c>
      <c r="V846" s="5" t="s">
        <v>2044</v>
      </c>
      <c r="W846" s="5"/>
    </row>
    <row r="847" spans="1:23" ht="17" x14ac:dyDescent="0.2">
      <c r="A847" s="5">
        <v>845</v>
      </c>
      <c r="B847" s="5" t="s">
        <v>1723</v>
      </c>
      <c r="C847" s="6" t="s">
        <v>1724</v>
      </c>
      <c r="D847" s="94">
        <v>69900</v>
      </c>
      <c r="E847" s="94">
        <v>138087</v>
      </c>
      <c r="F847" s="7">
        <f t="shared" si="55"/>
        <v>1.9754935622317598</v>
      </c>
      <c r="G847" s="5" t="s">
        <v>20</v>
      </c>
      <c r="H847" s="5">
        <v>1354</v>
      </c>
      <c r="I847" s="96">
        <f t="shared" si="52"/>
        <v>101.98449039881831</v>
      </c>
      <c r="J847" s="5" t="s">
        <v>40</v>
      </c>
      <c r="K847" s="5" t="s">
        <v>41</v>
      </c>
      <c r="L847" s="5">
        <v>1526360400</v>
      </c>
      <c r="M847" s="5">
        <v>1529557200</v>
      </c>
      <c r="N847" s="8">
        <f t="shared" si="53"/>
        <v>43235.208333333328</v>
      </c>
      <c r="O847" s="8">
        <f t="shared" si="54"/>
        <v>43272.208333333328</v>
      </c>
      <c r="P847" s="21" t="str">
        <f>TEXT(CrowdfundingTable[[#This Row],[date_created]],"ddd")</f>
        <v>Tue</v>
      </c>
      <c r="Q847" s="21">
        <f>_xlfn.DAYS(CrowdfundingTable[[#This Row],[date_ended]],CrowdfundingTable[[#This Row],[date_created]])</f>
        <v>37</v>
      </c>
      <c r="R847" s="5" t="b">
        <v>0</v>
      </c>
      <c r="S847" s="5" t="b">
        <v>0</v>
      </c>
      <c r="T847" s="5" t="s">
        <v>28</v>
      </c>
      <c r="U847" s="5" t="s">
        <v>2039</v>
      </c>
      <c r="V847" s="5" t="s">
        <v>2064</v>
      </c>
      <c r="W847" s="5"/>
    </row>
    <row r="848" spans="1:23" ht="17" x14ac:dyDescent="0.2">
      <c r="A848" s="5">
        <v>846</v>
      </c>
      <c r="B848" s="5" t="s">
        <v>1725</v>
      </c>
      <c r="C848" s="6" t="s">
        <v>1726</v>
      </c>
      <c r="D848" s="94">
        <v>1000</v>
      </c>
      <c r="E848" s="94">
        <v>5085</v>
      </c>
      <c r="F848" s="7">
        <f t="shared" si="55"/>
        <v>5.085</v>
      </c>
      <c r="G848" s="5" t="s">
        <v>20</v>
      </c>
      <c r="H848" s="5">
        <v>48</v>
      </c>
      <c r="I848" s="96">
        <f t="shared" si="52"/>
        <v>105.9375</v>
      </c>
      <c r="J848" s="5" t="s">
        <v>21</v>
      </c>
      <c r="K848" s="5" t="s">
        <v>22</v>
      </c>
      <c r="L848" s="5">
        <v>1532149200</v>
      </c>
      <c r="M848" s="5">
        <v>1535259600</v>
      </c>
      <c r="N848" s="8">
        <f t="shared" si="53"/>
        <v>43302.208333333328</v>
      </c>
      <c r="O848" s="8">
        <f t="shared" si="54"/>
        <v>43338.208333333328</v>
      </c>
      <c r="P848" s="21" t="str">
        <f>TEXT(CrowdfundingTable[[#This Row],[date_created]],"ddd")</f>
        <v>Sat</v>
      </c>
      <c r="Q848" s="21">
        <f>_xlfn.DAYS(CrowdfundingTable[[#This Row],[date_ended]],CrowdfundingTable[[#This Row],[date_created]])</f>
        <v>36</v>
      </c>
      <c r="R848" s="5" t="b">
        <v>1</v>
      </c>
      <c r="S848" s="5" t="b">
        <v>1</v>
      </c>
      <c r="T848" s="5" t="s">
        <v>28</v>
      </c>
      <c r="U848" s="5" t="s">
        <v>2039</v>
      </c>
      <c r="V848" s="5" t="s">
        <v>2064</v>
      </c>
      <c r="W848" s="5"/>
    </row>
    <row r="849" spans="1:23" ht="17" x14ac:dyDescent="0.2">
      <c r="A849" s="5">
        <v>847</v>
      </c>
      <c r="B849" s="5" t="s">
        <v>1727</v>
      </c>
      <c r="C849" s="6" t="s">
        <v>1728</v>
      </c>
      <c r="D849" s="94">
        <v>4700</v>
      </c>
      <c r="E849" s="94">
        <v>11174</v>
      </c>
      <c r="F849" s="7">
        <f t="shared" si="55"/>
        <v>2.3774468085106384</v>
      </c>
      <c r="G849" s="5" t="s">
        <v>20</v>
      </c>
      <c r="H849" s="5">
        <v>110</v>
      </c>
      <c r="I849" s="96">
        <f t="shared" si="52"/>
        <v>101.58181818181818</v>
      </c>
      <c r="J849" s="5" t="s">
        <v>21</v>
      </c>
      <c r="K849" s="5" t="s">
        <v>22</v>
      </c>
      <c r="L849" s="5">
        <v>1515304800</v>
      </c>
      <c r="M849" s="5">
        <v>1515564000</v>
      </c>
      <c r="N849" s="8">
        <f t="shared" si="53"/>
        <v>43107.25</v>
      </c>
      <c r="O849" s="8">
        <f t="shared" si="54"/>
        <v>43110.25</v>
      </c>
      <c r="P849" s="21" t="str">
        <f>TEXT(CrowdfundingTable[[#This Row],[date_created]],"ddd")</f>
        <v>Sun</v>
      </c>
      <c r="Q849" s="21">
        <f>_xlfn.DAYS(CrowdfundingTable[[#This Row],[date_ended]],CrowdfundingTable[[#This Row],[date_created]])</f>
        <v>3</v>
      </c>
      <c r="R849" s="5" t="b">
        <v>0</v>
      </c>
      <c r="S849" s="5" t="b">
        <v>0</v>
      </c>
      <c r="T849" s="5" t="s">
        <v>17</v>
      </c>
      <c r="U849" s="5" t="s">
        <v>2033</v>
      </c>
      <c r="V849" s="5" t="s">
        <v>2048</v>
      </c>
      <c r="W849" s="5"/>
    </row>
    <row r="850" spans="1:23" ht="17" x14ac:dyDescent="0.2">
      <c r="A850" s="5">
        <v>848</v>
      </c>
      <c r="B850" s="5" t="s">
        <v>1729</v>
      </c>
      <c r="C850" s="6" t="s">
        <v>1730</v>
      </c>
      <c r="D850" s="94">
        <v>3200</v>
      </c>
      <c r="E850" s="94">
        <v>10831</v>
      </c>
      <c r="F850" s="7">
        <f t="shared" si="55"/>
        <v>3.3846875000000001</v>
      </c>
      <c r="G850" s="5" t="s">
        <v>20</v>
      </c>
      <c r="H850" s="5">
        <v>172</v>
      </c>
      <c r="I850" s="96">
        <f t="shared" si="52"/>
        <v>62.970930232558139</v>
      </c>
      <c r="J850" s="5" t="s">
        <v>21</v>
      </c>
      <c r="K850" s="5" t="s">
        <v>22</v>
      </c>
      <c r="L850" s="5">
        <v>1276318800</v>
      </c>
      <c r="M850" s="5">
        <v>1277096400</v>
      </c>
      <c r="N850" s="8">
        <f t="shared" si="53"/>
        <v>40341.208333333336</v>
      </c>
      <c r="O850" s="8">
        <f t="shared" si="54"/>
        <v>40350.208333333336</v>
      </c>
      <c r="P850" s="21" t="str">
        <f>TEXT(CrowdfundingTable[[#This Row],[date_created]],"ddd")</f>
        <v>Sat</v>
      </c>
      <c r="Q850" s="21">
        <f>_xlfn.DAYS(CrowdfundingTable[[#This Row],[date_ended]],CrowdfundingTable[[#This Row],[date_created]])</f>
        <v>9</v>
      </c>
      <c r="R850" s="5" t="b">
        <v>0</v>
      </c>
      <c r="S850" s="5" t="b">
        <v>0</v>
      </c>
      <c r="T850" s="5" t="s">
        <v>53</v>
      </c>
      <c r="U850" s="5" t="s">
        <v>2032</v>
      </c>
      <c r="V850" s="5" t="s">
        <v>2045</v>
      </c>
      <c r="W850" s="5"/>
    </row>
    <row r="851" spans="1:23" ht="17" x14ac:dyDescent="0.2">
      <c r="A851" s="5">
        <v>849</v>
      </c>
      <c r="B851" s="5" t="s">
        <v>1731</v>
      </c>
      <c r="C851" s="6" t="s">
        <v>1732</v>
      </c>
      <c r="D851" s="94">
        <v>6700</v>
      </c>
      <c r="E851" s="94">
        <v>8917</v>
      </c>
      <c r="F851" s="7">
        <f t="shared" si="55"/>
        <v>1.3308955223880596</v>
      </c>
      <c r="G851" s="5" t="s">
        <v>20</v>
      </c>
      <c r="H851" s="5">
        <v>307</v>
      </c>
      <c r="I851" s="96">
        <f t="shared" si="52"/>
        <v>29.045602605863191</v>
      </c>
      <c r="J851" s="5" t="s">
        <v>21</v>
      </c>
      <c r="K851" s="5" t="s">
        <v>22</v>
      </c>
      <c r="L851" s="5">
        <v>1328767200</v>
      </c>
      <c r="M851" s="5">
        <v>1329026400</v>
      </c>
      <c r="N851" s="8">
        <f t="shared" si="53"/>
        <v>40948.25</v>
      </c>
      <c r="O851" s="8">
        <f t="shared" si="54"/>
        <v>40951.25</v>
      </c>
      <c r="P851" s="21" t="str">
        <f>TEXT(CrowdfundingTable[[#This Row],[date_created]],"ddd")</f>
        <v>Thu</v>
      </c>
      <c r="Q851" s="21">
        <f>_xlfn.DAYS(CrowdfundingTable[[#This Row],[date_ended]],CrowdfundingTable[[#This Row],[date_created]])</f>
        <v>3</v>
      </c>
      <c r="R851" s="5" t="b">
        <v>0</v>
      </c>
      <c r="S851" s="5" t="b">
        <v>1</v>
      </c>
      <c r="T851" s="5" t="s">
        <v>60</v>
      </c>
      <c r="U851" s="5" t="s">
        <v>2036</v>
      </c>
      <c r="V851" s="5" t="s">
        <v>2049</v>
      </c>
      <c r="W851" s="5"/>
    </row>
    <row r="852" spans="1:23" ht="17" x14ac:dyDescent="0.2">
      <c r="A852" s="5">
        <v>850</v>
      </c>
      <c r="B852" s="5" t="s">
        <v>1733</v>
      </c>
      <c r="C852" s="6" t="s">
        <v>1734</v>
      </c>
      <c r="D852" s="94">
        <v>100</v>
      </c>
      <c r="E852" s="94">
        <v>1</v>
      </c>
      <c r="F852" s="7">
        <f t="shared" si="55"/>
        <v>0.01</v>
      </c>
      <c r="G852" s="5" t="s">
        <v>14</v>
      </c>
      <c r="H852" s="5">
        <v>1</v>
      </c>
      <c r="I852" s="96">
        <f t="shared" si="52"/>
        <v>1</v>
      </c>
      <c r="J852" s="5" t="s">
        <v>21</v>
      </c>
      <c r="K852" s="5" t="s">
        <v>22</v>
      </c>
      <c r="L852" s="5">
        <v>1321682400</v>
      </c>
      <c r="M852" s="5">
        <v>1322978400</v>
      </c>
      <c r="N852" s="8">
        <f t="shared" si="53"/>
        <v>40866.25</v>
      </c>
      <c r="O852" s="8">
        <f t="shared" si="54"/>
        <v>40881.25</v>
      </c>
      <c r="P852" s="21" t="str">
        <f>TEXT(CrowdfundingTable[[#This Row],[date_created]],"ddd")</f>
        <v>Sat</v>
      </c>
      <c r="Q852" s="21">
        <f>_xlfn.DAYS(CrowdfundingTable[[#This Row],[date_ended]],CrowdfundingTable[[#This Row],[date_created]])</f>
        <v>15</v>
      </c>
      <c r="R852" s="5" t="b">
        <v>1</v>
      </c>
      <c r="S852" s="5" t="b">
        <v>0</v>
      </c>
      <c r="T852" s="5" t="s">
        <v>23</v>
      </c>
      <c r="U852" s="5" t="s">
        <v>2036</v>
      </c>
      <c r="V852" s="5" t="s">
        <v>2057</v>
      </c>
      <c r="W852" s="5"/>
    </row>
    <row r="853" spans="1:23" ht="17" x14ac:dyDescent="0.2">
      <c r="A853" s="5">
        <v>851</v>
      </c>
      <c r="B853" s="5" t="s">
        <v>1735</v>
      </c>
      <c r="C853" s="6" t="s">
        <v>1736</v>
      </c>
      <c r="D853" s="94">
        <v>6000</v>
      </c>
      <c r="E853" s="94">
        <v>12468</v>
      </c>
      <c r="F853" s="7">
        <f t="shared" si="55"/>
        <v>2.0779999999999998</v>
      </c>
      <c r="G853" s="5" t="s">
        <v>20</v>
      </c>
      <c r="H853" s="5">
        <v>160</v>
      </c>
      <c r="I853" s="96">
        <f t="shared" si="52"/>
        <v>77.924999999999997</v>
      </c>
      <c r="J853" s="5" t="s">
        <v>21</v>
      </c>
      <c r="K853" s="5" t="s">
        <v>22</v>
      </c>
      <c r="L853" s="5">
        <v>1335934800</v>
      </c>
      <c r="M853" s="5">
        <v>1338786000</v>
      </c>
      <c r="N853" s="8">
        <f t="shared" si="53"/>
        <v>41031.208333333336</v>
      </c>
      <c r="O853" s="8">
        <f t="shared" si="54"/>
        <v>41064.208333333336</v>
      </c>
      <c r="P853" s="21" t="str">
        <f>TEXT(CrowdfundingTable[[#This Row],[date_created]],"ddd")</f>
        <v>Wed</v>
      </c>
      <c r="Q853" s="21">
        <f>_xlfn.DAYS(CrowdfundingTable[[#This Row],[date_ended]],CrowdfundingTable[[#This Row],[date_created]])</f>
        <v>33</v>
      </c>
      <c r="R853" s="5" t="b">
        <v>0</v>
      </c>
      <c r="S853" s="5" t="b">
        <v>0</v>
      </c>
      <c r="T853" s="5" t="s">
        <v>50</v>
      </c>
      <c r="U853" s="5" t="s">
        <v>2036</v>
      </c>
      <c r="V853" s="5" t="s">
        <v>2046</v>
      </c>
      <c r="W853" s="5"/>
    </row>
    <row r="854" spans="1:23" ht="17" x14ac:dyDescent="0.2">
      <c r="A854" s="5">
        <v>852</v>
      </c>
      <c r="B854" s="5" t="s">
        <v>1737</v>
      </c>
      <c r="C854" s="6" t="s">
        <v>1738</v>
      </c>
      <c r="D854" s="94">
        <v>4900</v>
      </c>
      <c r="E854" s="94">
        <v>2505</v>
      </c>
      <c r="F854" s="7">
        <f t="shared" si="55"/>
        <v>0.51122448979591839</v>
      </c>
      <c r="G854" s="5" t="s">
        <v>14</v>
      </c>
      <c r="H854" s="5">
        <v>31</v>
      </c>
      <c r="I854" s="96">
        <f t="shared" si="52"/>
        <v>80.806451612903231</v>
      </c>
      <c r="J854" s="5" t="s">
        <v>21</v>
      </c>
      <c r="K854" s="5" t="s">
        <v>22</v>
      </c>
      <c r="L854" s="5">
        <v>1310792400</v>
      </c>
      <c r="M854" s="5">
        <v>1311656400</v>
      </c>
      <c r="N854" s="8">
        <f t="shared" si="53"/>
        <v>40740.208333333336</v>
      </c>
      <c r="O854" s="8">
        <f t="shared" si="54"/>
        <v>40750.208333333336</v>
      </c>
      <c r="P854" s="21" t="str">
        <f>TEXT(CrowdfundingTable[[#This Row],[date_created]],"ddd")</f>
        <v>Sat</v>
      </c>
      <c r="Q854" s="21">
        <f>_xlfn.DAYS(CrowdfundingTable[[#This Row],[date_ended]],CrowdfundingTable[[#This Row],[date_created]])</f>
        <v>10</v>
      </c>
      <c r="R854" s="5" t="b">
        <v>0</v>
      </c>
      <c r="S854" s="5" t="b">
        <v>1</v>
      </c>
      <c r="T854" s="5" t="s">
        <v>89</v>
      </c>
      <c r="U854" s="5" t="s">
        <v>2034</v>
      </c>
      <c r="V854" s="5" t="s">
        <v>2062</v>
      </c>
      <c r="W854" s="5"/>
    </row>
    <row r="855" spans="1:23" ht="17" x14ac:dyDescent="0.2">
      <c r="A855" s="5">
        <v>853</v>
      </c>
      <c r="B855" s="5" t="s">
        <v>1739</v>
      </c>
      <c r="C855" s="6" t="s">
        <v>1740</v>
      </c>
      <c r="D855" s="94">
        <v>17100</v>
      </c>
      <c r="E855" s="94">
        <v>111502</v>
      </c>
      <c r="F855" s="7">
        <f t="shared" si="55"/>
        <v>6.5205847953216374</v>
      </c>
      <c r="G855" s="5" t="s">
        <v>20</v>
      </c>
      <c r="H855" s="5">
        <v>1467</v>
      </c>
      <c r="I855" s="96">
        <f t="shared" si="52"/>
        <v>76.006816632583508</v>
      </c>
      <c r="J855" s="5" t="s">
        <v>15</v>
      </c>
      <c r="K855" s="5" t="s">
        <v>16</v>
      </c>
      <c r="L855" s="5">
        <v>1308546000</v>
      </c>
      <c r="M855" s="5">
        <v>1308978000</v>
      </c>
      <c r="N855" s="8">
        <f t="shared" si="53"/>
        <v>40714.208333333336</v>
      </c>
      <c r="O855" s="8">
        <f t="shared" si="54"/>
        <v>40719.208333333336</v>
      </c>
      <c r="P855" s="21" t="str">
        <f>TEXT(CrowdfundingTable[[#This Row],[date_created]],"ddd")</f>
        <v>Mon</v>
      </c>
      <c r="Q855" s="21">
        <f>_xlfn.DAYS(CrowdfundingTable[[#This Row],[date_ended]],CrowdfundingTable[[#This Row],[date_created]])</f>
        <v>5</v>
      </c>
      <c r="R855" s="5" t="b">
        <v>0</v>
      </c>
      <c r="S855" s="5" t="b">
        <v>1</v>
      </c>
      <c r="T855" s="5" t="s">
        <v>60</v>
      </c>
      <c r="U855" s="5" t="s">
        <v>2036</v>
      </c>
      <c r="V855" s="5" t="s">
        <v>2049</v>
      </c>
      <c r="W855" s="5"/>
    </row>
    <row r="856" spans="1:23" ht="17" x14ac:dyDescent="0.2">
      <c r="A856" s="5">
        <v>854</v>
      </c>
      <c r="B856" s="5" t="s">
        <v>1741</v>
      </c>
      <c r="C856" s="6" t="s">
        <v>1742</v>
      </c>
      <c r="D856" s="94">
        <v>171000</v>
      </c>
      <c r="E856" s="94">
        <v>194309</v>
      </c>
      <c r="F856" s="7">
        <f t="shared" si="55"/>
        <v>1.1363099415204678</v>
      </c>
      <c r="G856" s="5" t="s">
        <v>20</v>
      </c>
      <c r="H856" s="5">
        <v>2662</v>
      </c>
      <c r="I856" s="96">
        <f t="shared" si="52"/>
        <v>72.993613824192337</v>
      </c>
      <c r="J856" s="5" t="s">
        <v>15</v>
      </c>
      <c r="K856" s="5" t="s">
        <v>16</v>
      </c>
      <c r="L856" s="5">
        <v>1574056800</v>
      </c>
      <c r="M856" s="5">
        <v>1576389600</v>
      </c>
      <c r="N856" s="8">
        <f t="shared" si="53"/>
        <v>43787.25</v>
      </c>
      <c r="O856" s="8">
        <f t="shared" si="54"/>
        <v>43814.25</v>
      </c>
      <c r="P856" s="21" t="str">
        <f>TEXT(CrowdfundingTable[[#This Row],[date_created]],"ddd")</f>
        <v>Mon</v>
      </c>
      <c r="Q856" s="21">
        <f>_xlfn.DAYS(CrowdfundingTable[[#This Row],[date_ended]],CrowdfundingTable[[#This Row],[date_created]])</f>
        <v>27</v>
      </c>
      <c r="R856" s="5" t="b">
        <v>0</v>
      </c>
      <c r="S856" s="5" t="b">
        <v>0</v>
      </c>
      <c r="T856" s="5" t="s">
        <v>119</v>
      </c>
      <c r="U856" s="5" t="s">
        <v>2038</v>
      </c>
      <c r="V856" s="5" t="s">
        <v>2047</v>
      </c>
      <c r="W856" s="5"/>
    </row>
    <row r="857" spans="1:23" ht="17" x14ac:dyDescent="0.2">
      <c r="A857" s="5">
        <v>855</v>
      </c>
      <c r="B857" s="5" t="s">
        <v>1743</v>
      </c>
      <c r="C857" s="6" t="s">
        <v>1744</v>
      </c>
      <c r="D857" s="94">
        <v>23400</v>
      </c>
      <c r="E857" s="94">
        <v>23956</v>
      </c>
      <c r="F857" s="7">
        <f t="shared" si="55"/>
        <v>1.0237606837606839</v>
      </c>
      <c r="G857" s="5" t="s">
        <v>20</v>
      </c>
      <c r="H857" s="5">
        <v>452</v>
      </c>
      <c r="I857" s="96">
        <f t="shared" si="52"/>
        <v>53</v>
      </c>
      <c r="J857" s="5" t="s">
        <v>26</v>
      </c>
      <c r="K857" s="5" t="s">
        <v>27</v>
      </c>
      <c r="L857" s="5">
        <v>1308373200</v>
      </c>
      <c r="M857" s="5">
        <v>1311051600</v>
      </c>
      <c r="N857" s="8">
        <f t="shared" si="53"/>
        <v>40712.208333333336</v>
      </c>
      <c r="O857" s="8">
        <f t="shared" si="54"/>
        <v>40743.208333333336</v>
      </c>
      <c r="P857" s="21" t="str">
        <f>TEXT(CrowdfundingTable[[#This Row],[date_created]],"ddd")</f>
        <v>Sat</v>
      </c>
      <c r="Q857" s="21">
        <f>_xlfn.DAYS(CrowdfundingTable[[#This Row],[date_ended]],CrowdfundingTable[[#This Row],[date_created]])</f>
        <v>31</v>
      </c>
      <c r="R857" s="5" t="b">
        <v>0</v>
      </c>
      <c r="S857" s="5" t="b">
        <v>0</v>
      </c>
      <c r="T857" s="5" t="s">
        <v>33</v>
      </c>
      <c r="U857" s="5" t="s">
        <v>2040</v>
      </c>
      <c r="V857" s="5" t="s">
        <v>2055</v>
      </c>
      <c r="W857" s="5"/>
    </row>
    <row r="858" spans="1:23" ht="17" x14ac:dyDescent="0.2">
      <c r="A858" s="5">
        <v>856</v>
      </c>
      <c r="B858" s="5" t="s">
        <v>1599</v>
      </c>
      <c r="C858" s="6" t="s">
        <v>1745</v>
      </c>
      <c r="D858" s="94">
        <v>2400</v>
      </c>
      <c r="E858" s="94">
        <v>8558</v>
      </c>
      <c r="F858" s="7">
        <f t="shared" si="55"/>
        <v>3.5658333333333334</v>
      </c>
      <c r="G858" s="5" t="s">
        <v>20</v>
      </c>
      <c r="H858" s="5">
        <v>158</v>
      </c>
      <c r="I858" s="96">
        <f t="shared" si="52"/>
        <v>54.164556962025316</v>
      </c>
      <c r="J858" s="5" t="s">
        <v>21</v>
      </c>
      <c r="K858" s="5" t="s">
        <v>22</v>
      </c>
      <c r="L858" s="5">
        <v>1335243600</v>
      </c>
      <c r="M858" s="5">
        <v>1336712400</v>
      </c>
      <c r="N858" s="8">
        <f t="shared" si="53"/>
        <v>41023.208333333336</v>
      </c>
      <c r="O858" s="8">
        <f t="shared" si="54"/>
        <v>41040.208333333336</v>
      </c>
      <c r="P858" s="21" t="str">
        <f>TEXT(CrowdfundingTable[[#This Row],[date_created]],"ddd")</f>
        <v>Tue</v>
      </c>
      <c r="Q858" s="21">
        <f>_xlfn.DAYS(CrowdfundingTable[[#This Row],[date_ended]],CrowdfundingTable[[#This Row],[date_created]])</f>
        <v>17</v>
      </c>
      <c r="R858" s="5" t="b">
        <v>0</v>
      </c>
      <c r="S858" s="5" t="b">
        <v>0</v>
      </c>
      <c r="T858" s="5" t="s">
        <v>17</v>
      </c>
      <c r="U858" s="5" t="s">
        <v>2033</v>
      </c>
      <c r="V858" s="5" t="s">
        <v>2048</v>
      </c>
      <c r="W858" s="5"/>
    </row>
    <row r="859" spans="1:23" ht="17" x14ac:dyDescent="0.2">
      <c r="A859" s="5">
        <v>857</v>
      </c>
      <c r="B859" s="5" t="s">
        <v>1746</v>
      </c>
      <c r="C859" s="6" t="s">
        <v>1747</v>
      </c>
      <c r="D859" s="94">
        <v>5300</v>
      </c>
      <c r="E859" s="94">
        <v>7413</v>
      </c>
      <c r="F859" s="7">
        <f t="shared" si="55"/>
        <v>1.3986792452830188</v>
      </c>
      <c r="G859" s="5" t="s">
        <v>20</v>
      </c>
      <c r="H859" s="5">
        <v>225</v>
      </c>
      <c r="I859" s="96">
        <f t="shared" si="52"/>
        <v>32.946666666666665</v>
      </c>
      <c r="J859" s="5" t="s">
        <v>98</v>
      </c>
      <c r="K859" s="5" t="s">
        <v>99</v>
      </c>
      <c r="L859" s="5">
        <v>1328421600</v>
      </c>
      <c r="M859" s="5">
        <v>1330408800</v>
      </c>
      <c r="N859" s="8">
        <f t="shared" si="53"/>
        <v>40944.25</v>
      </c>
      <c r="O859" s="8">
        <f t="shared" si="54"/>
        <v>40967.25</v>
      </c>
      <c r="P859" s="21" t="str">
        <f>TEXT(CrowdfundingTable[[#This Row],[date_created]],"ddd")</f>
        <v>Sun</v>
      </c>
      <c r="Q859" s="21">
        <f>_xlfn.DAYS(CrowdfundingTable[[#This Row],[date_ended]],CrowdfundingTable[[#This Row],[date_created]])</f>
        <v>23</v>
      </c>
      <c r="R859" s="5" t="b">
        <v>1</v>
      </c>
      <c r="S859" s="5" t="b">
        <v>0</v>
      </c>
      <c r="T859" s="5" t="s">
        <v>100</v>
      </c>
      <c r="U859" s="5" t="s">
        <v>2032</v>
      </c>
      <c r="V859" s="5" t="s">
        <v>2059</v>
      </c>
      <c r="W859" s="5"/>
    </row>
    <row r="860" spans="1:23" ht="17" x14ac:dyDescent="0.2">
      <c r="A860" s="5">
        <v>858</v>
      </c>
      <c r="B860" s="5" t="s">
        <v>1748</v>
      </c>
      <c r="C860" s="6" t="s">
        <v>1749</v>
      </c>
      <c r="D860" s="94">
        <v>4000</v>
      </c>
      <c r="E860" s="94">
        <v>2778</v>
      </c>
      <c r="F860" s="7">
        <f t="shared" si="55"/>
        <v>0.69450000000000001</v>
      </c>
      <c r="G860" s="5" t="s">
        <v>14</v>
      </c>
      <c r="H860" s="5">
        <v>35</v>
      </c>
      <c r="I860" s="96">
        <f t="shared" si="52"/>
        <v>79.371428571428567</v>
      </c>
      <c r="J860" s="5" t="s">
        <v>21</v>
      </c>
      <c r="K860" s="5" t="s">
        <v>22</v>
      </c>
      <c r="L860" s="5">
        <v>1524286800</v>
      </c>
      <c r="M860" s="5">
        <v>1524891600</v>
      </c>
      <c r="N860" s="8">
        <f t="shared" si="53"/>
        <v>43211.208333333328</v>
      </c>
      <c r="O860" s="8">
        <f t="shared" si="54"/>
        <v>43218.208333333328</v>
      </c>
      <c r="P860" s="21" t="str">
        <f>TEXT(CrowdfundingTable[[#This Row],[date_created]],"ddd")</f>
        <v>Sat</v>
      </c>
      <c r="Q860" s="21">
        <f>_xlfn.DAYS(CrowdfundingTable[[#This Row],[date_ended]],CrowdfundingTable[[#This Row],[date_created]])</f>
        <v>7</v>
      </c>
      <c r="R860" s="5" t="b">
        <v>1</v>
      </c>
      <c r="S860" s="5" t="b">
        <v>0</v>
      </c>
      <c r="T860" s="5" t="s">
        <v>17</v>
      </c>
      <c r="U860" s="5" t="s">
        <v>2033</v>
      </c>
      <c r="V860" s="5" t="s">
        <v>2048</v>
      </c>
      <c r="W860" s="5"/>
    </row>
    <row r="861" spans="1:23" ht="34" x14ac:dyDescent="0.2">
      <c r="A861" s="5">
        <v>859</v>
      </c>
      <c r="B861" s="5" t="s">
        <v>1750</v>
      </c>
      <c r="C861" s="6" t="s">
        <v>1751</v>
      </c>
      <c r="D861" s="94">
        <v>7300</v>
      </c>
      <c r="E861" s="94">
        <v>2594</v>
      </c>
      <c r="F861" s="7">
        <f t="shared" si="55"/>
        <v>0.35534246575342465</v>
      </c>
      <c r="G861" s="5" t="s">
        <v>14</v>
      </c>
      <c r="H861" s="5">
        <v>63</v>
      </c>
      <c r="I861" s="96">
        <f t="shared" si="52"/>
        <v>41.174603174603178</v>
      </c>
      <c r="J861" s="5" t="s">
        <v>21</v>
      </c>
      <c r="K861" s="5" t="s">
        <v>22</v>
      </c>
      <c r="L861" s="5">
        <v>1362117600</v>
      </c>
      <c r="M861" s="5">
        <v>1363669200</v>
      </c>
      <c r="N861" s="8">
        <f t="shared" si="53"/>
        <v>41334.25</v>
      </c>
      <c r="O861" s="8">
        <f t="shared" si="54"/>
        <v>41352.208333333336</v>
      </c>
      <c r="P861" s="21" t="str">
        <f>TEXT(CrowdfundingTable[[#This Row],[date_created]],"ddd")</f>
        <v>Fri</v>
      </c>
      <c r="Q861" s="21">
        <f>_xlfn.DAYS(CrowdfundingTable[[#This Row],[date_ended]],CrowdfundingTable[[#This Row],[date_created]])</f>
        <v>18</v>
      </c>
      <c r="R861" s="5" t="b">
        <v>0</v>
      </c>
      <c r="S861" s="5" t="b">
        <v>1</v>
      </c>
      <c r="T861" s="5" t="s">
        <v>33</v>
      </c>
      <c r="U861" s="5" t="s">
        <v>2040</v>
      </c>
      <c r="V861" s="5" t="s">
        <v>2055</v>
      </c>
      <c r="W861" s="5"/>
    </row>
    <row r="862" spans="1:23" ht="17" x14ac:dyDescent="0.2">
      <c r="A862" s="5">
        <v>860</v>
      </c>
      <c r="B862" s="5" t="s">
        <v>1752</v>
      </c>
      <c r="C862" s="6" t="s">
        <v>1753</v>
      </c>
      <c r="D862" s="94">
        <v>2000</v>
      </c>
      <c r="E862" s="94">
        <v>5033</v>
      </c>
      <c r="F862" s="7">
        <f t="shared" si="55"/>
        <v>2.5165000000000002</v>
      </c>
      <c r="G862" s="5" t="s">
        <v>20</v>
      </c>
      <c r="H862" s="5">
        <v>65</v>
      </c>
      <c r="I862" s="96">
        <f t="shared" si="52"/>
        <v>77.430769230769229</v>
      </c>
      <c r="J862" s="5" t="s">
        <v>21</v>
      </c>
      <c r="K862" s="5" t="s">
        <v>22</v>
      </c>
      <c r="L862" s="5">
        <v>1550556000</v>
      </c>
      <c r="M862" s="5">
        <v>1551420000</v>
      </c>
      <c r="N862" s="8">
        <f t="shared" si="53"/>
        <v>43515.25</v>
      </c>
      <c r="O862" s="8">
        <f t="shared" si="54"/>
        <v>43525.25</v>
      </c>
      <c r="P862" s="21" t="str">
        <f>TEXT(CrowdfundingTable[[#This Row],[date_created]],"ddd")</f>
        <v>Tue</v>
      </c>
      <c r="Q862" s="21">
        <f>_xlfn.DAYS(CrowdfundingTable[[#This Row],[date_ended]],CrowdfundingTable[[#This Row],[date_created]])</f>
        <v>10</v>
      </c>
      <c r="R862" s="5" t="b">
        <v>0</v>
      </c>
      <c r="S862" s="5" t="b">
        <v>1</v>
      </c>
      <c r="T862" s="5" t="s">
        <v>65</v>
      </c>
      <c r="U862" s="5" t="s">
        <v>2039</v>
      </c>
      <c r="V862" s="5" t="s">
        <v>2063</v>
      </c>
      <c r="W862" s="5"/>
    </row>
    <row r="863" spans="1:23" ht="17" x14ac:dyDescent="0.2">
      <c r="A863" s="5">
        <v>861</v>
      </c>
      <c r="B863" s="5" t="s">
        <v>1754</v>
      </c>
      <c r="C863" s="6" t="s">
        <v>1755</v>
      </c>
      <c r="D863" s="94">
        <v>8800</v>
      </c>
      <c r="E863" s="94">
        <v>9317</v>
      </c>
      <c r="F863" s="7">
        <f t="shared" si="55"/>
        <v>1.0587500000000001</v>
      </c>
      <c r="G863" s="5" t="s">
        <v>20</v>
      </c>
      <c r="H863" s="5">
        <v>163</v>
      </c>
      <c r="I863" s="96">
        <f t="shared" si="52"/>
        <v>57.159509202453989</v>
      </c>
      <c r="J863" s="5" t="s">
        <v>21</v>
      </c>
      <c r="K863" s="5" t="s">
        <v>22</v>
      </c>
      <c r="L863" s="5">
        <v>1269147600</v>
      </c>
      <c r="M863" s="5">
        <v>1269838800</v>
      </c>
      <c r="N863" s="8">
        <f t="shared" si="53"/>
        <v>40258.208333333336</v>
      </c>
      <c r="O863" s="8">
        <f t="shared" si="54"/>
        <v>40266.208333333336</v>
      </c>
      <c r="P863" s="21" t="str">
        <f>TEXT(CrowdfundingTable[[#This Row],[date_created]],"ddd")</f>
        <v>Sun</v>
      </c>
      <c r="Q863" s="21">
        <f>_xlfn.DAYS(CrowdfundingTable[[#This Row],[date_ended]],CrowdfundingTable[[#This Row],[date_created]])</f>
        <v>8</v>
      </c>
      <c r="R863" s="5" t="b">
        <v>0</v>
      </c>
      <c r="S863" s="5" t="b">
        <v>0</v>
      </c>
      <c r="T863" s="5" t="s">
        <v>33</v>
      </c>
      <c r="U863" s="5" t="s">
        <v>2040</v>
      </c>
      <c r="V863" s="5" t="s">
        <v>2055</v>
      </c>
      <c r="W863" s="5"/>
    </row>
    <row r="864" spans="1:23" ht="17" x14ac:dyDescent="0.2">
      <c r="A864" s="5">
        <v>862</v>
      </c>
      <c r="B864" s="5" t="s">
        <v>1756</v>
      </c>
      <c r="C864" s="6" t="s">
        <v>1757</v>
      </c>
      <c r="D864" s="94">
        <v>3500</v>
      </c>
      <c r="E864" s="94">
        <v>6560</v>
      </c>
      <c r="F864" s="7">
        <f t="shared" si="55"/>
        <v>1.8742857142857143</v>
      </c>
      <c r="G864" s="5" t="s">
        <v>20</v>
      </c>
      <c r="H864" s="5">
        <v>85</v>
      </c>
      <c r="I864" s="96">
        <f t="shared" si="52"/>
        <v>77.17647058823529</v>
      </c>
      <c r="J864" s="5" t="s">
        <v>21</v>
      </c>
      <c r="K864" s="5" t="s">
        <v>22</v>
      </c>
      <c r="L864" s="5">
        <v>1312174800</v>
      </c>
      <c r="M864" s="5">
        <v>1312520400</v>
      </c>
      <c r="N864" s="8">
        <f t="shared" si="53"/>
        <v>40756.208333333336</v>
      </c>
      <c r="O864" s="8">
        <f t="shared" si="54"/>
        <v>40760.208333333336</v>
      </c>
      <c r="P864" s="21" t="str">
        <f>TEXT(CrowdfundingTable[[#This Row],[date_created]],"ddd")</f>
        <v>Mon</v>
      </c>
      <c r="Q864" s="21">
        <f>_xlfn.DAYS(CrowdfundingTable[[#This Row],[date_ended]],CrowdfundingTable[[#This Row],[date_created]])</f>
        <v>4</v>
      </c>
      <c r="R864" s="5" t="b">
        <v>0</v>
      </c>
      <c r="S864" s="5" t="b">
        <v>0</v>
      </c>
      <c r="T864" s="5" t="s">
        <v>33</v>
      </c>
      <c r="U864" s="5" t="s">
        <v>2040</v>
      </c>
      <c r="V864" s="5" t="s">
        <v>2055</v>
      </c>
      <c r="W864" s="5"/>
    </row>
    <row r="865" spans="1:23" ht="17" x14ac:dyDescent="0.2">
      <c r="A865" s="5">
        <v>863</v>
      </c>
      <c r="B865" s="5" t="s">
        <v>1758</v>
      </c>
      <c r="C865" s="6" t="s">
        <v>1759</v>
      </c>
      <c r="D865" s="94">
        <v>1400</v>
      </c>
      <c r="E865" s="94">
        <v>5415</v>
      </c>
      <c r="F865" s="7">
        <f t="shared" si="55"/>
        <v>3.8678571428571429</v>
      </c>
      <c r="G865" s="5" t="s">
        <v>20</v>
      </c>
      <c r="H865" s="5">
        <v>217</v>
      </c>
      <c r="I865" s="96">
        <f t="shared" si="52"/>
        <v>24.953917050691246</v>
      </c>
      <c r="J865" s="5" t="s">
        <v>21</v>
      </c>
      <c r="K865" s="5" t="s">
        <v>22</v>
      </c>
      <c r="L865" s="5">
        <v>1434517200</v>
      </c>
      <c r="M865" s="5">
        <v>1436504400</v>
      </c>
      <c r="N865" s="8">
        <f t="shared" si="53"/>
        <v>42172.208333333328</v>
      </c>
      <c r="O865" s="8">
        <f t="shared" si="54"/>
        <v>42195.208333333328</v>
      </c>
      <c r="P865" s="21" t="str">
        <f>TEXT(CrowdfundingTable[[#This Row],[date_created]],"ddd")</f>
        <v>Wed</v>
      </c>
      <c r="Q865" s="21">
        <f>_xlfn.DAYS(CrowdfundingTable[[#This Row],[date_ended]],CrowdfundingTable[[#This Row],[date_created]])</f>
        <v>23</v>
      </c>
      <c r="R865" s="5" t="b">
        <v>0</v>
      </c>
      <c r="S865" s="5" t="b">
        <v>1</v>
      </c>
      <c r="T865" s="5" t="s">
        <v>269</v>
      </c>
      <c r="U865" s="5" t="s">
        <v>2032</v>
      </c>
      <c r="V865" s="5" t="s">
        <v>2060</v>
      </c>
      <c r="W865" s="5"/>
    </row>
    <row r="866" spans="1:23" ht="17" x14ac:dyDescent="0.2">
      <c r="A866" s="5">
        <v>864</v>
      </c>
      <c r="B866" s="5" t="s">
        <v>1760</v>
      </c>
      <c r="C866" s="6" t="s">
        <v>1761</v>
      </c>
      <c r="D866" s="94">
        <v>4200</v>
      </c>
      <c r="E866" s="94">
        <v>14577</v>
      </c>
      <c r="F866" s="7">
        <f t="shared" si="55"/>
        <v>3.4707142857142856</v>
      </c>
      <c r="G866" s="5" t="s">
        <v>20</v>
      </c>
      <c r="H866" s="5">
        <v>150</v>
      </c>
      <c r="I866" s="96">
        <f t="shared" si="52"/>
        <v>97.18</v>
      </c>
      <c r="J866" s="5" t="s">
        <v>21</v>
      </c>
      <c r="K866" s="5" t="s">
        <v>22</v>
      </c>
      <c r="L866" s="5">
        <v>1471582800</v>
      </c>
      <c r="M866" s="5">
        <v>1472014800</v>
      </c>
      <c r="N866" s="8">
        <f t="shared" si="53"/>
        <v>42601.208333333328</v>
      </c>
      <c r="O866" s="8">
        <f t="shared" si="54"/>
        <v>42606.208333333328</v>
      </c>
      <c r="P866" s="21" t="str">
        <f>TEXT(CrowdfundingTable[[#This Row],[date_created]],"ddd")</f>
        <v>Fri</v>
      </c>
      <c r="Q866" s="21">
        <f>_xlfn.DAYS(CrowdfundingTable[[#This Row],[date_ended]],CrowdfundingTable[[#This Row],[date_created]])</f>
        <v>5</v>
      </c>
      <c r="R866" s="5" t="b">
        <v>0</v>
      </c>
      <c r="S866" s="5" t="b">
        <v>0</v>
      </c>
      <c r="T866" s="5" t="s">
        <v>100</v>
      </c>
      <c r="U866" s="5" t="s">
        <v>2032</v>
      </c>
      <c r="V866" s="5" t="s">
        <v>2059</v>
      </c>
      <c r="W866" s="5"/>
    </row>
    <row r="867" spans="1:23" ht="17" x14ac:dyDescent="0.2">
      <c r="A867" s="5">
        <v>865</v>
      </c>
      <c r="B867" s="5" t="s">
        <v>1762</v>
      </c>
      <c r="C867" s="6" t="s">
        <v>1763</v>
      </c>
      <c r="D867" s="94">
        <v>81000</v>
      </c>
      <c r="E867" s="94">
        <v>150515</v>
      </c>
      <c r="F867" s="7">
        <f t="shared" si="55"/>
        <v>1.8582098765432098</v>
      </c>
      <c r="G867" s="5" t="s">
        <v>20</v>
      </c>
      <c r="H867" s="5">
        <v>3272</v>
      </c>
      <c r="I867" s="96">
        <f t="shared" si="52"/>
        <v>46.000916870415651</v>
      </c>
      <c r="J867" s="5" t="s">
        <v>21</v>
      </c>
      <c r="K867" s="5" t="s">
        <v>22</v>
      </c>
      <c r="L867" s="5">
        <v>1410757200</v>
      </c>
      <c r="M867" s="5">
        <v>1411534800</v>
      </c>
      <c r="N867" s="8">
        <f t="shared" si="53"/>
        <v>41897.208333333336</v>
      </c>
      <c r="O867" s="8">
        <f t="shared" si="54"/>
        <v>41906.208333333336</v>
      </c>
      <c r="P867" s="21" t="str">
        <f>TEXT(CrowdfundingTable[[#This Row],[date_created]],"ddd")</f>
        <v>Mon</v>
      </c>
      <c r="Q867" s="21">
        <f>_xlfn.DAYS(CrowdfundingTable[[#This Row],[date_ended]],CrowdfundingTable[[#This Row],[date_created]])</f>
        <v>9</v>
      </c>
      <c r="R867" s="5" t="b">
        <v>0</v>
      </c>
      <c r="S867" s="5" t="b">
        <v>0</v>
      </c>
      <c r="T867" s="5" t="s">
        <v>33</v>
      </c>
      <c r="U867" s="5" t="s">
        <v>2040</v>
      </c>
      <c r="V867" s="5" t="s">
        <v>2055</v>
      </c>
      <c r="W867" s="5"/>
    </row>
    <row r="868" spans="1:23" ht="17" x14ac:dyDescent="0.2">
      <c r="A868" s="5">
        <v>866</v>
      </c>
      <c r="B868" s="5" t="s">
        <v>1764</v>
      </c>
      <c r="C868" s="6" t="s">
        <v>1765</v>
      </c>
      <c r="D868" s="94">
        <v>182800</v>
      </c>
      <c r="E868" s="94">
        <v>79045</v>
      </c>
      <c r="F868" s="7">
        <f t="shared" si="55"/>
        <v>0.43241247264770238</v>
      </c>
      <c r="G868" s="5" t="s">
        <v>74</v>
      </c>
      <c r="H868" s="5">
        <v>898</v>
      </c>
      <c r="I868" s="96">
        <f t="shared" si="52"/>
        <v>88.023385300668153</v>
      </c>
      <c r="J868" s="5" t="s">
        <v>21</v>
      </c>
      <c r="K868" s="5" t="s">
        <v>22</v>
      </c>
      <c r="L868" s="5">
        <v>1304830800</v>
      </c>
      <c r="M868" s="5">
        <v>1304917200</v>
      </c>
      <c r="N868" s="8">
        <f t="shared" si="53"/>
        <v>40671.208333333336</v>
      </c>
      <c r="O868" s="8">
        <f t="shared" si="54"/>
        <v>40672.208333333336</v>
      </c>
      <c r="P868" s="21" t="str">
        <f>TEXT(CrowdfundingTable[[#This Row],[date_created]],"ddd")</f>
        <v>Sun</v>
      </c>
      <c r="Q868" s="21">
        <f>_xlfn.DAYS(CrowdfundingTable[[#This Row],[date_ended]],CrowdfundingTable[[#This Row],[date_created]])</f>
        <v>1</v>
      </c>
      <c r="R868" s="5" t="b">
        <v>0</v>
      </c>
      <c r="S868" s="5" t="b">
        <v>0</v>
      </c>
      <c r="T868" s="5" t="s">
        <v>122</v>
      </c>
      <c r="U868" s="5" t="s">
        <v>2037</v>
      </c>
      <c r="V868" s="5" t="s">
        <v>2054</v>
      </c>
      <c r="W868" s="5"/>
    </row>
    <row r="869" spans="1:23" ht="34" x14ac:dyDescent="0.2">
      <c r="A869" s="5">
        <v>867</v>
      </c>
      <c r="B869" s="5" t="s">
        <v>1766</v>
      </c>
      <c r="C869" s="6" t="s">
        <v>1767</v>
      </c>
      <c r="D869" s="94">
        <v>4800</v>
      </c>
      <c r="E869" s="94">
        <v>7797</v>
      </c>
      <c r="F869" s="7">
        <f t="shared" si="55"/>
        <v>1.6243749999999999</v>
      </c>
      <c r="G869" s="5" t="s">
        <v>20</v>
      </c>
      <c r="H869" s="5">
        <v>300</v>
      </c>
      <c r="I869" s="96">
        <f t="shared" si="52"/>
        <v>25.99</v>
      </c>
      <c r="J869" s="5" t="s">
        <v>21</v>
      </c>
      <c r="K869" s="5" t="s">
        <v>22</v>
      </c>
      <c r="L869" s="5">
        <v>1539061200</v>
      </c>
      <c r="M869" s="5">
        <v>1539579600</v>
      </c>
      <c r="N869" s="8">
        <f t="shared" si="53"/>
        <v>43382.208333333328</v>
      </c>
      <c r="O869" s="8">
        <f t="shared" si="54"/>
        <v>43388.208333333328</v>
      </c>
      <c r="P869" s="21" t="str">
        <f>TEXT(CrowdfundingTable[[#This Row],[date_created]],"ddd")</f>
        <v>Tue</v>
      </c>
      <c r="Q869" s="21">
        <f>_xlfn.DAYS(CrowdfundingTable[[#This Row],[date_ended]],CrowdfundingTable[[#This Row],[date_created]])</f>
        <v>6</v>
      </c>
      <c r="R869" s="5" t="b">
        <v>0</v>
      </c>
      <c r="S869" s="5" t="b">
        <v>0</v>
      </c>
      <c r="T869" s="5" t="s">
        <v>17</v>
      </c>
      <c r="U869" s="5" t="s">
        <v>2033</v>
      </c>
      <c r="V869" s="5" t="s">
        <v>2048</v>
      </c>
      <c r="W869" s="5"/>
    </row>
    <row r="870" spans="1:23" ht="17" x14ac:dyDescent="0.2">
      <c r="A870" s="5">
        <v>868</v>
      </c>
      <c r="B870" s="5" t="s">
        <v>1768</v>
      </c>
      <c r="C870" s="6" t="s">
        <v>1769</v>
      </c>
      <c r="D870" s="94">
        <v>7000</v>
      </c>
      <c r="E870" s="94">
        <v>12939</v>
      </c>
      <c r="F870" s="7">
        <f t="shared" si="55"/>
        <v>1.8484285714285715</v>
      </c>
      <c r="G870" s="5" t="s">
        <v>20</v>
      </c>
      <c r="H870" s="5">
        <v>126</v>
      </c>
      <c r="I870" s="96">
        <f t="shared" si="52"/>
        <v>102.69047619047619</v>
      </c>
      <c r="J870" s="5" t="s">
        <v>21</v>
      </c>
      <c r="K870" s="5" t="s">
        <v>22</v>
      </c>
      <c r="L870" s="5">
        <v>1381554000</v>
      </c>
      <c r="M870" s="5">
        <v>1382504400</v>
      </c>
      <c r="N870" s="8">
        <f t="shared" si="53"/>
        <v>41559.208333333336</v>
      </c>
      <c r="O870" s="8">
        <f t="shared" si="54"/>
        <v>41570.208333333336</v>
      </c>
      <c r="P870" s="21" t="str">
        <f>TEXT(CrowdfundingTable[[#This Row],[date_created]],"ddd")</f>
        <v>Sat</v>
      </c>
      <c r="Q870" s="21">
        <f>_xlfn.DAYS(CrowdfundingTable[[#This Row],[date_ended]],CrowdfundingTable[[#This Row],[date_created]])</f>
        <v>11</v>
      </c>
      <c r="R870" s="5" t="b">
        <v>0</v>
      </c>
      <c r="S870" s="5" t="b">
        <v>0</v>
      </c>
      <c r="T870" s="5" t="s">
        <v>33</v>
      </c>
      <c r="U870" s="5" t="s">
        <v>2040</v>
      </c>
      <c r="V870" s="5" t="s">
        <v>2055</v>
      </c>
      <c r="W870" s="5"/>
    </row>
    <row r="871" spans="1:23" ht="17" x14ac:dyDescent="0.2">
      <c r="A871" s="5">
        <v>869</v>
      </c>
      <c r="B871" s="5" t="s">
        <v>1770</v>
      </c>
      <c r="C871" s="6" t="s">
        <v>1771</v>
      </c>
      <c r="D871" s="94">
        <v>161900</v>
      </c>
      <c r="E871" s="94">
        <v>38376</v>
      </c>
      <c r="F871" s="7">
        <f t="shared" si="55"/>
        <v>0.23703520691785052</v>
      </c>
      <c r="G871" s="5" t="s">
        <v>14</v>
      </c>
      <c r="H871" s="5">
        <v>526</v>
      </c>
      <c r="I871" s="96">
        <f t="shared" si="52"/>
        <v>72.958174904942965</v>
      </c>
      <c r="J871" s="5" t="s">
        <v>21</v>
      </c>
      <c r="K871" s="5" t="s">
        <v>22</v>
      </c>
      <c r="L871" s="5">
        <v>1277096400</v>
      </c>
      <c r="M871" s="5">
        <v>1278306000</v>
      </c>
      <c r="N871" s="8">
        <f t="shared" si="53"/>
        <v>40350.208333333336</v>
      </c>
      <c r="O871" s="8">
        <f t="shared" si="54"/>
        <v>40364.208333333336</v>
      </c>
      <c r="P871" s="21" t="str">
        <f>TEXT(CrowdfundingTable[[#This Row],[date_created]],"ddd")</f>
        <v>Mon</v>
      </c>
      <c r="Q871" s="21">
        <f>_xlfn.DAYS(CrowdfundingTable[[#This Row],[date_ended]],CrowdfundingTable[[#This Row],[date_created]])</f>
        <v>14</v>
      </c>
      <c r="R871" s="5" t="b">
        <v>0</v>
      </c>
      <c r="S871" s="5" t="b">
        <v>0</v>
      </c>
      <c r="T871" s="5" t="s">
        <v>53</v>
      </c>
      <c r="U871" s="5" t="s">
        <v>2032</v>
      </c>
      <c r="V871" s="5" t="s">
        <v>2045</v>
      </c>
      <c r="W871" s="5"/>
    </row>
    <row r="872" spans="1:23" ht="17" x14ac:dyDescent="0.2">
      <c r="A872" s="5">
        <v>870</v>
      </c>
      <c r="B872" s="5" t="s">
        <v>1772</v>
      </c>
      <c r="C872" s="6" t="s">
        <v>1773</v>
      </c>
      <c r="D872" s="94">
        <v>7700</v>
      </c>
      <c r="E872" s="94">
        <v>6920</v>
      </c>
      <c r="F872" s="7">
        <f t="shared" si="55"/>
        <v>0.89870129870129867</v>
      </c>
      <c r="G872" s="5" t="s">
        <v>14</v>
      </c>
      <c r="H872" s="5">
        <v>121</v>
      </c>
      <c r="I872" s="96">
        <f t="shared" si="52"/>
        <v>57.190082644628099</v>
      </c>
      <c r="J872" s="5" t="s">
        <v>21</v>
      </c>
      <c r="K872" s="5" t="s">
        <v>22</v>
      </c>
      <c r="L872" s="5">
        <v>1440392400</v>
      </c>
      <c r="M872" s="5">
        <v>1442552400</v>
      </c>
      <c r="N872" s="8">
        <f t="shared" si="53"/>
        <v>42240.208333333328</v>
      </c>
      <c r="O872" s="8">
        <f t="shared" si="54"/>
        <v>42265.208333333328</v>
      </c>
      <c r="P872" s="21" t="str">
        <f>TEXT(CrowdfundingTable[[#This Row],[date_created]],"ddd")</f>
        <v>Mon</v>
      </c>
      <c r="Q872" s="21">
        <f>_xlfn.DAYS(CrowdfundingTable[[#This Row],[date_ended]],CrowdfundingTable[[#This Row],[date_created]])</f>
        <v>25</v>
      </c>
      <c r="R872" s="5" t="b">
        <v>0</v>
      </c>
      <c r="S872" s="5" t="b">
        <v>0</v>
      </c>
      <c r="T872" s="5" t="s">
        <v>33</v>
      </c>
      <c r="U872" s="5" t="s">
        <v>2040</v>
      </c>
      <c r="V872" s="5" t="s">
        <v>2055</v>
      </c>
      <c r="W872" s="5"/>
    </row>
    <row r="873" spans="1:23" ht="34" x14ac:dyDescent="0.2">
      <c r="A873" s="5">
        <v>871</v>
      </c>
      <c r="B873" s="5" t="s">
        <v>1774</v>
      </c>
      <c r="C873" s="6" t="s">
        <v>1775</v>
      </c>
      <c r="D873" s="94">
        <v>71500</v>
      </c>
      <c r="E873" s="94">
        <v>194912</v>
      </c>
      <c r="F873" s="7">
        <f t="shared" si="55"/>
        <v>2.7260419580419581</v>
      </c>
      <c r="G873" s="5" t="s">
        <v>20</v>
      </c>
      <c r="H873" s="5">
        <v>2320</v>
      </c>
      <c r="I873" s="96">
        <f t="shared" si="52"/>
        <v>84.013793103448279</v>
      </c>
      <c r="J873" s="5" t="s">
        <v>21</v>
      </c>
      <c r="K873" s="5" t="s">
        <v>22</v>
      </c>
      <c r="L873" s="5">
        <v>1509512400</v>
      </c>
      <c r="M873" s="5">
        <v>1511071200</v>
      </c>
      <c r="N873" s="8">
        <f t="shared" si="53"/>
        <v>43040.208333333328</v>
      </c>
      <c r="O873" s="8">
        <f t="shared" si="54"/>
        <v>43058.25</v>
      </c>
      <c r="P873" s="21" t="str">
        <f>TEXT(CrowdfundingTable[[#This Row],[date_created]],"ddd")</f>
        <v>Wed</v>
      </c>
      <c r="Q873" s="21">
        <f>_xlfn.DAYS(CrowdfundingTable[[#This Row],[date_ended]],CrowdfundingTable[[#This Row],[date_created]])</f>
        <v>18</v>
      </c>
      <c r="R873" s="5" t="b">
        <v>0</v>
      </c>
      <c r="S873" s="5" t="b">
        <v>1</v>
      </c>
      <c r="T873" s="5" t="s">
        <v>33</v>
      </c>
      <c r="U873" s="5" t="s">
        <v>2040</v>
      </c>
      <c r="V873" s="5" t="s">
        <v>2055</v>
      </c>
      <c r="W873" s="5"/>
    </row>
    <row r="874" spans="1:23" ht="17" x14ac:dyDescent="0.2">
      <c r="A874" s="5">
        <v>872</v>
      </c>
      <c r="B874" s="5" t="s">
        <v>1776</v>
      </c>
      <c r="C874" s="6" t="s">
        <v>1777</v>
      </c>
      <c r="D874" s="94">
        <v>4700</v>
      </c>
      <c r="E874" s="94">
        <v>7992</v>
      </c>
      <c r="F874" s="7">
        <f t="shared" si="55"/>
        <v>1.7004255319148935</v>
      </c>
      <c r="G874" s="5" t="s">
        <v>20</v>
      </c>
      <c r="H874" s="5">
        <v>81</v>
      </c>
      <c r="I874" s="96">
        <f t="shared" si="52"/>
        <v>98.666666666666671</v>
      </c>
      <c r="J874" s="5" t="s">
        <v>26</v>
      </c>
      <c r="K874" s="5" t="s">
        <v>27</v>
      </c>
      <c r="L874" s="5">
        <v>1535950800</v>
      </c>
      <c r="M874" s="5">
        <v>1536382800</v>
      </c>
      <c r="N874" s="8">
        <f t="shared" si="53"/>
        <v>43346.208333333328</v>
      </c>
      <c r="O874" s="8">
        <f t="shared" si="54"/>
        <v>43351.208333333328</v>
      </c>
      <c r="P874" s="21" t="str">
        <f>TEXT(CrowdfundingTable[[#This Row],[date_created]],"ddd")</f>
        <v>Mon</v>
      </c>
      <c r="Q874" s="21">
        <f>_xlfn.DAYS(CrowdfundingTable[[#This Row],[date_ended]],CrowdfundingTable[[#This Row],[date_created]])</f>
        <v>5</v>
      </c>
      <c r="R874" s="5" t="b">
        <v>0</v>
      </c>
      <c r="S874" s="5" t="b">
        <v>0</v>
      </c>
      <c r="T874" s="5" t="s">
        <v>474</v>
      </c>
      <c r="U874" s="5" t="s">
        <v>2032</v>
      </c>
      <c r="V874" s="5" t="s">
        <v>2058</v>
      </c>
      <c r="W874" s="5"/>
    </row>
    <row r="875" spans="1:23" ht="17" x14ac:dyDescent="0.2">
      <c r="A875" s="5">
        <v>873</v>
      </c>
      <c r="B875" s="5" t="s">
        <v>1778</v>
      </c>
      <c r="C875" s="6" t="s">
        <v>1779</v>
      </c>
      <c r="D875" s="94">
        <v>42100</v>
      </c>
      <c r="E875" s="94">
        <v>79268</v>
      </c>
      <c r="F875" s="7">
        <f t="shared" si="55"/>
        <v>1.8828503562945369</v>
      </c>
      <c r="G875" s="5" t="s">
        <v>20</v>
      </c>
      <c r="H875" s="5">
        <v>1887</v>
      </c>
      <c r="I875" s="96">
        <f t="shared" si="52"/>
        <v>42.007419183889773</v>
      </c>
      <c r="J875" s="5" t="s">
        <v>21</v>
      </c>
      <c r="K875" s="5" t="s">
        <v>22</v>
      </c>
      <c r="L875" s="5">
        <v>1389160800</v>
      </c>
      <c r="M875" s="5">
        <v>1389592800</v>
      </c>
      <c r="N875" s="8">
        <f t="shared" si="53"/>
        <v>41647.25</v>
      </c>
      <c r="O875" s="8">
        <f t="shared" si="54"/>
        <v>41652.25</v>
      </c>
      <c r="P875" s="21" t="str">
        <f>TEXT(CrowdfundingTable[[#This Row],[date_created]],"ddd")</f>
        <v>Wed</v>
      </c>
      <c r="Q875" s="21">
        <f>_xlfn.DAYS(CrowdfundingTable[[#This Row],[date_ended]],CrowdfundingTable[[#This Row],[date_created]])</f>
        <v>5</v>
      </c>
      <c r="R875" s="5" t="b">
        <v>0</v>
      </c>
      <c r="S875" s="5" t="b">
        <v>0</v>
      </c>
      <c r="T875" s="5" t="s">
        <v>122</v>
      </c>
      <c r="U875" s="5" t="s">
        <v>2037</v>
      </c>
      <c r="V875" s="5" t="s">
        <v>2054</v>
      </c>
      <c r="W875" s="5"/>
    </row>
    <row r="876" spans="1:23" ht="17" x14ac:dyDescent="0.2">
      <c r="A876" s="5">
        <v>874</v>
      </c>
      <c r="B876" s="5" t="s">
        <v>1780</v>
      </c>
      <c r="C876" s="6" t="s">
        <v>1781</v>
      </c>
      <c r="D876" s="94">
        <v>40200</v>
      </c>
      <c r="E876" s="94">
        <v>139468</v>
      </c>
      <c r="F876" s="7">
        <f t="shared" si="55"/>
        <v>3.4693532338308457</v>
      </c>
      <c r="G876" s="5" t="s">
        <v>20</v>
      </c>
      <c r="H876" s="5">
        <v>4358</v>
      </c>
      <c r="I876" s="96">
        <f t="shared" si="52"/>
        <v>32.002753556677376</v>
      </c>
      <c r="J876" s="5" t="s">
        <v>21</v>
      </c>
      <c r="K876" s="5" t="s">
        <v>22</v>
      </c>
      <c r="L876" s="5">
        <v>1271998800</v>
      </c>
      <c r="M876" s="5">
        <v>1275282000</v>
      </c>
      <c r="N876" s="8">
        <f t="shared" si="53"/>
        <v>40291.208333333336</v>
      </c>
      <c r="O876" s="8">
        <f t="shared" si="54"/>
        <v>40329.208333333336</v>
      </c>
      <c r="P876" s="21" t="str">
        <f>TEXT(CrowdfundingTable[[#This Row],[date_created]],"ddd")</f>
        <v>Fri</v>
      </c>
      <c r="Q876" s="21">
        <f>_xlfn.DAYS(CrowdfundingTable[[#This Row],[date_ended]],CrowdfundingTable[[#This Row],[date_created]])</f>
        <v>38</v>
      </c>
      <c r="R876" s="5" t="b">
        <v>0</v>
      </c>
      <c r="S876" s="5" t="b">
        <v>1</v>
      </c>
      <c r="T876" s="5" t="s">
        <v>122</v>
      </c>
      <c r="U876" s="5" t="s">
        <v>2037</v>
      </c>
      <c r="V876" s="5" t="s">
        <v>2054</v>
      </c>
      <c r="W876" s="5"/>
    </row>
    <row r="877" spans="1:23" ht="17" x14ac:dyDescent="0.2">
      <c r="A877" s="5">
        <v>875</v>
      </c>
      <c r="B877" s="5" t="s">
        <v>1782</v>
      </c>
      <c r="C877" s="6" t="s">
        <v>1783</v>
      </c>
      <c r="D877" s="94">
        <v>7900</v>
      </c>
      <c r="E877" s="94">
        <v>5465</v>
      </c>
      <c r="F877" s="7">
        <f t="shared" si="55"/>
        <v>0.6917721518987342</v>
      </c>
      <c r="G877" s="5" t="s">
        <v>14</v>
      </c>
      <c r="H877" s="5">
        <v>67</v>
      </c>
      <c r="I877" s="96">
        <f t="shared" si="52"/>
        <v>81.567164179104481</v>
      </c>
      <c r="J877" s="5" t="s">
        <v>21</v>
      </c>
      <c r="K877" s="5" t="s">
        <v>22</v>
      </c>
      <c r="L877" s="5">
        <v>1294898400</v>
      </c>
      <c r="M877" s="5">
        <v>1294984800</v>
      </c>
      <c r="N877" s="8">
        <f t="shared" si="53"/>
        <v>40556.25</v>
      </c>
      <c r="O877" s="8">
        <f t="shared" si="54"/>
        <v>40557.25</v>
      </c>
      <c r="P877" s="21" t="str">
        <f>TEXT(CrowdfundingTable[[#This Row],[date_created]],"ddd")</f>
        <v>Thu</v>
      </c>
      <c r="Q877" s="21">
        <f>_xlfn.DAYS(CrowdfundingTable[[#This Row],[date_ended]],CrowdfundingTable[[#This Row],[date_created]])</f>
        <v>1</v>
      </c>
      <c r="R877" s="5" t="b">
        <v>0</v>
      </c>
      <c r="S877" s="5" t="b">
        <v>0</v>
      </c>
      <c r="T877" s="5" t="s">
        <v>23</v>
      </c>
      <c r="U877" s="5" t="s">
        <v>2036</v>
      </c>
      <c r="V877" s="5" t="s">
        <v>2057</v>
      </c>
      <c r="W877" s="5"/>
    </row>
    <row r="878" spans="1:23" ht="17" x14ac:dyDescent="0.2">
      <c r="A878" s="5">
        <v>876</v>
      </c>
      <c r="B878" s="5" t="s">
        <v>1784</v>
      </c>
      <c r="C878" s="6" t="s">
        <v>1785</v>
      </c>
      <c r="D878" s="94">
        <v>8300</v>
      </c>
      <c r="E878" s="94">
        <v>2111</v>
      </c>
      <c r="F878" s="7">
        <f t="shared" si="55"/>
        <v>0.25433734939759034</v>
      </c>
      <c r="G878" s="5" t="s">
        <v>14</v>
      </c>
      <c r="H878" s="5">
        <v>57</v>
      </c>
      <c r="I878" s="96">
        <f t="shared" si="52"/>
        <v>37.035087719298247</v>
      </c>
      <c r="J878" s="5" t="s">
        <v>15</v>
      </c>
      <c r="K878" s="5" t="s">
        <v>16</v>
      </c>
      <c r="L878" s="5">
        <v>1559970000</v>
      </c>
      <c r="M878" s="5">
        <v>1562043600</v>
      </c>
      <c r="N878" s="8">
        <f t="shared" si="53"/>
        <v>43624.208333333328</v>
      </c>
      <c r="O878" s="8">
        <f t="shared" si="54"/>
        <v>43648.208333333328</v>
      </c>
      <c r="P878" s="21" t="str">
        <f>TEXT(CrowdfundingTable[[#This Row],[date_created]],"ddd")</f>
        <v>Sat</v>
      </c>
      <c r="Q878" s="21">
        <f>_xlfn.DAYS(CrowdfundingTable[[#This Row],[date_ended]],CrowdfundingTable[[#This Row],[date_created]])</f>
        <v>24</v>
      </c>
      <c r="R878" s="5" t="b">
        <v>0</v>
      </c>
      <c r="S878" s="5" t="b">
        <v>0</v>
      </c>
      <c r="T878" s="5" t="s">
        <v>122</v>
      </c>
      <c r="U878" s="5" t="s">
        <v>2037</v>
      </c>
      <c r="V878" s="5" t="s">
        <v>2054</v>
      </c>
      <c r="W878" s="5"/>
    </row>
    <row r="879" spans="1:23" ht="17" x14ac:dyDescent="0.2">
      <c r="A879" s="5">
        <v>877</v>
      </c>
      <c r="B879" s="5" t="s">
        <v>1786</v>
      </c>
      <c r="C879" s="6" t="s">
        <v>1787</v>
      </c>
      <c r="D879" s="94">
        <v>163600</v>
      </c>
      <c r="E879" s="94">
        <v>126628</v>
      </c>
      <c r="F879" s="7">
        <f t="shared" si="55"/>
        <v>0.77400977995110021</v>
      </c>
      <c r="G879" s="5" t="s">
        <v>14</v>
      </c>
      <c r="H879" s="5">
        <v>1229</v>
      </c>
      <c r="I879" s="96">
        <f t="shared" si="52"/>
        <v>103.033360455655</v>
      </c>
      <c r="J879" s="5" t="s">
        <v>21</v>
      </c>
      <c r="K879" s="5" t="s">
        <v>22</v>
      </c>
      <c r="L879" s="5">
        <v>1469509200</v>
      </c>
      <c r="M879" s="5">
        <v>1469595600</v>
      </c>
      <c r="N879" s="8">
        <f t="shared" si="53"/>
        <v>42577.208333333328</v>
      </c>
      <c r="O879" s="8">
        <f t="shared" si="54"/>
        <v>42578.208333333328</v>
      </c>
      <c r="P879" s="21" t="str">
        <f>TEXT(CrowdfundingTable[[#This Row],[date_created]],"ddd")</f>
        <v>Tue</v>
      </c>
      <c r="Q879" s="21">
        <f>_xlfn.DAYS(CrowdfundingTable[[#This Row],[date_ended]],CrowdfundingTable[[#This Row],[date_created]])</f>
        <v>1</v>
      </c>
      <c r="R879" s="5" t="b">
        <v>0</v>
      </c>
      <c r="S879" s="5" t="b">
        <v>0</v>
      </c>
      <c r="T879" s="5" t="s">
        <v>17</v>
      </c>
      <c r="U879" s="5" t="s">
        <v>2033</v>
      </c>
      <c r="V879" s="5" t="s">
        <v>2048</v>
      </c>
      <c r="W879" s="5"/>
    </row>
    <row r="880" spans="1:23" ht="17" x14ac:dyDescent="0.2">
      <c r="A880" s="5">
        <v>878</v>
      </c>
      <c r="B880" s="5" t="s">
        <v>1788</v>
      </c>
      <c r="C880" s="6" t="s">
        <v>1789</v>
      </c>
      <c r="D880" s="94">
        <v>2700</v>
      </c>
      <c r="E880" s="94">
        <v>1012</v>
      </c>
      <c r="F880" s="7">
        <f t="shared" si="55"/>
        <v>0.37481481481481482</v>
      </c>
      <c r="G880" s="5" t="s">
        <v>14</v>
      </c>
      <c r="H880" s="5">
        <v>12</v>
      </c>
      <c r="I880" s="96">
        <f t="shared" si="52"/>
        <v>84.333333333333329</v>
      </c>
      <c r="J880" s="5" t="s">
        <v>107</v>
      </c>
      <c r="K880" s="5" t="s">
        <v>108</v>
      </c>
      <c r="L880" s="5">
        <v>1579068000</v>
      </c>
      <c r="M880" s="5">
        <v>1581141600</v>
      </c>
      <c r="N880" s="8">
        <f t="shared" si="53"/>
        <v>43845.25</v>
      </c>
      <c r="O880" s="8">
        <f t="shared" si="54"/>
        <v>43869.25</v>
      </c>
      <c r="P880" s="21" t="str">
        <f>TEXT(CrowdfundingTable[[#This Row],[date_created]],"ddd")</f>
        <v>Wed</v>
      </c>
      <c r="Q880" s="21">
        <f>_xlfn.DAYS(CrowdfundingTable[[#This Row],[date_ended]],CrowdfundingTable[[#This Row],[date_created]])</f>
        <v>24</v>
      </c>
      <c r="R880" s="5" t="b">
        <v>0</v>
      </c>
      <c r="S880" s="5" t="b">
        <v>0</v>
      </c>
      <c r="T880" s="5" t="s">
        <v>148</v>
      </c>
      <c r="U880" s="5" t="s">
        <v>2036</v>
      </c>
      <c r="V880" s="5" t="s">
        <v>2051</v>
      </c>
      <c r="W880" s="5"/>
    </row>
    <row r="881" spans="1:23" ht="17" x14ac:dyDescent="0.2">
      <c r="A881" s="5">
        <v>879</v>
      </c>
      <c r="B881" s="5" t="s">
        <v>1790</v>
      </c>
      <c r="C881" s="6" t="s">
        <v>1791</v>
      </c>
      <c r="D881" s="94">
        <v>1000</v>
      </c>
      <c r="E881" s="94">
        <v>5438</v>
      </c>
      <c r="F881" s="7">
        <f t="shared" si="55"/>
        <v>5.4379999999999997</v>
      </c>
      <c r="G881" s="5" t="s">
        <v>20</v>
      </c>
      <c r="H881" s="5">
        <v>53</v>
      </c>
      <c r="I881" s="96">
        <f t="shared" si="52"/>
        <v>102.60377358490567</v>
      </c>
      <c r="J881" s="5" t="s">
        <v>21</v>
      </c>
      <c r="K881" s="5" t="s">
        <v>22</v>
      </c>
      <c r="L881" s="5">
        <v>1487743200</v>
      </c>
      <c r="M881" s="5">
        <v>1488520800</v>
      </c>
      <c r="N881" s="8">
        <f t="shared" si="53"/>
        <v>42788.25</v>
      </c>
      <c r="O881" s="8">
        <f t="shared" si="54"/>
        <v>42797.25</v>
      </c>
      <c r="P881" s="21" t="str">
        <f>TEXT(CrowdfundingTable[[#This Row],[date_created]],"ddd")</f>
        <v>Wed</v>
      </c>
      <c r="Q881" s="21">
        <f>_xlfn.DAYS(CrowdfundingTable[[#This Row],[date_ended]],CrowdfundingTable[[#This Row],[date_created]])</f>
        <v>9</v>
      </c>
      <c r="R881" s="5" t="b">
        <v>0</v>
      </c>
      <c r="S881" s="5" t="b">
        <v>0</v>
      </c>
      <c r="T881" s="5" t="s">
        <v>68</v>
      </c>
      <c r="U881" s="5" t="s">
        <v>2038</v>
      </c>
      <c r="V881" s="5" t="s">
        <v>2053</v>
      </c>
      <c r="W881" s="5"/>
    </row>
    <row r="882" spans="1:23" ht="17" x14ac:dyDescent="0.2">
      <c r="A882" s="5">
        <v>880</v>
      </c>
      <c r="B882" s="5" t="s">
        <v>1792</v>
      </c>
      <c r="C882" s="6" t="s">
        <v>1793</v>
      </c>
      <c r="D882" s="94">
        <v>84500</v>
      </c>
      <c r="E882" s="94">
        <v>193101</v>
      </c>
      <c r="F882" s="7">
        <f t="shared" si="55"/>
        <v>2.2852189349112426</v>
      </c>
      <c r="G882" s="5" t="s">
        <v>20</v>
      </c>
      <c r="H882" s="5">
        <v>2414</v>
      </c>
      <c r="I882" s="96">
        <f t="shared" si="52"/>
        <v>79.992129246064621</v>
      </c>
      <c r="J882" s="5" t="s">
        <v>21</v>
      </c>
      <c r="K882" s="5" t="s">
        <v>22</v>
      </c>
      <c r="L882" s="5">
        <v>1563685200</v>
      </c>
      <c r="M882" s="5">
        <v>1563858000</v>
      </c>
      <c r="N882" s="8">
        <f t="shared" si="53"/>
        <v>43667.208333333328</v>
      </c>
      <c r="O882" s="8">
        <f t="shared" si="54"/>
        <v>43669.208333333328</v>
      </c>
      <c r="P882" s="21" t="str">
        <f>TEXT(CrowdfundingTable[[#This Row],[date_created]],"ddd")</f>
        <v>Sun</v>
      </c>
      <c r="Q882" s="21">
        <f>_xlfn.DAYS(CrowdfundingTable[[#This Row],[date_ended]],CrowdfundingTable[[#This Row],[date_created]])</f>
        <v>2</v>
      </c>
      <c r="R882" s="5" t="b">
        <v>0</v>
      </c>
      <c r="S882" s="5" t="b">
        <v>0</v>
      </c>
      <c r="T882" s="5" t="s">
        <v>50</v>
      </c>
      <c r="U882" s="5" t="s">
        <v>2036</v>
      </c>
      <c r="V882" s="5" t="s">
        <v>2046</v>
      </c>
      <c r="W882" s="5"/>
    </row>
    <row r="883" spans="1:23" ht="17" x14ac:dyDescent="0.2">
      <c r="A883" s="5">
        <v>881</v>
      </c>
      <c r="B883" s="5" t="s">
        <v>1794</v>
      </c>
      <c r="C883" s="6" t="s">
        <v>1795</v>
      </c>
      <c r="D883" s="94">
        <v>81300</v>
      </c>
      <c r="E883" s="94">
        <v>31665</v>
      </c>
      <c r="F883" s="7">
        <f t="shared" si="55"/>
        <v>0.38948339483394834</v>
      </c>
      <c r="G883" s="5" t="s">
        <v>14</v>
      </c>
      <c r="H883" s="5">
        <v>452</v>
      </c>
      <c r="I883" s="96">
        <f t="shared" si="52"/>
        <v>70.055309734513273</v>
      </c>
      <c r="J883" s="5" t="s">
        <v>21</v>
      </c>
      <c r="K883" s="5" t="s">
        <v>22</v>
      </c>
      <c r="L883" s="5">
        <v>1436418000</v>
      </c>
      <c r="M883" s="5">
        <v>1438923600</v>
      </c>
      <c r="N883" s="8">
        <f t="shared" si="53"/>
        <v>42194.208333333328</v>
      </c>
      <c r="O883" s="8">
        <f t="shared" si="54"/>
        <v>42223.208333333328</v>
      </c>
      <c r="P883" s="21" t="str">
        <f>TEXT(CrowdfundingTable[[#This Row],[date_created]],"ddd")</f>
        <v>Thu</v>
      </c>
      <c r="Q883" s="21">
        <f>_xlfn.DAYS(CrowdfundingTable[[#This Row],[date_ended]],CrowdfundingTable[[#This Row],[date_created]])</f>
        <v>29</v>
      </c>
      <c r="R883" s="5" t="b">
        <v>0</v>
      </c>
      <c r="S883" s="5" t="b">
        <v>1</v>
      </c>
      <c r="T883" s="5" t="s">
        <v>33</v>
      </c>
      <c r="U883" s="5" t="s">
        <v>2040</v>
      </c>
      <c r="V883" s="5" t="s">
        <v>2055</v>
      </c>
      <c r="W883" s="5"/>
    </row>
    <row r="884" spans="1:23" ht="17" x14ac:dyDescent="0.2">
      <c r="A884" s="5">
        <v>882</v>
      </c>
      <c r="B884" s="5" t="s">
        <v>1796</v>
      </c>
      <c r="C884" s="6" t="s">
        <v>1797</v>
      </c>
      <c r="D884" s="94">
        <v>800</v>
      </c>
      <c r="E884" s="94">
        <v>2960</v>
      </c>
      <c r="F884" s="7">
        <f t="shared" si="55"/>
        <v>3.7</v>
      </c>
      <c r="G884" s="5" t="s">
        <v>20</v>
      </c>
      <c r="H884" s="5">
        <v>80</v>
      </c>
      <c r="I884" s="96">
        <f t="shared" si="52"/>
        <v>37</v>
      </c>
      <c r="J884" s="5" t="s">
        <v>21</v>
      </c>
      <c r="K884" s="5" t="s">
        <v>22</v>
      </c>
      <c r="L884" s="5">
        <v>1421820000</v>
      </c>
      <c r="M884" s="5">
        <v>1422165600</v>
      </c>
      <c r="N884" s="8">
        <f t="shared" si="53"/>
        <v>42025.25</v>
      </c>
      <c r="O884" s="8">
        <f t="shared" si="54"/>
        <v>42029.25</v>
      </c>
      <c r="P884" s="21" t="str">
        <f>TEXT(CrowdfundingTable[[#This Row],[date_created]],"ddd")</f>
        <v>Wed</v>
      </c>
      <c r="Q884" s="21">
        <f>_xlfn.DAYS(CrowdfundingTable[[#This Row],[date_ended]],CrowdfundingTable[[#This Row],[date_created]])</f>
        <v>4</v>
      </c>
      <c r="R884" s="5" t="b">
        <v>0</v>
      </c>
      <c r="S884" s="5" t="b">
        <v>0</v>
      </c>
      <c r="T884" s="5" t="s">
        <v>33</v>
      </c>
      <c r="U884" s="5" t="s">
        <v>2040</v>
      </c>
      <c r="V884" s="5" t="s">
        <v>2055</v>
      </c>
      <c r="W884" s="5"/>
    </row>
    <row r="885" spans="1:23" ht="34" x14ac:dyDescent="0.2">
      <c r="A885" s="5">
        <v>883</v>
      </c>
      <c r="B885" s="5" t="s">
        <v>1798</v>
      </c>
      <c r="C885" s="6" t="s">
        <v>1799</v>
      </c>
      <c r="D885" s="94">
        <v>3400</v>
      </c>
      <c r="E885" s="94">
        <v>8089</v>
      </c>
      <c r="F885" s="7">
        <f t="shared" si="55"/>
        <v>2.3791176470588233</v>
      </c>
      <c r="G885" s="5" t="s">
        <v>20</v>
      </c>
      <c r="H885" s="5">
        <v>193</v>
      </c>
      <c r="I885" s="96">
        <f t="shared" si="52"/>
        <v>41.911917098445599</v>
      </c>
      <c r="J885" s="5" t="s">
        <v>21</v>
      </c>
      <c r="K885" s="5" t="s">
        <v>22</v>
      </c>
      <c r="L885" s="5">
        <v>1274763600</v>
      </c>
      <c r="M885" s="5">
        <v>1277874000</v>
      </c>
      <c r="N885" s="8">
        <f t="shared" si="53"/>
        <v>40323.208333333336</v>
      </c>
      <c r="O885" s="8">
        <f t="shared" si="54"/>
        <v>40359.208333333336</v>
      </c>
      <c r="P885" s="21" t="str">
        <f>TEXT(CrowdfundingTable[[#This Row],[date_created]],"ddd")</f>
        <v>Tue</v>
      </c>
      <c r="Q885" s="21">
        <f>_xlfn.DAYS(CrowdfundingTable[[#This Row],[date_ended]],CrowdfundingTable[[#This Row],[date_created]])</f>
        <v>36</v>
      </c>
      <c r="R885" s="5" t="b">
        <v>0</v>
      </c>
      <c r="S885" s="5" t="b">
        <v>0</v>
      </c>
      <c r="T885" s="5" t="s">
        <v>100</v>
      </c>
      <c r="U885" s="5" t="s">
        <v>2032</v>
      </c>
      <c r="V885" s="5" t="s">
        <v>2059</v>
      </c>
      <c r="W885" s="5"/>
    </row>
    <row r="886" spans="1:23" ht="17" x14ac:dyDescent="0.2">
      <c r="A886" s="5">
        <v>884</v>
      </c>
      <c r="B886" s="5" t="s">
        <v>1800</v>
      </c>
      <c r="C886" s="6" t="s">
        <v>1801</v>
      </c>
      <c r="D886" s="94">
        <v>170800</v>
      </c>
      <c r="E886" s="94">
        <v>109374</v>
      </c>
      <c r="F886" s="7">
        <f t="shared" si="55"/>
        <v>0.64036299765807958</v>
      </c>
      <c r="G886" s="5" t="s">
        <v>14</v>
      </c>
      <c r="H886" s="5">
        <v>1886</v>
      </c>
      <c r="I886" s="96">
        <f t="shared" si="52"/>
        <v>57.992576882290564</v>
      </c>
      <c r="J886" s="5" t="s">
        <v>21</v>
      </c>
      <c r="K886" s="5" t="s">
        <v>22</v>
      </c>
      <c r="L886" s="5">
        <v>1399179600</v>
      </c>
      <c r="M886" s="5">
        <v>1399352400</v>
      </c>
      <c r="N886" s="8">
        <f t="shared" si="53"/>
        <v>41763.208333333336</v>
      </c>
      <c r="O886" s="8">
        <f t="shared" si="54"/>
        <v>41765.208333333336</v>
      </c>
      <c r="P886" s="21" t="str">
        <f>TEXT(CrowdfundingTable[[#This Row],[date_created]],"ddd")</f>
        <v>Sun</v>
      </c>
      <c r="Q886" s="21">
        <f>_xlfn.DAYS(CrowdfundingTable[[#This Row],[date_ended]],CrowdfundingTable[[#This Row],[date_created]])</f>
        <v>2</v>
      </c>
      <c r="R886" s="5" t="b">
        <v>0</v>
      </c>
      <c r="S886" s="5" t="b">
        <v>1</v>
      </c>
      <c r="T886" s="5" t="s">
        <v>33</v>
      </c>
      <c r="U886" s="5" t="s">
        <v>2040</v>
      </c>
      <c r="V886" s="5" t="s">
        <v>2055</v>
      </c>
      <c r="W886" s="5"/>
    </row>
    <row r="887" spans="1:23" ht="17" x14ac:dyDescent="0.2">
      <c r="A887" s="5">
        <v>885</v>
      </c>
      <c r="B887" s="5" t="s">
        <v>1802</v>
      </c>
      <c r="C887" s="6" t="s">
        <v>1803</v>
      </c>
      <c r="D887" s="94">
        <v>1800</v>
      </c>
      <c r="E887" s="94">
        <v>2129</v>
      </c>
      <c r="F887" s="7">
        <f t="shared" si="55"/>
        <v>1.1827777777777777</v>
      </c>
      <c r="G887" s="5" t="s">
        <v>20</v>
      </c>
      <c r="H887" s="5">
        <v>52</v>
      </c>
      <c r="I887" s="96">
        <f t="shared" si="52"/>
        <v>40.942307692307693</v>
      </c>
      <c r="J887" s="5" t="s">
        <v>21</v>
      </c>
      <c r="K887" s="5" t="s">
        <v>22</v>
      </c>
      <c r="L887" s="5">
        <v>1275800400</v>
      </c>
      <c r="M887" s="5">
        <v>1279083600</v>
      </c>
      <c r="N887" s="8">
        <f t="shared" si="53"/>
        <v>40335.208333333336</v>
      </c>
      <c r="O887" s="8">
        <f t="shared" si="54"/>
        <v>40373.208333333336</v>
      </c>
      <c r="P887" s="21" t="str">
        <f>TEXT(CrowdfundingTable[[#This Row],[date_created]],"ddd")</f>
        <v>Sun</v>
      </c>
      <c r="Q887" s="21">
        <f>_xlfn.DAYS(CrowdfundingTable[[#This Row],[date_ended]],CrowdfundingTable[[#This Row],[date_created]])</f>
        <v>38</v>
      </c>
      <c r="R887" s="5" t="b">
        <v>0</v>
      </c>
      <c r="S887" s="5" t="b">
        <v>0</v>
      </c>
      <c r="T887" s="5" t="s">
        <v>33</v>
      </c>
      <c r="U887" s="5" t="s">
        <v>2040</v>
      </c>
      <c r="V887" s="5" t="s">
        <v>2055</v>
      </c>
      <c r="W887" s="5"/>
    </row>
    <row r="888" spans="1:23" ht="17" x14ac:dyDescent="0.2">
      <c r="A888" s="5">
        <v>886</v>
      </c>
      <c r="B888" s="5" t="s">
        <v>1804</v>
      </c>
      <c r="C888" s="6" t="s">
        <v>1805</v>
      </c>
      <c r="D888" s="94">
        <v>150600</v>
      </c>
      <c r="E888" s="94">
        <v>127745</v>
      </c>
      <c r="F888" s="7">
        <f t="shared" si="55"/>
        <v>0.84824037184594958</v>
      </c>
      <c r="G888" s="5" t="s">
        <v>14</v>
      </c>
      <c r="H888" s="5">
        <v>1825</v>
      </c>
      <c r="I888" s="96">
        <f t="shared" si="52"/>
        <v>69.9972602739726</v>
      </c>
      <c r="J888" s="5" t="s">
        <v>21</v>
      </c>
      <c r="K888" s="5" t="s">
        <v>22</v>
      </c>
      <c r="L888" s="5">
        <v>1282798800</v>
      </c>
      <c r="M888" s="5">
        <v>1284354000</v>
      </c>
      <c r="N888" s="8">
        <f t="shared" si="53"/>
        <v>40416.208333333336</v>
      </c>
      <c r="O888" s="8">
        <f t="shared" si="54"/>
        <v>40434.208333333336</v>
      </c>
      <c r="P888" s="21" t="str">
        <f>TEXT(CrowdfundingTable[[#This Row],[date_created]],"ddd")</f>
        <v>Thu</v>
      </c>
      <c r="Q888" s="21">
        <f>_xlfn.DAYS(CrowdfundingTable[[#This Row],[date_ended]],CrowdfundingTable[[#This Row],[date_created]])</f>
        <v>18</v>
      </c>
      <c r="R888" s="5" t="b">
        <v>0</v>
      </c>
      <c r="S888" s="5" t="b">
        <v>0</v>
      </c>
      <c r="T888" s="5" t="s">
        <v>60</v>
      </c>
      <c r="U888" s="5" t="s">
        <v>2036</v>
      </c>
      <c r="V888" s="5" t="s">
        <v>2049</v>
      </c>
      <c r="W888" s="5"/>
    </row>
    <row r="889" spans="1:23" ht="17" x14ac:dyDescent="0.2">
      <c r="A889" s="5">
        <v>887</v>
      </c>
      <c r="B889" s="5" t="s">
        <v>1806</v>
      </c>
      <c r="C889" s="6" t="s">
        <v>1807</v>
      </c>
      <c r="D889" s="94">
        <v>7800</v>
      </c>
      <c r="E889" s="94">
        <v>2289</v>
      </c>
      <c r="F889" s="7">
        <f t="shared" si="55"/>
        <v>0.29346153846153844</v>
      </c>
      <c r="G889" s="5" t="s">
        <v>14</v>
      </c>
      <c r="H889" s="5">
        <v>31</v>
      </c>
      <c r="I889" s="96">
        <f t="shared" si="52"/>
        <v>73.838709677419359</v>
      </c>
      <c r="J889" s="5" t="s">
        <v>21</v>
      </c>
      <c r="K889" s="5" t="s">
        <v>22</v>
      </c>
      <c r="L889" s="5">
        <v>1437109200</v>
      </c>
      <c r="M889" s="5">
        <v>1441170000</v>
      </c>
      <c r="N889" s="8">
        <f t="shared" si="53"/>
        <v>42202.208333333328</v>
      </c>
      <c r="O889" s="8">
        <f t="shared" si="54"/>
        <v>42249.208333333328</v>
      </c>
      <c r="P889" s="21" t="str">
        <f>TEXT(CrowdfundingTable[[#This Row],[date_created]],"ddd")</f>
        <v>Fri</v>
      </c>
      <c r="Q889" s="21">
        <f>_xlfn.DAYS(CrowdfundingTable[[#This Row],[date_ended]],CrowdfundingTable[[#This Row],[date_created]])</f>
        <v>47</v>
      </c>
      <c r="R889" s="5" t="b">
        <v>0</v>
      </c>
      <c r="S889" s="5" t="b">
        <v>1</v>
      </c>
      <c r="T889" s="5" t="s">
        <v>33</v>
      </c>
      <c r="U889" s="5" t="s">
        <v>2040</v>
      </c>
      <c r="V889" s="5" t="s">
        <v>2055</v>
      </c>
      <c r="W889" s="5"/>
    </row>
    <row r="890" spans="1:23" ht="34" x14ac:dyDescent="0.2">
      <c r="A890" s="5">
        <v>888</v>
      </c>
      <c r="B890" s="5" t="s">
        <v>1808</v>
      </c>
      <c r="C890" s="6" t="s">
        <v>1809</v>
      </c>
      <c r="D890" s="94">
        <v>5800</v>
      </c>
      <c r="E890" s="94">
        <v>12174</v>
      </c>
      <c r="F890" s="7">
        <f t="shared" si="55"/>
        <v>2.0989655172413793</v>
      </c>
      <c r="G890" s="5" t="s">
        <v>20</v>
      </c>
      <c r="H890" s="5">
        <v>290</v>
      </c>
      <c r="I890" s="96">
        <f t="shared" si="52"/>
        <v>41.979310344827589</v>
      </c>
      <c r="J890" s="5" t="s">
        <v>21</v>
      </c>
      <c r="K890" s="5" t="s">
        <v>22</v>
      </c>
      <c r="L890" s="5">
        <v>1491886800</v>
      </c>
      <c r="M890" s="5">
        <v>1493528400</v>
      </c>
      <c r="N890" s="8">
        <f t="shared" si="53"/>
        <v>42836.208333333328</v>
      </c>
      <c r="O890" s="8">
        <f t="shared" si="54"/>
        <v>42855.208333333328</v>
      </c>
      <c r="P890" s="21" t="str">
        <f>TEXT(CrowdfundingTable[[#This Row],[date_created]],"ddd")</f>
        <v>Tue</v>
      </c>
      <c r="Q890" s="21">
        <f>_xlfn.DAYS(CrowdfundingTable[[#This Row],[date_ended]],CrowdfundingTable[[#This Row],[date_created]])</f>
        <v>19</v>
      </c>
      <c r="R890" s="5" t="b">
        <v>0</v>
      </c>
      <c r="S890" s="5" t="b">
        <v>0</v>
      </c>
      <c r="T890" s="5" t="s">
        <v>33</v>
      </c>
      <c r="U890" s="5" t="s">
        <v>2040</v>
      </c>
      <c r="V890" s="5" t="s">
        <v>2055</v>
      </c>
      <c r="W890" s="5"/>
    </row>
    <row r="891" spans="1:23" ht="17" x14ac:dyDescent="0.2">
      <c r="A891" s="5">
        <v>889</v>
      </c>
      <c r="B891" s="5" t="s">
        <v>1810</v>
      </c>
      <c r="C891" s="6" t="s">
        <v>1811</v>
      </c>
      <c r="D891" s="94">
        <v>5600</v>
      </c>
      <c r="E891" s="94">
        <v>9508</v>
      </c>
      <c r="F891" s="7">
        <f t="shared" si="55"/>
        <v>1.697857142857143</v>
      </c>
      <c r="G891" s="5" t="s">
        <v>20</v>
      </c>
      <c r="H891" s="5">
        <v>122</v>
      </c>
      <c r="I891" s="96">
        <f t="shared" si="52"/>
        <v>77.93442622950819</v>
      </c>
      <c r="J891" s="5" t="s">
        <v>21</v>
      </c>
      <c r="K891" s="5" t="s">
        <v>22</v>
      </c>
      <c r="L891" s="5">
        <v>1394600400</v>
      </c>
      <c r="M891" s="5">
        <v>1395205200</v>
      </c>
      <c r="N891" s="8">
        <f t="shared" si="53"/>
        <v>41710.208333333336</v>
      </c>
      <c r="O891" s="8">
        <f t="shared" si="54"/>
        <v>41717.208333333336</v>
      </c>
      <c r="P891" s="21" t="str">
        <f>TEXT(CrowdfundingTable[[#This Row],[date_created]],"ddd")</f>
        <v>Wed</v>
      </c>
      <c r="Q891" s="21">
        <f>_xlfn.DAYS(CrowdfundingTable[[#This Row],[date_ended]],CrowdfundingTable[[#This Row],[date_created]])</f>
        <v>7</v>
      </c>
      <c r="R891" s="5" t="b">
        <v>0</v>
      </c>
      <c r="S891" s="5" t="b">
        <v>1</v>
      </c>
      <c r="T891" s="5" t="s">
        <v>50</v>
      </c>
      <c r="U891" s="5" t="s">
        <v>2036</v>
      </c>
      <c r="V891" s="5" t="s">
        <v>2046</v>
      </c>
      <c r="W891" s="5"/>
    </row>
    <row r="892" spans="1:23" ht="17" x14ac:dyDescent="0.2">
      <c r="A892" s="5">
        <v>890</v>
      </c>
      <c r="B892" s="5" t="s">
        <v>1812</v>
      </c>
      <c r="C892" s="6" t="s">
        <v>1813</v>
      </c>
      <c r="D892" s="94">
        <v>134400</v>
      </c>
      <c r="E892" s="94">
        <v>155849</v>
      </c>
      <c r="F892" s="7">
        <f t="shared" si="55"/>
        <v>1.1595907738095239</v>
      </c>
      <c r="G892" s="5" t="s">
        <v>20</v>
      </c>
      <c r="H892" s="5">
        <v>1470</v>
      </c>
      <c r="I892" s="96">
        <f t="shared" si="52"/>
        <v>106.01972789115646</v>
      </c>
      <c r="J892" s="5" t="s">
        <v>21</v>
      </c>
      <c r="K892" s="5" t="s">
        <v>22</v>
      </c>
      <c r="L892" s="5">
        <v>1561352400</v>
      </c>
      <c r="M892" s="5">
        <v>1561438800</v>
      </c>
      <c r="N892" s="8">
        <f t="shared" si="53"/>
        <v>43640.208333333328</v>
      </c>
      <c r="O892" s="8">
        <f t="shared" si="54"/>
        <v>43641.208333333328</v>
      </c>
      <c r="P892" s="21" t="str">
        <f>TEXT(CrowdfundingTable[[#This Row],[date_created]],"ddd")</f>
        <v>Mon</v>
      </c>
      <c r="Q892" s="21">
        <f>_xlfn.DAYS(CrowdfundingTable[[#This Row],[date_ended]],CrowdfundingTable[[#This Row],[date_created]])</f>
        <v>1</v>
      </c>
      <c r="R892" s="5" t="b">
        <v>0</v>
      </c>
      <c r="S892" s="5" t="b">
        <v>0</v>
      </c>
      <c r="T892" s="5" t="s">
        <v>60</v>
      </c>
      <c r="U892" s="5" t="s">
        <v>2036</v>
      </c>
      <c r="V892" s="5" t="s">
        <v>2049</v>
      </c>
      <c r="W892" s="5"/>
    </row>
    <row r="893" spans="1:23" ht="34" x14ac:dyDescent="0.2">
      <c r="A893" s="5">
        <v>891</v>
      </c>
      <c r="B893" s="5" t="s">
        <v>1814</v>
      </c>
      <c r="C893" s="6" t="s">
        <v>1815</v>
      </c>
      <c r="D893" s="94">
        <v>3000</v>
      </c>
      <c r="E893" s="94">
        <v>7758</v>
      </c>
      <c r="F893" s="7">
        <f t="shared" si="55"/>
        <v>2.5859999999999999</v>
      </c>
      <c r="G893" s="5" t="s">
        <v>20</v>
      </c>
      <c r="H893" s="5">
        <v>165</v>
      </c>
      <c r="I893" s="96">
        <f t="shared" si="52"/>
        <v>47.018181818181816</v>
      </c>
      <c r="J893" s="5" t="s">
        <v>15</v>
      </c>
      <c r="K893" s="5" t="s">
        <v>16</v>
      </c>
      <c r="L893" s="5">
        <v>1322892000</v>
      </c>
      <c r="M893" s="5">
        <v>1326693600</v>
      </c>
      <c r="N893" s="8">
        <f t="shared" si="53"/>
        <v>40880.25</v>
      </c>
      <c r="O893" s="8">
        <f t="shared" si="54"/>
        <v>40924.25</v>
      </c>
      <c r="P893" s="21" t="str">
        <f>TEXT(CrowdfundingTable[[#This Row],[date_created]],"ddd")</f>
        <v>Sat</v>
      </c>
      <c r="Q893" s="21">
        <f>_xlfn.DAYS(CrowdfundingTable[[#This Row],[date_ended]],CrowdfundingTable[[#This Row],[date_created]])</f>
        <v>44</v>
      </c>
      <c r="R893" s="5" t="b">
        <v>0</v>
      </c>
      <c r="S893" s="5" t="b">
        <v>0</v>
      </c>
      <c r="T893" s="5" t="s">
        <v>42</v>
      </c>
      <c r="U893" s="5" t="s">
        <v>2032</v>
      </c>
      <c r="V893" s="5" t="s">
        <v>2044</v>
      </c>
      <c r="W893" s="5"/>
    </row>
    <row r="894" spans="1:23" ht="17" x14ac:dyDescent="0.2">
      <c r="A894" s="5">
        <v>892</v>
      </c>
      <c r="B894" s="5" t="s">
        <v>1816</v>
      </c>
      <c r="C894" s="6" t="s">
        <v>1817</v>
      </c>
      <c r="D894" s="94">
        <v>6000</v>
      </c>
      <c r="E894" s="94">
        <v>13835</v>
      </c>
      <c r="F894" s="7">
        <f t="shared" si="55"/>
        <v>2.3058333333333332</v>
      </c>
      <c r="G894" s="5" t="s">
        <v>20</v>
      </c>
      <c r="H894" s="5">
        <v>182</v>
      </c>
      <c r="I894" s="96">
        <f t="shared" si="52"/>
        <v>76.016483516483518</v>
      </c>
      <c r="J894" s="5" t="s">
        <v>21</v>
      </c>
      <c r="K894" s="5" t="s">
        <v>22</v>
      </c>
      <c r="L894" s="5">
        <v>1274418000</v>
      </c>
      <c r="M894" s="5">
        <v>1277960400</v>
      </c>
      <c r="N894" s="8">
        <f t="shared" si="53"/>
        <v>40319.208333333336</v>
      </c>
      <c r="O894" s="8">
        <f t="shared" si="54"/>
        <v>40360.208333333336</v>
      </c>
      <c r="P894" s="21" t="str">
        <f>TEXT(CrowdfundingTable[[#This Row],[date_created]],"ddd")</f>
        <v>Fri</v>
      </c>
      <c r="Q894" s="21">
        <f>_xlfn.DAYS(CrowdfundingTable[[#This Row],[date_ended]],CrowdfundingTable[[#This Row],[date_created]])</f>
        <v>41</v>
      </c>
      <c r="R894" s="5" t="b">
        <v>0</v>
      </c>
      <c r="S894" s="5" t="b">
        <v>0</v>
      </c>
      <c r="T894" s="5" t="s">
        <v>206</v>
      </c>
      <c r="U894" s="5" t="s">
        <v>2038</v>
      </c>
      <c r="V894" s="5" t="s">
        <v>2061</v>
      </c>
      <c r="W894" s="5"/>
    </row>
    <row r="895" spans="1:23" ht="17" x14ac:dyDescent="0.2">
      <c r="A895" s="5">
        <v>893</v>
      </c>
      <c r="B895" s="5" t="s">
        <v>1818</v>
      </c>
      <c r="C895" s="6" t="s">
        <v>1819</v>
      </c>
      <c r="D895" s="94">
        <v>8400</v>
      </c>
      <c r="E895" s="94">
        <v>10770</v>
      </c>
      <c r="F895" s="7">
        <f t="shared" si="55"/>
        <v>1.2821428571428573</v>
      </c>
      <c r="G895" s="5" t="s">
        <v>20</v>
      </c>
      <c r="H895" s="5">
        <v>199</v>
      </c>
      <c r="I895" s="96">
        <f t="shared" si="52"/>
        <v>54.120603015075375</v>
      </c>
      <c r="J895" s="5" t="s">
        <v>107</v>
      </c>
      <c r="K895" s="5" t="s">
        <v>108</v>
      </c>
      <c r="L895" s="5">
        <v>1434344400</v>
      </c>
      <c r="M895" s="5">
        <v>1434690000</v>
      </c>
      <c r="N895" s="8">
        <f t="shared" si="53"/>
        <v>42170.208333333328</v>
      </c>
      <c r="O895" s="8">
        <f t="shared" si="54"/>
        <v>42174.208333333328</v>
      </c>
      <c r="P895" s="21" t="str">
        <f>TEXT(CrowdfundingTable[[#This Row],[date_created]],"ddd")</f>
        <v>Mon</v>
      </c>
      <c r="Q895" s="21">
        <f>_xlfn.DAYS(CrowdfundingTable[[#This Row],[date_ended]],CrowdfundingTable[[#This Row],[date_created]])</f>
        <v>4</v>
      </c>
      <c r="R895" s="5" t="b">
        <v>0</v>
      </c>
      <c r="S895" s="5" t="b">
        <v>1</v>
      </c>
      <c r="T895" s="5" t="s">
        <v>42</v>
      </c>
      <c r="U895" s="5" t="s">
        <v>2032</v>
      </c>
      <c r="V895" s="5" t="s">
        <v>2044</v>
      </c>
      <c r="W895" s="5"/>
    </row>
    <row r="896" spans="1:23" ht="17" x14ac:dyDescent="0.2">
      <c r="A896" s="5">
        <v>894</v>
      </c>
      <c r="B896" s="5" t="s">
        <v>1820</v>
      </c>
      <c r="C896" s="6" t="s">
        <v>1821</v>
      </c>
      <c r="D896" s="94">
        <v>1700</v>
      </c>
      <c r="E896" s="94">
        <v>3208</v>
      </c>
      <c r="F896" s="7">
        <f t="shared" si="55"/>
        <v>1.8870588235294117</v>
      </c>
      <c r="G896" s="5" t="s">
        <v>20</v>
      </c>
      <c r="H896" s="5">
        <v>56</v>
      </c>
      <c r="I896" s="96">
        <f t="shared" si="52"/>
        <v>57.285714285714285</v>
      </c>
      <c r="J896" s="5" t="s">
        <v>40</v>
      </c>
      <c r="K896" s="5" t="s">
        <v>41</v>
      </c>
      <c r="L896" s="5">
        <v>1373518800</v>
      </c>
      <c r="M896" s="5">
        <v>1376110800</v>
      </c>
      <c r="N896" s="8">
        <f t="shared" si="53"/>
        <v>41466.208333333336</v>
      </c>
      <c r="O896" s="8">
        <f t="shared" si="54"/>
        <v>41496.208333333336</v>
      </c>
      <c r="P896" s="21" t="str">
        <f>TEXT(CrowdfundingTable[[#This Row],[date_created]],"ddd")</f>
        <v>Thu</v>
      </c>
      <c r="Q896" s="21">
        <f>_xlfn.DAYS(CrowdfundingTable[[#This Row],[date_ended]],CrowdfundingTable[[#This Row],[date_created]])</f>
        <v>30</v>
      </c>
      <c r="R896" s="5" t="b">
        <v>0</v>
      </c>
      <c r="S896" s="5" t="b">
        <v>1</v>
      </c>
      <c r="T896" s="5" t="s">
        <v>269</v>
      </c>
      <c r="U896" s="5" t="s">
        <v>2032</v>
      </c>
      <c r="V896" s="5" t="s">
        <v>2060</v>
      </c>
      <c r="W896" s="5"/>
    </row>
    <row r="897" spans="1:23" ht="17" x14ac:dyDescent="0.2">
      <c r="A897" s="5">
        <v>895</v>
      </c>
      <c r="B897" s="5" t="s">
        <v>1822</v>
      </c>
      <c r="C897" s="6" t="s">
        <v>1823</v>
      </c>
      <c r="D897" s="94">
        <v>159800</v>
      </c>
      <c r="E897" s="94">
        <v>11108</v>
      </c>
      <c r="F897" s="7">
        <f t="shared" si="55"/>
        <v>6.9511889862327911E-2</v>
      </c>
      <c r="G897" s="5" t="s">
        <v>14</v>
      </c>
      <c r="H897" s="5">
        <v>107</v>
      </c>
      <c r="I897" s="96">
        <f t="shared" si="52"/>
        <v>103.81308411214954</v>
      </c>
      <c r="J897" s="5" t="s">
        <v>21</v>
      </c>
      <c r="K897" s="5" t="s">
        <v>22</v>
      </c>
      <c r="L897" s="5">
        <v>1517637600</v>
      </c>
      <c r="M897" s="5">
        <v>1518415200</v>
      </c>
      <c r="N897" s="8">
        <f t="shared" si="53"/>
        <v>43134.25</v>
      </c>
      <c r="O897" s="8">
        <f t="shared" si="54"/>
        <v>43143.25</v>
      </c>
      <c r="P897" s="21" t="str">
        <f>TEXT(CrowdfundingTable[[#This Row],[date_created]],"ddd")</f>
        <v>Sat</v>
      </c>
      <c r="Q897" s="21">
        <f>_xlfn.DAYS(CrowdfundingTable[[#This Row],[date_ended]],CrowdfundingTable[[#This Row],[date_created]])</f>
        <v>9</v>
      </c>
      <c r="R897" s="5" t="b">
        <v>0</v>
      </c>
      <c r="S897" s="5" t="b">
        <v>0</v>
      </c>
      <c r="T897" s="5" t="s">
        <v>33</v>
      </c>
      <c r="U897" s="5" t="s">
        <v>2040</v>
      </c>
      <c r="V897" s="5" t="s">
        <v>2055</v>
      </c>
      <c r="W897" s="5"/>
    </row>
    <row r="898" spans="1:23" ht="34" x14ac:dyDescent="0.2">
      <c r="A898" s="5">
        <v>896</v>
      </c>
      <c r="B898" s="5" t="s">
        <v>1824</v>
      </c>
      <c r="C898" s="6" t="s">
        <v>1825</v>
      </c>
      <c r="D898" s="94">
        <v>19800</v>
      </c>
      <c r="E898" s="94">
        <v>153338</v>
      </c>
      <c r="F898" s="7">
        <f t="shared" si="55"/>
        <v>7.7443434343434348</v>
      </c>
      <c r="G898" s="5" t="s">
        <v>20</v>
      </c>
      <c r="H898" s="5">
        <v>1460</v>
      </c>
      <c r="I898" s="96">
        <f t="shared" ref="I898:I961" si="56">IF(H898&lt;&gt;0,E898/H898,0)</f>
        <v>105.02602739726028</v>
      </c>
      <c r="J898" s="5" t="s">
        <v>26</v>
      </c>
      <c r="K898" s="5" t="s">
        <v>27</v>
      </c>
      <c r="L898" s="5">
        <v>1310619600</v>
      </c>
      <c r="M898" s="5">
        <v>1310878800</v>
      </c>
      <c r="N898" s="8">
        <f t="shared" si="53"/>
        <v>40738.208333333336</v>
      </c>
      <c r="O898" s="8">
        <f t="shared" si="54"/>
        <v>40741.208333333336</v>
      </c>
      <c r="P898" s="21" t="str">
        <f>TEXT(CrowdfundingTable[[#This Row],[date_created]],"ddd")</f>
        <v>Thu</v>
      </c>
      <c r="Q898" s="21">
        <f>_xlfn.DAYS(CrowdfundingTable[[#This Row],[date_ended]],CrowdfundingTable[[#This Row],[date_created]])</f>
        <v>3</v>
      </c>
      <c r="R898" s="5" t="b">
        <v>0</v>
      </c>
      <c r="S898" s="5" t="b">
        <v>1</v>
      </c>
      <c r="T898" s="5" t="s">
        <v>17</v>
      </c>
      <c r="U898" s="5" t="s">
        <v>2033</v>
      </c>
      <c r="V898" s="5" t="s">
        <v>2048</v>
      </c>
      <c r="W898" s="5"/>
    </row>
    <row r="899" spans="1:23" ht="17" x14ac:dyDescent="0.2">
      <c r="A899" s="5">
        <v>897</v>
      </c>
      <c r="B899" s="5" t="s">
        <v>1826</v>
      </c>
      <c r="C899" s="6" t="s">
        <v>1827</v>
      </c>
      <c r="D899" s="94">
        <v>8800</v>
      </c>
      <c r="E899" s="94">
        <v>2437</v>
      </c>
      <c r="F899" s="7">
        <f t="shared" si="55"/>
        <v>0.27693181818181817</v>
      </c>
      <c r="G899" s="5" t="s">
        <v>14</v>
      </c>
      <c r="H899" s="5">
        <v>27</v>
      </c>
      <c r="I899" s="96">
        <f t="shared" si="56"/>
        <v>90.259259259259252</v>
      </c>
      <c r="J899" s="5" t="s">
        <v>21</v>
      </c>
      <c r="K899" s="5" t="s">
        <v>22</v>
      </c>
      <c r="L899" s="5">
        <v>1556427600</v>
      </c>
      <c r="M899" s="5">
        <v>1556600400</v>
      </c>
      <c r="N899" s="8">
        <f t="shared" ref="N899:N962" si="57">(((L899/60)/60)/24)+DATE(1970,1,1)</f>
        <v>43583.208333333328</v>
      </c>
      <c r="O899" s="8">
        <f t="shared" ref="O899:O962" si="58">(((M899/60)/60)/24)+DATE(1970,1,1)</f>
        <v>43585.208333333328</v>
      </c>
      <c r="P899" s="21" t="str">
        <f>TEXT(CrowdfundingTable[[#This Row],[date_created]],"ddd")</f>
        <v>Sun</v>
      </c>
      <c r="Q899" s="21">
        <f>_xlfn.DAYS(CrowdfundingTable[[#This Row],[date_ended]],CrowdfundingTable[[#This Row],[date_created]])</f>
        <v>2</v>
      </c>
      <c r="R899" s="5" t="b">
        <v>0</v>
      </c>
      <c r="S899" s="5" t="b">
        <v>0</v>
      </c>
      <c r="T899" s="5" t="s">
        <v>33</v>
      </c>
      <c r="U899" s="5" t="s">
        <v>2040</v>
      </c>
      <c r="V899" s="5" t="s">
        <v>2055</v>
      </c>
      <c r="W899" s="5"/>
    </row>
    <row r="900" spans="1:23" ht="17" x14ac:dyDescent="0.2">
      <c r="A900" s="5">
        <v>898</v>
      </c>
      <c r="B900" s="5" t="s">
        <v>1828</v>
      </c>
      <c r="C900" s="6" t="s">
        <v>1829</v>
      </c>
      <c r="D900" s="94">
        <v>179100</v>
      </c>
      <c r="E900" s="94">
        <v>93991</v>
      </c>
      <c r="F900" s="7">
        <f t="shared" ref="F900:F963" si="59">E900/D900</f>
        <v>0.52479620323841425</v>
      </c>
      <c r="G900" s="5" t="s">
        <v>14</v>
      </c>
      <c r="H900" s="5">
        <v>1221</v>
      </c>
      <c r="I900" s="96">
        <f t="shared" si="56"/>
        <v>76.978705978705975</v>
      </c>
      <c r="J900" s="5" t="s">
        <v>21</v>
      </c>
      <c r="K900" s="5" t="s">
        <v>22</v>
      </c>
      <c r="L900" s="5">
        <v>1576476000</v>
      </c>
      <c r="M900" s="5">
        <v>1576994400</v>
      </c>
      <c r="N900" s="8">
        <f t="shared" si="57"/>
        <v>43815.25</v>
      </c>
      <c r="O900" s="8">
        <f t="shared" si="58"/>
        <v>43821.25</v>
      </c>
      <c r="P900" s="21" t="str">
        <f>TEXT(CrowdfundingTable[[#This Row],[date_created]],"ddd")</f>
        <v>Mon</v>
      </c>
      <c r="Q900" s="21">
        <f>_xlfn.DAYS(CrowdfundingTable[[#This Row],[date_ended]],CrowdfundingTable[[#This Row],[date_created]])</f>
        <v>6</v>
      </c>
      <c r="R900" s="5" t="b">
        <v>0</v>
      </c>
      <c r="S900" s="5" t="b">
        <v>0</v>
      </c>
      <c r="T900" s="5" t="s">
        <v>42</v>
      </c>
      <c r="U900" s="5" t="s">
        <v>2032</v>
      </c>
      <c r="V900" s="5" t="s">
        <v>2044</v>
      </c>
      <c r="W900" s="5"/>
    </row>
    <row r="901" spans="1:23" ht="17" x14ac:dyDescent="0.2">
      <c r="A901" s="5">
        <v>899</v>
      </c>
      <c r="B901" s="5" t="s">
        <v>1830</v>
      </c>
      <c r="C901" s="6" t="s">
        <v>1831</v>
      </c>
      <c r="D901" s="94">
        <v>3100</v>
      </c>
      <c r="E901" s="94">
        <v>12620</v>
      </c>
      <c r="F901" s="7">
        <f t="shared" si="59"/>
        <v>4.0709677419354842</v>
      </c>
      <c r="G901" s="5" t="s">
        <v>20</v>
      </c>
      <c r="H901" s="5">
        <v>123</v>
      </c>
      <c r="I901" s="96">
        <f t="shared" si="56"/>
        <v>102.60162601626017</v>
      </c>
      <c r="J901" s="5" t="s">
        <v>98</v>
      </c>
      <c r="K901" s="5" t="s">
        <v>99</v>
      </c>
      <c r="L901" s="5">
        <v>1381122000</v>
      </c>
      <c r="M901" s="5">
        <v>1382677200</v>
      </c>
      <c r="N901" s="8">
        <f t="shared" si="57"/>
        <v>41554.208333333336</v>
      </c>
      <c r="O901" s="8">
        <f t="shared" si="58"/>
        <v>41572.208333333336</v>
      </c>
      <c r="P901" s="21" t="str">
        <f>TEXT(CrowdfundingTable[[#This Row],[date_created]],"ddd")</f>
        <v>Mon</v>
      </c>
      <c r="Q901" s="21">
        <f>_xlfn.DAYS(CrowdfundingTable[[#This Row],[date_ended]],CrowdfundingTable[[#This Row],[date_created]])</f>
        <v>18</v>
      </c>
      <c r="R901" s="5" t="b">
        <v>0</v>
      </c>
      <c r="S901" s="5" t="b">
        <v>0</v>
      </c>
      <c r="T901" s="5" t="s">
        <v>159</v>
      </c>
      <c r="U901" s="5" t="s">
        <v>2036</v>
      </c>
      <c r="V901" s="5" t="s">
        <v>2050</v>
      </c>
      <c r="W901" s="5"/>
    </row>
    <row r="902" spans="1:23" ht="17" x14ac:dyDescent="0.2">
      <c r="A902" s="5">
        <v>900</v>
      </c>
      <c r="B902" s="5" t="s">
        <v>1832</v>
      </c>
      <c r="C902" s="6" t="s">
        <v>1833</v>
      </c>
      <c r="D902" s="94">
        <v>100</v>
      </c>
      <c r="E902" s="94">
        <v>2</v>
      </c>
      <c r="F902" s="7">
        <f t="shared" si="59"/>
        <v>0.02</v>
      </c>
      <c r="G902" s="5" t="s">
        <v>14</v>
      </c>
      <c r="H902" s="5">
        <v>1</v>
      </c>
      <c r="I902" s="96">
        <f t="shared" si="56"/>
        <v>2</v>
      </c>
      <c r="J902" s="5" t="s">
        <v>21</v>
      </c>
      <c r="K902" s="5" t="s">
        <v>22</v>
      </c>
      <c r="L902" s="5">
        <v>1411102800</v>
      </c>
      <c r="M902" s="5">
        <v>1411189200</v>
      </c>
      <c r="N902" s="8">
        <f t="shared" si="57"/>
        <v>41901.208333333336</v>
      </c>
      <c r="O902" s="8">
        <f t="shared" si="58"/>
        <v>41902.208333333336</v>
      </c>
      <c r="P902" s="21" t="str">
        <f>TEXT(CrowdfundingTable[[#This Row],[date_created]],"ddd")</f>
        <v>Fri</v>
      </c>
      <c r="Q902" s="21">
        <f>_xlfn.DAYS(CrowdfundingTable[[#This Row],[date_ended]],CrowdfundingTable[[#This Row],[date_created]])</f>
        <v>1</v>
      </c>
      <c r="R902" s="5" t="b">
        <v>0</v>
      </c>
      <c r="S902" s="5" t="b">
        <v>1</v>
      </c>
      <c r="T902" s="5" t="s">
        <v>28</v>
      </c>
      <c r="U902" s="5" t="s">
        <v>2039</v>
      </c>
      <c r="V902" s="5" t="s">
        <v>2064</v>
      </c>
      <c r="W902" s="5"/>
    </row>
    <row r="903" spans="1:23" ht="17" x14ac:dyDescent="0.2">
      <c r="A903" s="5">
        <v>901</v>
      </c>
      <c r="B903" s="5" t="s">
        <v>1834</v>
      </c>
      <c r="C903" s="6" t="s">
        <v>1835</v>
      </c>
      <c r="D903" s="94">
        <v>5600</v>
      </c>
      <c r="E903" s="94">
        <v>8746</v>
      </c>
      <c r="F903" s="7">
        <f t="shared" si="59"/>
        <v>1.5617857142857143</v>
      </c>
      <c r="G903" s="5" t="s">
        <v>20</v>
      </c>
      <c r="H903" s="5">
        <v>159</v>
      </c>
      <c r="I903" s="96">
        <f t="shared" si="56"/>
        <v>55.0062893081761</v>
      </c>
      <c r="J903" s="5" t="s">
        <v>21</v>
      </c>
      <c r="K903" s="5" t="s">
        <v>22</v>
      </c>
      <c r="L903" s="5">
        <v>1531803600</v>
      </c>
      <c r="M903" s="5">
        <v>1534654800</v>
      </c>
      <c r="N903" s="8">
        <f t="shared" si="57"/>
        <v>43298.208333333328</v>
      </c>
      <c r="O903" s="8">
        <f t="shared" si="58"/>
        <v>43331.208333333328</v>
      </c>
      <c r="P903" s="21" t="str">
        <f>TEXT(CrowdfundingTable[[#This Row],[date_created]],"ddd")</f>
        <v>Tue</v>
      </c>
      <c r="Q903" s="21">
        <f>_xlfn.DAYS(CrowdfundingTable[[#This Row],[date_ended]],CrowdfundingTable[[#This Row],[date_created]])</f>
        <v>33</v>
      </c>
      <c r="R903" s="5" t="b">
        <v>0</v>
      </c>
      <c r="S903" s="5" t="b">
        <v>1</v>
      </c>
      <c r="T903" s="5" t="s">
        <v>23</v>
      </c>
      <c r="U903" s="5" t="s">
        <v>2036</v>
      </c>
      <c r="V903" s="5" t="s">
        <v>2057</v>
      </c>
      <c r="W903" s="5"/>
    </row>
    <row r="904" spans="1:23" ht="17" x14ac:dyDescent="0.2">
      <c r="A904" s="5">
        <v>902</v>
      </c>
      <c r="B904" s="5" t="s">
        <v>1836</v>
      </c>
      <c r="C904" s="6" t="s">
        <v>1837</v>
      </c>
      <c r="D904" s="94">
        <v>1400</v>
      </c>
      <c r="E904" s="94">
        <v>3534</v>
      </c>
      <c r="F904" s="7">
        <f t="shared" si="59"/>
        <v>2.5242857142857145</v>
      </c>
      <c r="G904" s="5" t="s">
        <v>20</v>
      </c>
      <c r="H904" s="5">
        <v>110</v>
      </c>
      <c r="I904" s="96">
        <f t="shared" si="56"/>
        <v>32.127272727272725</v>
      </c>
      <c r="J904" s="5" t="s">
        <v>21</v>
      </c>
      <c r="K904" s="5" t="s">
        <v>22</v>
      </c>
      <c r="L904" s="5">
        <v>1454133600</v>
      </c>
      <c r="M904" s="5">
        <v>1457762400</v>
      </c>
      <c r="N904" s="8">
        <f t="shared" si="57"/>
        <v>42399.25</v>
      </c>
      <c r="O904" s="8">
        <f t="shared" si="58"/>
        <v>42441.25</v>
      </c>
      <c r="P904" s="21" t="str">
        <f>TEXT(CrowdfundingTable[[#This Row],[date_created]],"ddd")</f>
        <v>Sat</v>
      </c>
      <c r="Q904" s="21">
        <f>_xlfn.DAYS(CrowdfundingTable[[#This Row],[date_ended]],CrowdfundingTable[[#This Row],[date_created]])</f>
        <v>42</v>
      </c>
      <c r="R904" s="5" t="b">
        <v>0</v>
      </c>
      <c r="S904" s="5" t="b">
        <v>0</v>
      </c>
      <c r="T904" s="5" t="s">
        <v>28</v>
      </c>
      <c r="U904" s="5" t="s">
        <v>2039</v>
      </c>
      <c r="V904" s="5" t="s">
        <v>2064</v>
      </c>
      <c r="W904" s="5"/>
    </row>
    <row r="905" spans="1:23" ht="34" x14ac:dyDescent="0.2">
      <c r="A905" s="5">
        <v>903</v>
      </c>
      <c r="B905" s="5" t="s">
        <v>1838</v>
      </c>
      <c r="C905" s="6" t="s">
        <v>1839</v>
      </c>
      <c r="D905" s="94">
        <v>41000</v>
      </c>
      <c r="E905" s="94">
        <v>709</v>
      </c>
      <c r="F905" s="7">
        <f t="shared" si="59"/>
        <v>1.729268292682927E-2</v>
      </c>
      <c r="G905" s="5" t="s">
        <v>47</v>
      </c>
      <c r="H905" s="5">
        <v>14</v>
      </c>
      <c r="I905" s="96">
        <f t="shared" si="56"/>
        <v>50.642857142857146</v>
      </c>
      <c r="J905" s="5" t="s">
        <v>21</v>
      </c>
      <c r="K905" s="5" t="s">
        <v>22</v>
      </c>
      <c r="L905" s="5">
        <v>1336194000</v>
      </c>
      <c r="M905" s="5">
        <v>1337490000</v>
      </c>
      <c r="N905" s="8">
        <f t="shared" si="57"/>
        <v>41034.208333333336</v>
      </c>
      <c r="O905" s="8">
        <f t="shared" si="58"/>
        <v>41049.208333333336</v>
      </c>
      <c r="P905" s="21" t="str">
        <f>TEXT(CrowdfundingTable[[#This Row],[date_created]],"ddd")</f>
        <v>Sat</v>
      </c>
      <c r="Q905" s="21">
        <f>_xlfn.DAYS(CrowdfundingTable[[#This Row],[date_ended]],CrowdfundingTable[[#This Row],[date_created]])</f>
        <v>15</v>
      </c>
      <c r="R905" s="5" t="b">
        <v>0</v>
      </c>
      <c r="S905" s="5" t="b">
        <v>1</v>
      </c>
      <c r="T905" s="5" t="s">
        <v>68</v>
      </c>
      <c r="U905" s="5" t="s">
        <v>2038</v>
      </c>
      <c r="V905" s="5" t="s">
        <v>2053</v>
      </c>
      <c r="W905" s="5"/>
    </row>
    <row r="906" spans="1:23" ht="17" x14ac:dyDescent="0.2">
      <c r="A906" s="5">
        <v>904</v>
      </c>
      <c r="B906" s="5" t="s">
        <v>1840</v>
      </c>
      <c r="C906" s="6" t="s">
        <v>1841</v>
      </c>
      <c r="D906" s="94">
        <v>6500</v>
      </c>
      <c r="E906" s="94">
        <v>795</v>
      </c>
      <c r="F906" s="7">
        <f t="shared" si="59"/>
        <v>0.12230769230769231</v>
      </c>
      <c r="G906" s="5" t="s">
        <v>14</v>
      </c>
      <c r="H906" s="5">
        <v>16</v>
      </c>
      <c r="I906" s="96">
        <f t="shared" si="56"/>
        <v>49.6875</v>
      </c>
      <c r="J906" s="5" t="s">
        <v>21</v>
      </c>
      <c r="K906" s="5" t="s">
        <v>22</v>
      </c>
      <c r="L906" s="5">
        <v>1349326800</v>
      </c>
      <c r="M906" s="5">
        <v>1349672400</v>
      </c>
      <c r="N906" s="8">
        <f t="shared" si="57"/>
        <v>41186.208333333336</v>
      </c>
      <c r="O906" s="8">
        <f t="shared" si="58"/>
        <v>41190.208333333336</v>
      </c>
      <c r="P906" s="21" t="str">
        <f>TEXT(CrowdfundingTable[[#This Row],[date_created]],"ddd")</f>
        <v>Thu</v>
      </c>
      <c r="Q906" s="21">
        <f>_xlfn.DAYS(CrowdfundingTable[[#This Row],[date_ended]],CrowdfundingTable[[#This Row],[date_created]])</f>
        <v>4</v>
      </c>
      <c r="R906" s="5" t="b">
        <v>0</v>
      </c>
      <c r="S906" s="5" t="b">
        <v>0</v>
      </c>
      <c r="T906" s="5" t="s">
        <v>133</v>
      </c>
      <c r="U906" s="5" t="s">
        <v>2038</v>
      </c>
      <c r="V906" s="5" t="s">
        <v>2056</v>
      </c>
      <c r="W906" s="5"/>
    </row>
    <row r="907" spans="1:23" ht="17" x14ac:dyDescent="0.2">
      <c r="A907" s="5">
        <v>905</v>
      </c>
      <c r="B907" s="5" t="s">
        <v>1842</v>
      </c>
      <c r="C907" s="6" t="s">
        <v>1843</v>
      </c>
      <c r="D907" s="94">
        <v>7900</v>
      </c>
      <c r="E907" s="94">
        <v>12955</v>
      </c>
      <c r="F907" s="7">
        <f t="shared" si="59"/>
        <v>1.6398734177215191</v>
      </c>
      <c r="G907" s="5" t="s">
        <v>20</v>
      </c>
      <c r="H907" s="5">
        <v>236</v>
      </c>
      <c r="I907" s="96">
        <f t="shared" si="56"/>
        <v>54.894067796610166</v>
      </c>
      <c r="J907" s="5" t="s">
        <v>21</v>
      </c>
      <c r="K907" s="5" t="s">
        <v>22</v>
      </c>
      <c r="L907" s="5">
        <v>1379566800</v>
      </c>
      <c r="M907" s="5">
        <v>1379826000</v>
      </c>
      <c r="N907" s="8">
        <f t="shared" si="57"/>
        <v>41536.208333333336</v>
      </c>
      <c r="O907" s="8">
        <f t="shared" si="58"/>
        <v>41539.208333333336</v>
      </c>
      <c r="P907" s="21" t="str">
        <f>TEXT(CrowdfundingTable[[#This Row],[date_created]],"ddd")</f>
        <v>Thu</v>
      </c>
      <c r="Q907" s="21">
        <f>_xlfn.DAYS(CrowdfundingTable[[#This Row],[date_ended]],CrowdfundingTable[[#This Row],[date_created]])</f>
        <v>3</v>
      </c>
      <c r="R907" s="5" t="b">
        <v>0</v>
      </c>
      <c r="S907" s="5" t="b">
        <v>0</v>
      </c>
      <c r="T907" s="5" t="s">
        <v>33</v>
      </c>
      <c r="U907" s="5" t="s">
        <v>2040</v>
      </c>
      <c r="V907" s="5" t="s">
        <v>2055</v>
      </c>
      <c r="W907" s="5"/>
    </row>
    <row r="908" spans="1:23" ht="34" x14ac:dyDescent="0.2">
      <c r="A908" s="5">
        <v>906</v>
      </c>
      <c r="B908" s="5" t="s">
        <v>1844</v>
      </c>
      <c r="C908" s="6" t="s">
        <v>1845</v>
      </c>
      <c r="D908" s="94">
        <v>5500</v>
      </c>
      <c r="E908" s="94">
        <v>8964</v>
      </c>
      <c r="F908" s="7">
        <f t="shared" si="59"/>
        <v>1.6298181818181818</v>
      </c>
      <c r="G908" s="5" t="s">
        <v>20</v>
      </c>
      <c r="H908" s="5">
        <v>191</v>
      </c>
      <c r="I908" s="96">
        <f t="shared" si="56"/>
        <v>46.931937172774866</v>
      </c>
      <c r="J908" s="5" t="s">
        <v>21</v>
      </c>
      <c r="K908" s="5" t="s">
        <v>22</v>
      </c>
      <c r="L908" s="5">
        <v>1494651600</v>
      </c>
      <c r="M908" s="5">
        <v>1497762000</v>
      </c>
      <c r="N908" s="8">
        <f t="shared" si="57"/>
        <v>42868.208333333328</v>
      </c>
      <c r="O908" s="8">
        <f t="shared" si="58"/>
        <v>42904.208333333328</v>
      </c>
      <c r="P908" s="21" t="str">
        <f>TEXT(CrowdfundingTable[[#This Row],[date_created]],"ddd")</f>
        <v>Sat</v>
      </c>
      <c r="Q908" s="21">
        <f>_xlfn.DAYS(CrowdfundingTable[[#This Row],[date_ended]],CrowdfundingTable[[#This Row],[date_created]])</f>
        <v>36</v>
      </c>
      <c r="R908" s="5" t="b">
        <v>1</v>
      </c>
      <c r="S908" s="5" t="b">
        <v>1</v>
      </c>
      <c r="T908" s="5" t="s">
        <v>42</v>
      </c>
      <c r="U908" s="5" t="s">
        <v>2032</v>
      </c>
      <c r="V908" s="5" t="s">
        <v>2044</v>
      </c>
      <c r="W908" s="5"/>
    </row>
    <row r="909" spans="1:23" ht="17" x14ac:dyDescent="0.2">
      <c r="A909" s="5">
        <v>907</v>
      </c>
      <c r="B909" s="5" t="s">
        <v>1846</v>
      </c>
      <c r="C909" s="6" t="s">
        <v>1847</v>
      </c>
      <c r="D909" s="94">
        <v>9100</v>
      </c>
      <c r="E909" s="94">
        <v>1843</v>
      </c>
      <c r="F909" s="7">
        <f t="shared" si="59"/>
        <v>0.20252747252747252</v>
      </c>
      <c r="G909" s="5" t="s">
        <v>14</v>
      </c>
      <c r="H909" s="5">
        <v>41</v>
      </c>
      <c r="I909" s="96">
        <f t="shared" si="56"/>
        <v>44.951219512195124</v>
      </c>
      <c r="J909" s="5" t="s">
        <v>21</v>
      </c>
      <c r="K909" s="5" t="s">
        <v>22</v>
      </c>
      <c r="L909" s="5">
        <v>1303880400</v>
      </c>
      <c r="M909" s="5">
        <v>1304485200</v>
      </c>
      <c r="N909" s="8">
        <f t="shared" si="57"/>
        <v>40660.208333333336</v>
      </c>
      <c r="O909" s="8">
        <f t="shared" si="58"/>
        <v>40667.208333333336</v>
      </c>
      <c r="P909" s="21" t="str">
        <f>TEXT(CrowdfundingTable[[#This Row],[date_created]],"ddd")</f>
        <v>Wed</v>
      </c>
      <c r="Q909" s="21">
        <f>_xlfn.DAYS(CrowdfundingTable[[#This Row],[date_ended]],CrowdfundingTable[[#This Row],[date_created]])</f>
        <v>7</v>
      </c>
      <c r="R909" s="5" t="b">
        <v>0</v>
      </c>
      <c r="S909" s="5" t="b">
        <v>0</v>
      </c>
      <c r="T909" s="5" t="s">
        <v>33</v>
      </c>
      <c r="U909" s="5" t="s">
        <v>2040</v>
      </c>
      <c r="V909" s="5" t="s">
        <v>2055</v>
      </c>
      <c r="W909" s="5"/>
    </row>
    <row r="910" spans="1:23" ht="17" x14ac:dyDescent="0.2">
      <c r="A910" s="5">
        <v>908</v>
      </c>
      <c r="B910" s="5" t="s">
        <v>1848</v>
      </c>
      <c r="C910" s="6" t="s">
        <v>1849</v>
      </c>
      <c r="D910" s="94">
        <v>38200</v>
      </c>
      <c r="E910" s="94">
        <v>121950</v>
      </c>
      <c r="F910" s="7">
        <f t="shared" si="59"/>
        <v>3.1924083769633507</v>
      </c>
      <c r="G910" s="5" t="s">
        <v>20</v>
      </c>
      <c r="H910" s="5">
        <v>3934</v>
      </c>
      <c r="I910" s="96">
        <f t="shared" si="56"/>
        <v>30.99898322318251</v>
      </c>
      <c r="J910" s="5" t="s">
        <v>21</v>
      </c>
      <c r="K910" s="5" t="s">
        <v>22</v>
      </c>
      <c r="L910" s="5">
        <v>1335934800</v>
      </c>
      <c r="M910" s="5">
        <v>1336885200</v>
      </c>
      <c r="N910" s="8">
        <f t="shared" si="57"/>
        <v>41031.208333333336</v>
      </c>
      <c r="O910" s="8">
        <f t="shared" si="58"/>
        <v>41042.208333333336</v>
      </c>
      <c r="P910" s="21" t="str">
        <f>TEXT(CrowdfundingTable[[#This Row],[date_created]],"ddd")</f>
        <v>Wed</v>
      </c>
      <c r="Q910" s="21">
        <f>_xlfn.DAYS(CrowdfundingTable[[#This Row],[date_ended]],CrowdfundingTable[[#This Row],[date_created]])</f>
        <v>11</v>
      </c>
      <c r="R910" s="5" t="b">
        <v>0</v>
      </c>
      <c r="S910" s="5" t="b">
        <v>0</v>
      </c>
      <c r="T910" s="5" t="s">
        <v>89</v>
      </c>
      <c r="U910" s="5" t="s">
        <v>2034</v>
      </c>
      <c r="V910" s="5" t="s">
        <v>2062</v>
      </c>
      <c r="W910" s="5"/>
    </row>
    <row r="911" spans="1:23" ht="17" x14ac:dyDescent="0.2">
      <c r="A911" s="5">
        <v>909</v>
      </c>
      <c r="B911" s="5" t="s">
        <v>1850</v>
      </c>
      <c r="C911" s="6" t="s">
        <v>1851</v>
      </c>
      <c r="D911" s="94">
        <v>1800</v>
      </c>
      <c r="E911" s="94">
        <v>8621</v>
      </c>
      <c r="F911" s="7">
        <f t="shared" si="59"/>
        <v>4.7894444444444444</v>
      </c>
      <c r="G911" s="5" t="s">
        <v>20</v>
      </c>
      <c r="H911" s="5">
        <v>80</v>
      </c>
      <c r="I911" s="96">
        <f t="shared" si="56"/>
        <v>107.7625</v>
      </c>
      <c r="J911" s="5" t="s">
        <v>15</v>
      </c>
      <c r="K911" s="5" t="s">
        <v>16</v>
      </c>
      <c r="L911" s="5">
        <v>1528088400</v>
      </c>
      <c r="M911" s="5">
        <v>1530421200</v>
      </c>
      <c r="N911" s="8">
        <f t="shared" si="57"/>
        <v>43255.208333333328</v>
      </c>
      <c r="O911" s="8">
        <f t="shared" si="58"/>
        <v>43282.208333333328</v>
      </c>
      <c r="P911" s="21" t="str">
        <f>TEXT(CrowdfundingTable[[#This Row],[date_created]],"ddd")</f>
        <v>Mon</v>
      </c>
      <c r="Q911" s="21">
        <f>_xlfn.DAYS(CrowdfundingTable[[#This Row],[date_ended]],CrowdfundingTable[[#This Row],[date_created]])</f>
        <v>27</v>
      </c>
      <c r="R911" s="5" t="b">
        <v>0</v>
      </c>
      <c r="S911" s="5" t="b">
        <v>1</v>
      </c>
      <c r="T911" s="5" t="s">
        <v>33</v>
      </c>
      <c r="U911" s="5" t="s">
        <v>2040</v>
      </c>
      <c r="V911" s="5" t="s">
        <v>2055</v>
      </c>
      <c r="W911" s="5"/>
    </row>
    <row r="912" spans="1:23" ht="17" x14ac:dyDescent="0.2">
      <c r="A912" s="5">
        <v>910</v>
      </c>
      <c r="B912" s="5" t="s">
        <v>1852</v>
      </c>
      <c r="C912" s="6" t="s">
        <v>1853</v>
      </c>
      <c r="D912" s="94">
        <v>154500</v>
      </c>
      <c r="E912" s="94">
        <v>30215</v>
      </c>
      <c r="F912" s="7">
        <f t="shared" si="59"/>
        <v>0.19556634304207121</v>
      </c>
      <c r="G912" s="5" t="s">
        <v>74</v>
      </c>
      <c r="H912" s="5">
        <v>296</v>
      </c>
      <c r="I912" s="96">
        <f t="shared" si="56"/>
        <v>102.07770270270271</v>
      </c>
      <c r="J912" s="5" t="s">
        <v>21</v>
      </c>
      <c r="K912" s="5" t="s">
        <v>22</v>
      </c>
      <c r="L912" s="5">
        <v>1421906400</v>
      </c>
      <c r="M912" s="5">
        <v>1421992800</v>
      </c>
      <c r="N912" s="8">
        <f t="shared" si="57"/>
        <v>42026.25</v>
      </c>
      <c r="O912" s="8">
        <f t="shared" si="58"/>
        <v>42027.25</v>
      </c>
      <c r="P912" s="21" t="str">
        <f>TEXT(CrowdfundingTable[[#This Row],[date_created]],"ddd")</f>
        <v>Thu</v>
      </c>
      <c r="Q912" s="21">
        <f>_xlfn.DAYS(CrowdfundingTable[[#This Row],[date_ended]],CrowdfundingTable[[#This Row],[date_created]])</f>
        <v>1</v>
      </c>
      <c r="R912" s="5" t="b">
        <v>0</v>
      </c>
      <c r="S912" s="5" t="b">
        <v>0</v>
      </c>
      <c r="T912" s="5" t="s">
        <v>33</v>
      </c>
      <c r="U912" s="5" t="s">
        <v>2040</v>
      </c>
      <c r="V912" s="5" t="s">
        <v>2055</v>
      </c>
      <c r="W912" s="5"/>
    </row>
    <row r="913" spans="1:23" ht="17" x14ac:dyDescent="0.2">
      <c r="A913" s="5">
        <v>911</v>
      </c>
      <c r="B913" s="5" t="s">
        <v>1854</v>
      </c>
      <c r="C913" s="6" t="s">
        <v>1855</v>
      </c>
      <c r="D913" s="94">
        <v>5800</v>
      </c>
      <c r="E913" s="94">
        <v>11539</v>
      </c>
      <c r="F913" s="7">
        <f t="shared" si="59"/>
        <v>1.9894827586206896</v>
      </c>
      <c r="G913" s="5" t="s">
        <v>20</v>
      </c>
      <c r="H913" s="5">
        <v>462</v>
      </c>
      <c r="I913" s="96">
        <f t="shared" si="56"/>
        <v>24.976190476190474</v>
      </c>
      <c r="J913" s="5" t="s">
        <v>21</v>
      </c>
      <c r="K913" s="5" t="s">
        <v>22</v>
      </c>
      <c r="L913" s="5">
        <v>1568005200</v>
      </c>
      <c r="M913" s="5">
        <v>1568178000</v>
      </c>
      <c r="N913" s="8">
        <f t="shared" si="57"/>
        <v>43717.208333333328</v>
      </c>
      <c r="O913" s="8">
        <f t="shared" si="58"/>
        <v>43719.208333333328</v>
      </c>
      <c r="P913" s="21" t="str">
        <f>TEXT(CrowdfundingTable[[#This Row],[date_created]],"ddd")</f>
        <v>Mon</v>
      </c>
      <c r="Q913" s="21">
        <f>_xlfn.DAYS(CrowdfundingTable[[#This Row],[date_ended]],CrowdfundingTable[[#This Row],[date_created]])</f>
        <v>2</v>
      </c>
      <c r="R913" s="5" t="b">
        <v>1</v>
      </c>
      <c r="S913" s="5" t="b">
        <v>0</v>
      </c>
      <c r="T913" s="5" t="s">
        <v>28</v>
      </c>
      <c r="U913" s="5" t="s">
        <v>2039</v>
      </c>
      <c r="V913" s="5" t="s">
        <v>2064</v>
      </c>
      <c r="W913" s="5"/>
    </row>
    <row r="914" spans="1:23" ht="17" x14ac:dyDescent="0.2">
      <c r="A914" s="5">
        <v>912</v>
      </c>
      <c r="B914" s="5" t="s">
        <v>1856</v>
      </c>
      <c r="C914" s="6" t="s">
        <v>1857</v>
      </c>
      <c r="D914" s="94">
        <v>1800</v>
      </c>
      <c r="E914" s="94">
        <v>14310</v>
      </c>
      <c r="F914" s="7">
        <f t="shared" si="59"/>
        <v>7.95</v>
      </c>
      <c r="G914" s="5" t="s">
        <v>20</v>
      </c>
      <c r="H914" s="5">
        <v>179</v>
      </c>
      <c r="I914" s="96">
        <f t="shared" si="56"/>
        <v>79.944134078212286</v>
      </c>
      <c r="J914" s="5" t="s">
        <v>21</v>
      </c>
      <c r="K914" s="5" t="s">
        <v>22</v>
      </c>
      <c r="L914" s="5">
        <v>1346821200</v>
      </c>
      <c r="M914" s="5">
        <v>1347944400</v>
      </c>
      <c r="N914" s="8">
        <f t="shared" si="57"/>
        <v>41157.208333333336</v>
      </c>
      <c r="O914" s="8">
        <f t="shared" si="58"/>
        <v>41170.208333333336</v>
      </c>
      <c r="P914" s="21" t="str">
        <f>TEXT(CrowdfundingTable[[#This Row],[date_created]],"ddd")</f>
        <v>Wed</v>
      </c>
      <c r="Q914" s="21">
        <f>_xlfn.DAYS(CrowdfundingTable[[#This Row],[date_ended]],CrowdfundingTable[[#This Row],[date_created]])</f>
        <v>13</v>
      </c>
      <c r="R914" s="5" t="b">
        <v>1</v>
      </c>
      <c r="S914" s="5" t="b">
        <v>0</v>
      </c>
      <c r="T914" s="5" t="s">
        <v>53</v>
      </c>
      <c r="U914" s="5" t="s">
        <v>2032</v>
      </c>
      <c r="V914" s="5" t="s">
        <v>2045</v>
      </c>
      <c r="W914" s="5"/>
    </row>
    <row r="915" spans="1:23" ht="17" x14ac:dyDescent="0.2">
      <c r="A915" s="5">
        <v>913</v>
      </c>
      <c r="B915" s="5" t="s">
        <v>1858</v>
      </c>
      <c r="C915" s="6" t="s">
        <v>1859</v>
      </c>
      <c r="D915" s="94">
        <v>70200</v>
      </c>
      <c r="E915" s="94">
        <v>35536</v>
      </c>
      <c r="F915" s="7">
        <f t="shared" si="59"/>
        <v>0.50621082621082625</v>
      </c>
      <c r="G915" s="5" t="s">
        <v>14</v>
      </c>
      <c r="H915" s="5">
        <v>523</v>
      </c>
      <c r="I915" s="96">
        <f t="shared" si="56"/>
        <v>67.946462715105156</v>
      </c>
      <c r="J915" s="5" t="s">
        <v>26</v>
      </c>
      <c r="K915" s="5" t="s">
        <v>27</v>
      </c>
      <c r="L915" s="5">
        <v>1557637200</v>
      </c>
      <c r="M915" s="5">
        <v>1558760400</v>
      </c>
      <c r="N915" s="8">
        <f t="shared" si="57"/>
        <v>43597.208333333328</v>
      </c>
      <c r="O915" s="8">
        <f t="shared" si="58"/>
        <v>43610.208333333328</v>
      </c>
      <c r="P915" s="21" t="str">
        <f>TEXT(CrowdfundingTable[[#This Row],[date_created]],"ddd")</f>
        <v>Sun</v>
      </c>
      <c r="Q915" s="21">
        <f>_xlfn.DAYS(CrowdfundingTable[[#This Row],[date_ended]],CrowdfundingTable[[#This Row],[date_created]])</f>
        <v>13</v>
      </c>
      <c r="R915" s="5" t="b">
        <v>0</v>
      </c>
      <c r="S915" s="5" t="b">
        <v>0</v>
      </c>
      <c r="T915" s="5" t="s">
        <v>53</v>
      </c>
      <c r="U915" s="5" t="s">
        <v>2032</v>
      </c>
      <c r="V915" s="5" t="s">
        <v>2045</v>
      </c>
      <c r="W915" s="5"/>
    </row>
    <row r="916" spans="1:23" ht="17" x14ac:dyDescent="0.2">
      <c r="A916" s="5">
        <v>914</v>
      </c>
      <c r="B916" s="5" t="s">
        <v>1860</v>
      </c>
      <c r="C916" s="6" t="s">
        <v>1861</v>
      </c>
      <c r="D916" s="94">
        <v>6400</v>
      </c>
      <c r="E916" s="94">
        <v>3676</v>
      </c>
      <c r="F916" s="7">
        <f t="shared" si="59"/>
        <v>0.57437499999999997</v>
      </c>
      <c r="G916" s="5" t="s">
        <v>14</v>
      </c>
      <c r="H916" s="5">
        <v>141</v>
      </c>
      <c r="I916" s="96">
        <f t="shared" si="56"/>
        <v>26.070921985815602</v>
      </c>
      <c r="J916" s="5" t="s">
        <v>40</v>
      </c>
      <c r="K916" s="5" t="s">
        <v>41</v>
      </c>
      <c r="L916" s="5">
        <v>1375592400</v>
      </c>
      <c r="M916" s="5">
        <v>1376629200</v>
      </c>
      <c r="N916" s="8">
        <f t="shared" si="57"/>
        <v>41490.208333333336</v>
      </c>
      <c r="O916" s="8">
        <f t="shared" si="58"/>
        <v>41502.208333333336</v>
      </c>
      <c r="P916" s="21" t="str">
        <f>TEXT(CrowdfundingTable[[#This Row],[date_created]],"ddd")</f>
        <v>Sun</v>
      </c>
      <c r="Q916" s="21">
        <f>_xlfn.DAYS(CrowdfundingTable[[#This Row],[date_ended]],CrowdfundingTable[[#This Row],[date_created]])</f>
        <v>12</v>
      </c>
      <c r="R916" s="5" t="b">
        <v>0</v>
      </c>
      <c r="S916" s="5" t="b">
        <v>0</v>
      </c>
      <c r="T916" s="5" t="s">
        <v>33</v>
      </c>
      <c r="U916" s="5" t="s">
        <v>2040</v>
      </c>
      <c r="V916" s="5" t="s">
        <v>2055</v>
      </c>
      <c r="W916" s="5"/>
    </row>
    <row r="917" spans="1:23" ht="17" x14ac:dyDescent="0.2">
      <c r="A917" s="5">
        <v>915</v>
      </c>
      <c r="B917" s="5" t="s">
        <v>1862</v>
      </c>
      <c r="C917" s="6" t="s">
        <v>1863</v>
      </c>
      <c r="D917" s="94">
        <v>125900</v>
      </c>
      <c r="E917" s="94">
        <v>195936</v>
      </c>
      <c r="F917" s="7">
        <f t="shared" si="59"/>
        <v>1.5562827640984909</v>
      </c>
      <c r="G917" s="5" t="s">
        <v>20</v>
      </c>
      <c r="H917" s="5">
        <v>1866</v>
      </c>
      <c r="I917" s="96">
        <f t="shared" si="56"/>
        <v>105.0032154340836</v>
      </c>
      <c r="J917" s="5" t="s">
        <v>40</v>
      </c>
      <c r="K917" s="5" t="s">
        <v>41</v>
      </c>
      <c r="L917" s="5">
        <v>1503982800</v>
      </c>
      <c r="M917" s="5">
        <v>1504760400</v>
      </c>
      <c r="N917" s="8">
        <f t="shared" si="57"/>
        <v>42976.208333333328</v>
      </c>
      <c r="O917" s="8">
        <f t="shared" si="58"/>
        <v>42985.208333333328</v>
      </c>
      <c r="P917" s="21" t="str">
        <f>TEXT(CrowdfundingTable[[#This Row],[date_created]],"ddd")</f>
        <v>Tue</v>
      </c>
      <c r="Q917" s="21">
        <f>_xlfn.DAYS(CrowdfundingTable[[#This Row],[date_ended]],CrowdfundingTable[[#This Row],[date_created]])</f>
        <v>9</v>
      </c>
      <c r="R917" s="5" t="b">
        <v>0</v>
      </c>
      <c r="S917" s="5" t="b">
        <v>0</v>
      </c>
      <c r="T917" s="5" t="s">
        <v>269</v>
      </c>
      <c r="U917" s="5" t="s">
        <v>2032</v>
      </c>
      <c r="V917" s="5" t="s">
        <v>2060</v>
      </c>
      <c r="W917" s="5"/>
    </row>
    <row r="918" spans="1:23" ht="34" x14ac:dyDescent="0.2">
      <c r="A918" s="5">
        <v>916</v>
      </c>
      <c r="B918" s="5" t="s">
        <v>1864</v>
      </c>
      <c r="C918" s="6" t="s">
        <v>1865</v>
      </c>
      <c r="D918" s="94">
        <v>3700</v>
      </c>
      <c r="E918" s="94">
        <v>1343</v>
      </c>
      <c r="F918" s="7">
        <f t="shared" si="59"/>
        <v>0.36297297297297298</v>
      </c>
      <c r="G918" s="5" t="s">
        <v>14</v>
      </c>
      <c r="H918" s="5">
        <v>52</v>
      </c>
      <c r="I918" s="96">
        <f t="shared" si="56"/>
        <v>25.826923076923077</v>
      </c>
      <c r="J918" s="5" t="s">
        <v>21</v>
      </c>
      <c r="K918" s="5" t="s">
        <v>22</v>
      </c>
      <c r="L918" s="5">
        <v>1418882400</v>
      </c>
      <c r="M918" s="5">
        <v>1419660000</v>
      </c>
      <c r="N918" s="8">
        <f t="shared" si="57"/>
        <v>41991.25</v>
      </c>
      <c r="O918" s="8">
        <f t="shared" si="58"/>
        <v>42000.25</v>
      </c>
      <c r="P918" s="21" t="str">
        <f>TEXT(CrowdfundingTable[[#This Row],[date_created]],"ddd")</f>
        <v>Thu</v>
      </c>
      <c r="Q918" s="21">
        <f>_xlfn.DAYS(CrowdfundingTable[[#This Row],[date_ended]],CrowdfundingTable[[#This Row],[date_created]])</f>
        <v>9</v>
      </c>
      <c r="R918" s="5" t="b">
        <v>0</v>
      </c>
      <c r="S918" s="5" t="b">
        <v>0</v>
      </c>
      <c r="T918" s="5" t="s">
        <v>122</v>
      </c>
      <c r="U918" s="5" t="s">
        <v>2037</v>
      </c>
      <c r="V918" s="5" t="s">
        <v>2054</v>
      </c>
      <c r="W918" s="5"/>
    </row>
    <row r="919" spans="1:23" ht="17" x14ac:dyDescent="0.2">
      <c r="A919" s="5">
        <v>917</v>
      </c>
      <c r="B919" s="5" t="s">
        <v>1866</v>
      </c>
      <c r="C919" s="6" t="s">
        <v>1867</v>
      </c>
      <c r="D919" s="94">
        <v>3600</v>
      </c>
      <c r="E919" s="94">
        <v>2097</v>
      </c>
      <c r="F919" s="7">
        <f t="shared" si="59"/>
        <v>0.58250000000000002</v>
      </c>
      <c r="G919" s="5" t="s">
        <v>47</v>
      </c>
      <c r="H919" s="5">
        <v>27</v>
      </c>
      <c r="I919" s="96">
        <f t="shared" si="56"/>
        <v>77.666666666666671</v>
      </c>
      <c r="J919" s="5" t="s">
        <v>40</v>
      </c>
      <c r="K919" s="5" t="s">
        <v>41</v>
      </c>
      <c r="L919" s="5">
        <v>1309237200</v>
      </c>
      <c r="M919" s="5">
        <v>1311310800</v>
      </c>
      <c r="N919" s="8">
        <f t="shared" si="57"/>
        <v>40722.208333333336</v>
      </c>
      <c r="O919" s="8">
        <f t="shared" si="58"/>
        <v>40746.208333333336</v>
      </c>
      <c r="P919" s="21" t="str">
        <f>TEXT(CrowdfundingTable[[#This Row],[date_created]],"ddd")</f>
        <v>Tue</v>
      </c>
      <c r="Q919" s="21">
        <f>_xlfn.DAYS(CrowdfundingTable[[#This Row],[date_ended]],CrowdfundingTable[[#This Row],[date_created]])</f>
        <v>24</v>
      </c>
      <c r="R919" s="5" t="b">
        <v>0</v>
      </c>
      <c r="S919" s="5" t="b">
        <v>1</v>
      </c>
      <c r="T919" s="5" t="s">
        <v>100</v>
      </c>
      <c r="U919" s="5" t="s">
        <v>2032</v>
      </c>
      <c r="V919" s="5" t="s">
        <v>2059</v>
      </c>
      <c r="W919" s="5"/>
    </row>
    <row r="920" spans="1:23" ht="17" x14ac:dyDescent="0.2">
      <c r="A920" s="5">
        <v>918</v>
      </c>
      <c r="B920" s="5" t="s">
        <v>1868</v>
      </c>
      <c r="C920" s="6" t="s">
        <v>1869</v>
      </c>
      <c r="D920" s="94">
        <v>3800</v>
      </c>
      <c r="E920" s="94">
        <v>9021</v>
      </c>
      <c r="F920" s="7">
        <f t="shared" si="59"/>
        <v>2.3739473684210526</v>
      </c>
      <c r="G920" s="5" t="s">
        <v>20</v>
      </c>
      <c r="H920" s="5">
        <v>156</v>
      </c>
      <c r="I920" s="96">
        <f t="shared" si="56"/>
        <v>57.82692307692308</v>
      </c>
      <c r="J920" s="5" t="s">
        <v>98</v>
      </c>
      <c r="K920" s="5" t="s">
        <v>99</v>
      </c>
      <c r="L920" s="5">
        <v>1343365200</v>
      </c>
      <c r="M920" s="5">
        <v>1344315600</v>
      </c>
      <c r="N920" s="8">
        <f t="shared" si="57"/>
        <v>41117.208333333336</v>
      </c>
      <c r="O920" s="8">
        <f t="shared" si="58"/>
        <v>41128.208333333336</v>
      </c>
      <c r="P920" s="21" t="str">
        <f>TEXT(CrowdfundingTable[[#This Row],[date_created]],"ddd")</f>
        <v>Fri</v>
      </c>
      <c r="Q920" s="21">
        <f>_xlfn.DAYS(CrowdfundingTable[[#This Row],[date_ended]],CrowdfundingTable[[#This Row],[date_created]])</f>
        <v>11</v>
      </c>
      <c r="R920" s="5" t="b">
        <v>0</v>
      </c>
      <c r="S920" s="5" t="b">
        <v>0</v>
      </c>
      <c r="T920" s="5" t="s">
        <v>133</v>
      </c>
      <c r="U920" s="5" t="s">
        <v>2038</v>
      </c>
      <c r="V920" s="5" t="s">
        <v>2056</v>
      </c>
      <c r="W920" s="5"/>
    </row>
    <row r="921" spans="1:23" ht="17" x14ac:dyDescent="0.2">
      <c r="A921" s="5">
        <v>919</v>
      </c>
      <c r="B921" s="5" t="s">
        <v>1870</v>
      </c>
      <c r="C921" s="6" t="s">
        <v>1871</v>
      </c>
      <c r="D921" s="94">
        <v>35600</v>
      </c>
      <c r="E921" s="94">
        <v>20915</v>
      </c>
      <c r="F921" s="7">
        <f t="shared" si="59"/>
        <v>0.58750000000000002</v>
      </c>
      <c r="G921" s="5" t="s">
        <v>14</v>
      </c>
      <c r="H921" s="5">
        <v>225</v>
      </c>
      <c r="I921" s="96">
        <f t="shared" si="56"/>
        <v>92.955555555555549</v>
      </c>
      <c r="J921" s="5" t="s">
        <v>26</v>
      </c>
      <c r="K921" s="5" t="s">
        <v>27</v>
      </c>
      <c r="L921" s="5">
        <v>1507957200</v>
      </c>
      <c r="M921" s="5">
        <v>1510725600</v>
      </c>
      <c r="N921" s="8">
        <f t="shared" si="57"/>
        <v>43022.208333333328</v>
      </c>
      <c r="O921" s="8">
        <f t="shared" si="58"/>
        <v>43054.25</v>
      </c>
      <c r="P921" s="21" t="str">
        <f>TEXT(CrowdfundingTable[[#This Row],[date_created]],"ddd")</f>
        <v>Sat</v>
      </c>
      <c r="Q921" s="21">
        <f>_xlfn.DAYS(CrowdfundingTable[[#This Row],[date_ended]],CrowdfundingTable[[#This Row],[date_created]])</f>
        <v>32</v>
      </c>
      <c r="R921" s="5" t="b">
        <v>0</v>
      </c>
      <c r="S921" s="5" t="b">
        <v>1</v>
      </c>
      <c r="T921" s="5" t="s">
        <v>33</v>
      </c>
      <c r="U921" s="5" t="s">
        <v>2040</v>
      </c>
      <c r="V921" s="5" t="s">
        <v>2055</v>
      </c>
      <c r="W921" s="5"/>
    </row>
    <row r="922" spans="1:23" ht="17" x14ac:dyDescent="0.2">
      <c r="A922" s="5">
        <v>920</v>
      </c>
      <c r="B922" s="5" t="s">
        <v>1872</v>
      </c>
      <c r="C922" s="6" t="s">
        <v>1873</v>
      </c>
      <c r="D922" s="94">
        <v>5300</v>
      </c>
      <c r="E922" s="94">
        <v>9676</v>
      </c>
      <c r="F922" s="7">
        <f t="shared" si="59"/>
        <v>1.8256603773584905</v>
      </c>
      <c r="G922" s="5" t="s">
        <v>20</v>
      </c>
      <c r="H922" s="5">
        <v>255</v>
      </c>
      <c r="I922" s="96">
        <f t="shared" si="56"/>
        <v>37.945098039215686</v>
      </c>
      <c r="J922" s="5" t="s">
        <v>21</v>
      </c>
      <c r="K922" s="5" t="s">
        <v>22</v>
      </c>
      <c r="L922" s="5">
        <v>1549519200</v>
      </c>
      <c r="M922" s="5">
        <v>1551247200</v>
      </c>
      <c r="N922" s="8">
        <f t="shared" si="57"/>
        <v>43503.25</v>
      </c>
      <c r="O922" s="8">
        <f t="shared" si="58"/>
        <v>43523.25</v>
      </c>
      <c r="P922" s="21" t="str">
        <f>TEXT(CrowdfundingTable[[#This Row],[date_created]],"ddd")</f>
        <v>Thu</v>
      </c>
      <c r="Q922" s="21">
        <f>_xlfn.DAYS(CrowdfundingTable[[#This Row],[date_ended]],CrowdfundingTable[[#This Row],[date_created]])</f>
        <v>20</v>
      </c>
      <c r="R922" s="5" t="b">
        <v>1</v>
      </c>
      <c r="S922" s="5" t="b">
        <v>0</v>
      </c>
      <c r="T922" s="5" t="s">
        <v>71</v>
      </c>
      <c r="U922" s="5" t="s">
        <v>2032</v>
      </c>
      <c r="V922" s="5" t="s">
        <v>2042</v>
      </c>
      <c r="W922" s="5"/>
    </row>
    <row r="923" spans="1:23" ht="17" x14ac:dyDescent="0.2">
      <c r="A923" s="5">
        <v>921</v>
      </c>
      <c r="B923" s="5" t="s">
        <v>1874</v>
      </c>
      <c r="C923" s="6" t="s">
        <v>1875</v>
      </c>
      <c r="D923" s="94">
        <v>160400</v>
      </c>
      <c r="E923" s="94">
        <v>1210</v>
      </c>
      <c r="F923" s="7">
        <f t="shared" si="59"/>
        <v>7.5436408977556111E-3</v>
      </c>
      <c r="G923" s="5" t="s">
        <v>14</v>
      </c>
      <c r="H923" s="5">
        <v>38</v>
      </c>
      <c r="I923" s="96">
        <f t="shared" si="56"/>
        <v>31.842105263157894</v>
      </c>
      <c r="J923" s="5" t="s">
        <v>21</v>
      </c>
      <c r="K923" s="5" t="s">
        <v>22</v>
      </c>
      <c r="L923" s="5">
        <v>1329026400</v>
      </c>
      <c r="M923" s="5">
        <v>1330236000</v>
      </c>
      <c r="N923" s="8">
        <f t="shared" si="57"/>
        <v>40951.25</v>
      </c>
      <c r="O923" s="8">
        <f t="shared" si="58"/>
        <v>40965.25</v>
      </c>
      <c r="P923" s="21" t="str">
        <f>TEXT(CrowdfundingTable[[#This Row],[date_created]],"ddd")</f>
        <v>Sun</v>
      </c>
      <c r="Q923" s="21">
        <f>_xlfn.DAYS(CrowdfundingTable[[#This Row],[date_ended]],CrowdfundingTable[[#This Row],[date_created]])</f>
        <v>14</v>
      </c>
      <c r="R923" s="5" t="b">
        <v>0</v>
      </c>
      <c r="S923" s="5" t="b">
        <v>0</v>
      </c>
      <c r="T923" s="5" t="s">
        <v>28</v>
      </c>
      <c r="U923" s="5" t="s">
        <v>2039</v>
      </c>
      <c r="V923" s="5" t="s">
        <v>2064</v>
      </c>
      <c r="W923" s="5"/>
    </row>
    <row r="924" spans="1:23" ht="17" x14ac:dyDescent="0.2">
      <c r="A924" s="5">
        <v>922</v>
      </c>
      <c r="B924" s="5" t="s">
        <v>1876</v>
      </c>
      <c r="C924" s="6" t="s">
        <v>1877</v>
      </c>
      <c r="D924" s="94">
        <v>51400</v>
      </c>
      <c r="E924" s="94">
        <v>90440</v>
      </c>
      <c r="F924" s="7">
        <f t="shared" si="59"/>
        <v>1.7595330739299611</v>
      </c>
      <c r="G924" s="5" t="s">
        <v>20</v>
      </c>
      <c r="H924" s="5">
        <v>2261</v>
      </c>
      <c r="I924" s="96">
        <f t="shared" si="56"/>
        <v>40</v>
      </c>
      <c r="J924" s="5" t="s">
        <v>21</v>
      </c>
      <c r="K924" s="5" t="s">
        <v>22</v>
      </c>
      <c r="L924" s="5">
        <v>1544335200</v>
      </c>
      <c r="M924" s="5">
        <v>1545112800</v>
      </c>
      <c r="N924" s="8">
        <f t="shared" si="57"/>
        <v>43443.25</v>
      </c>
      <c r="O924" s="8">
        <f t="shared" si="58"/>
        <v>43452.25</v>
      </c>
      <c r="P924" s="21" t="str">
        <f>TEXT(CrowdfundingTable[[#This Row],[date_created]],"ddd")</f>
        <v>Sun</v>
      </c>
      <c r="Q924" s="21">
        <f>_xlfn.DAYS(CrowdfundingTable[[#This Row],[date_ended]],CrowdfundingTable[[#This Row],[date_created]])</f>
        <v>9</v>
      </c>
      <c r="R924" s="5" t="b">
        <v>0</v>
      </c>
      <c r="S924" s="5" t="b">
        <v>1</v>
      </c>
      <c r="T924" s="5" t="s">
        <v>319</v>
      </c>
      <c r="U924" s="5" t="s">
        <v>2036</v>
      </c>
      <c r="V924" s="5" t="s">
        <v>2065</v>
      </c>
      <c r="W924" s="5"/>
    </row>
    <row r="925" spans="1:23" ht="17" x14ac:dyDescent="0.2">
      <c r="A925" s="5">
        <v>923</v>
      </c>
      <c r="B925" s="5" t="s">
        <v>1878</v>
      </c>
      <c r="C925" s="6" t="s">
        <v>1879</v>
      </c>
      <c r="D925" s="94">
        <v>1700</v>
      </c>
      <c r="E925" s="94">
        <v>4044</v>
      </c>
      <c r="F925" s="7">
        <f t="shared" si="59"/>
        <v>2.3788235294117648</v>
      </c>
      <c r="G925" s="5" t="s">
        <v>20</v>
      </c>
      <c r="H925" s="5">
        <v>40</v>
      </c>
      <c r="I925" s="96">
        <f t="shared" si="56"/>
        <v>101.1</v>
      </c>
      <c r="J925" s="5" t="s">
        <v>21</v>
      </c>
      <c r="K925" s="5" t="s">
        <v>22</v>
      </c>
      <c r="L925" s="5">
        <v>1279083600</v>
      </c>
      <c r="M925" s="5">
        <v>1279170000</v>
      </c>
      <c r="N925" s="8">
        <f t="shared" si="57"/>
        <v>40373.208333333336</v>
      </c>
      <c r="O925" s="8">
        <f t="shared" si="58"/>
        <v>40374.208333333336</v>
      </c>
      <c r="P925" s="21" t="str">
        <f>TEXT(CrowdfundingTable[[#This Row],[date_created]],"ddd")</f>
        <v>Wed</v>
      </c>
      <c r="Q925" s="21">
        <f>_xlfn.DAYS(CrowdfundingTable[[#This Row],[date_ended]],CrowdfundingTable[[#This Row],[date_created]])</f>
        <v>1</v>
      </c>
      <c r="R925" s="5" t="b">
        <v>0</v>
      </c>
      <c r="S925" s="5" t="b">
        <v>0</v>
      </c>
      <c r="T925" s="5" t="s">
        <v>33</v>
      </c>
      <c r="U925" s="5" t="s">
        <v>2040</v>
      </c>
      <c r="V925" s="5" t="s">
        <v>2055</v>
      </c>
      <c r="W925" s="5"/>
    </row>
    <row r="926" spans="1:23" ht="17" x14ac:dyDescent="0.2">
      <c r="A926" s="5">
        <v>924</v>
      </c>
      <c r="B926" s="5" t="s">
        <v>1880</v>
      </c>
      <c r="C926" s="6" t="s">
        <v>1881</v>
      </c>
      <c r="D926" s="94">
        <v>39400</v>
      </c>
      <c r="E926" s="94">
        <v>192292</v>
      </c>
      <c r="F926" s="7">
        <f t="shared" si="59"/>
        <v>4.8805076142131982</v>
      </c>
      <c r="G926" s="5" t="s">
        <v>20</v>
      </c>
      <c r="H926" s="5">
        <v>2289</v>
      </c>
      <c r="I926" s="96">
        <f t="shared" si="56"/>
        <v>84.006989951944078</v>
      </c>
      <c r="J926" s="5" t="s">
        <v>107</v>
      </c>
      <c r="K926" s="5" t="s">
        <v>108</v>
      </c>
      <c r="L926" s="5">
        <v>1572498000</v>
      </c>
      <c r="M926" s="5">
        <v>1573452000</v>
      </c>
      <c r="N926" s="8">
        <f t="shared" si="57"/>
        <v>43769.208333333328</v>
      </c>
      <c r="O926" s="8">
        <f t="shared" si="58"/>
        <v>43780.25</v>
      </c>
      <c r="P926" s="21" t="str">
        <f>TEXT(CrowdfundingTable[[#This Row],[date_created]],"ddd")</f>
        <v>Thu</v>
      </c>
      <c r="Q926" s="21">
        <f>_xlfn.DAYS(CrowdfundingTable[[#This Row],[date_ended]],CrowdfundingTable[[#This Row],[date_created]])</f>
        <v>11</v>
      </c>
      <c r="R926" s="5" t="b">
        <v>0</v>
      </c>
      <c r="S926" s="5" t="b">
        <v>0</v>
      </c>
      <c r="T926" s="5" t="s">
        <v>33</v>
      </c>
      <c r="U926" s="5" t="s">
        <v>2040</v>
      </c>
      <c r="V926" s="5" t="s">
        <v>2055</v>
      </c>
      <c r="W926" s="5"/>
    </row>
    <row r="927" spans="1:23" ht="34" x14ac:dyDescent="0.2">
      <c r="A927" s="5">
        <v>925</v>
      </c>
      <c r="B927" s="5" t="s">
        <v>1882</v>
      </c>
      <c r="C927" s="6" t="s">
        <v>1883</v>
      </c>
      <c r="D927" s="94">
        <v>3000</v>
      </c>
      <c r="E927" s="94">
        <v>6722</v>
      </c>
      <c r="F927" s="7">
        <f t="shared" si="59"/>
        <v>2.2406666666666668</v>
      </c>
      <c r="G927" s="5" t="s">
        <v>20</v>
      </c>
      <c r="H927" s="5">
        <v>65</v>
      </c>
      <c r="I927" s="96">
        <f t="shared" si="56"/>
        <v>103.41538461538461</v>
      </c>
      <c r="J927" s="5" t="s">
        <v>21</v>
      </c>
      <c r="K927" s="5" t="s">
        <v>22</v>
      </c>
      <c r="L927" s="5">
        <v>1506056400</v>
      </c>
      <c r="M927" s="5">
        <v>1507093200</v>
      </c>
      <c r="N927" s="8">
        <f t="shared" si="57"/>
        <v>43000.208333333328</v>
      </c>
      <c r="O927" s="8">
        <f t="shared" si="58"/>
        <v>43012.208333333328</v>
      </c>
      <c r="P927" s="21" t="str">
        <f>TEXT(CrowdfundingTable[[#This Row],[date_created]],"ddd")</f>
        <v>Fri</v>
      </c>
      <c r="Q927" s="21">
        <f>_xlfn.DAYS(CrowdfundingTable[[#This Row],[date_ended]],CrowdfundingTable[[#This Row],[date_created]])</f>
        <v>12</v>
      </c>
      <c r="R927" s="5" t="b">
        <v>0</v>
      </c>
      <c r="S927" s="5" t="b">
        <v>0</v>
      </c>
      <c r="T927" s="5" t="s">
        <v>33</v>
      </c>
      <c r="U927" s="5" t="s">
        <v>2040</v>
      </c>
      <c r="V927" s="5" t="s">
        <v>2055</v>
      </c>
      <c r="W927" s="5"/>
    </row>
    <row r="928" spans="1:23" ht="17" x14ac:dyDescent="0.2">
      <c r="A928" s="5">
        <v>926</v>
      </c>
      <c r="B928" s="5" t="s">
        <v>1884</v>
      </c>
      <c r="C928" s="6" t="s">
        <v>1885</v>
      </c>
      <c r="D928" s="94">
        <v>8700</v>
      </c>
      <c r="E928" s="94">
        <v>1577</v>
      </c>
      <c r="F928" s="7">
        <f t="shared" si="59"/>
        <v>0.18126436781609195</v>
      </c>
      <c r="G928" s="5" t="s">
        <v>14</v>
      </c>
      <c r="H928" s="5">
        <v>15</v>
      </c>
      <c r="I928" s="96">
        <f t="shared" si="56"/>
        <v>105.13333333333334</v>
      </c>
      <c r="J928" s="5" t="s">
        <v>21</v>
      </c>
      <c r="K928" s="5" t="s">
        <v>22</v>
      </c>
      <c r="L928" s="5">
        <v>1463029200</v>
      </c>
      <c r="M928" s="5">
        <v>1463374800</v>
      </c>
      <c r="N928" s="8">
        <f t="shared" si="57"/>
        <v>42502.208333333328</v>
      </c>
      <c r="O928" s="8">
        <f t="shared" si="58"/>
        <v>42506.208333333328</v>
      </c>
      <c r="P928" s="21" t="str">
        <f>TEXT(CrowdfundingTable[[#This Row],[date_created]],"ddd")</f>
        <v>Thu</v>
      </c>
      <c r="Q928" s="21">
        <f>_xlfn.DAYS(CrowdfundingTable[[#This Row],[date_ended]],CrowdfundingTable[[#This Row],[date_created]])</f>
        <v>4</v>
      </c>
      <c r="R928" s="5" t="b">
        <v>0</v>
      </c>
      <c r="S928" s="5" t="b">
        <v>0</v>
      </c>
      <c r="T928" s="5" t="s">
        <v>17</v>
      </c>
      <c r="U928" s="5" t="s">
        <v>2033</v>
      </c>
      <c r="V928" s="5" t="s">
        <v>2048</v>
      </c>
      <c r="W928" s="5"/>
    </row>
    <row r="929" spans="1:23" ht="17" x14ac:dyDescent="0.2">
      <c r="A929" s="5">
        <v>927</v>
      </c>
      <c r="B929" s="5" t="s">
        <v>1886</v>
      </c>
      <c r="C929" s="6" t="s">
        <v>1887</v>
      </c>
      <c r="D929" s="94">
        <v>7200</v>
      </c>
      <c r="E929" s="94">
        <v>3301</v>
      </c>
      <c r="F929" s="7">
        <f t="shared" si="59"/>
        <v>0.45847222222222223</v>
      </c>
      <c r="G929" s="5" t="s">
        <v>14</v>
      </c>
      <c r="H929" s="5">
        <v>37</v>
      </c>
      <c r="I929" s="96">
        <f t="shared" si="56"/>
        <v>89.21621621621621</v>
      </c>
      <c r="J929" s="5" t="s">
        <v>21</v>
      </c>
      <c r="K929" s="5" t="s">
        <v>22</v>
      </c>
      <c r="L929" s="5">
        <v>1342069200</v>
      </c>
      <c r="M929" s="5">
        <v>1344574800</v>
      </c>
      <c r="N929" s="8">
        <f t="shared" si="57"/>
        <v>41102.208333333336</v>
      </c>
      <c r="O929" s="8">
        <f t="shared" si="58"/>
        <v>41131.208333333336</v>
      </c>
      <c r="P929" s="21" t="str">
        <f>TEXT(CrowdfundingTable[[#This Row],[date_created]],"ddd")</f>
        <v>Thu</v>
      </c>
      <c r="Q929" s="21">
        <f>_xlfn.DAYS(CrowdfundingTable[[#This Row],[date_ended]],CrowdfundingTable[[#This Row],[date_created]])</f>
        <v>29</v>
      </c>
      <c r="R929" s="5" t="b">
        <v>0</v>
      </c>
      <c r="S929" s="5" t="b">
        <v>0</v>
      </c>
      <c r="T929" s="5" t="s">
        <v>33</v>
      </c>
      <c r="U929" s="5" t="s">
        <v>2040</v>
      </c>
      <c r="V929" s="5" t="s">
        <v>2055</v>
      </c>
      <c r="W929" s="5"/>
    </row>
    <row r="930" spans="1:23" ht="17" x14ac:dyDescent="0.2">
      <c r="A930" s="5">
        <v>928</v>
      </c>
      <c r="B930" s="5" t="s">
        <v>1888</v>
      </c>
      <c r="C930" s="6" t="s">
        <v>1889</v>
      </c>
      <c r="D930" s="94">
        <v>167400</v>
      </c>
      <c r="E930" s="94">
        <v>196386</v>
      </c>
      <c r="F930" s="7">
        <f t="shared" si="59"/>
        <v>1.1731541218637993</v>
      </c>
      <c r="G930" s="5" t="s">
        <v>20</v>
      </c>
      <c r="H930" s="5">
        <v>3777</v>
      </c>
      <c r="I930" s="96">
        <f t="shared" si="56"/>
        <v>51.995234312946785</v>
      </c>
      <c r="J930" s="5" t="s">
        <v>107</v>
      </c>
      <c r="K930" s="5" t="s">
        <v>108</v>
      </c>
      <c r="L930" s="5">
        <v>1388296800</v>
      </c>
      <c r="M930" s="5">
        <v>1389074400</v>
      </c>
      <c r="N930" s="8">
        <f t="shared" si="57"/>
        <v>41637.25</v>
      </c>
      <c r="O930" s="8">
        <f t="shared" si="58"/>
        <v>41646.25</v>
      </c>
      <c r="P930" s="21" t="str">
        <f>TEXT(CrowdfundingTable[[#This Row],[date_created]],"ddd")</f>
        <v>Sun</v>
      </c>
      <c r="Q930" s="21">
        <f>_xlfn.DAYS(CrowdfundingTable[[#This Row],[date_ended]],CrowdfundingTable[[#This Row],[date_created]])</f>
        <v>9</v>
      </c>
      <c r="R930" s="5" t="b">
        <v>0</v>
      </c>
      <c r="S930" s="5" t="b">
        <v>0</v>
      </c>
      <c r="T930" s="5" t="s">
        <v>28</v>
      </c>
      <c r="U930" s="5" t="s">
        <v>2039</v>
      </c>
      <c r="V930" s="5" t="s">
        <v>2064</v>
      </c>
      <c r="W930" s="5"/>
    </row>
    <row r="931" spans="1:23" ht="17" x14ac:dyDescent="0.2">
      <c r="A931" s="5">
        <v>929</v>
      </c>
      <c r="B931" s="5" t="s">
        <v>1890</v>
      </c>
      <c r="C931" s="6" t="s">
        <v>1891</v>
      </c>
      <c r="D931" s="94">
        <v>5500</v>
      </c>
      <c r="E931" s="94">
        <v>11952</v>
      </c>
      <c r="F931" s="7">
        <f t="shared" si="59"/>
        <v>2.173090909090909</v>
      </c>
      <c r="G931" s="5" t="s">
        <v>20</v>
      </c>
      <c r="H931" s="5">
        <v>184</v>
      </c>
      <c r="I931" s="96">
        <f t="shared" si="56"/>
        <v>64.956521739130437</v>
      </c>
      <c r="J931" s="5" t="s">
        <v>40</v>
      </c>
      <c r="K931" s="5" t="s">
        <v>41</v>
      </c>
      <c r="L931" s="5">
        <v>1493787600</v>
      </c>
      <c r="M931" s="5">
        <v>1494997200</v>
      </c>
      <c r="N931" s="8">
        <f t="shared" si="57"/>
        <v>42858.208333333328</v>
      </c>
      <c r="O931" s="8">
        <f t="shared" si="58"/>
        <v>42872.208333333328</v>
      </c>
      <c r="P931" s="21" t="str">
        <f>TEXT(CrowdfundingTable[[#This Row],[date_created]],"ddd")</f>
        <v>Wed</v>
      </c>
      <c r="Q931" s="21">
        <f>_xlfn.DAYS(CrowdfundingTable[[#This Row],[date_ended]],CrowdfundingTable[[#This Row],[date_created]])</f>
        <v>14</v>
      </c>
      <c r="R931" s="5" t="b">
        <v>0</v>
      </c>
      <c r="S931" s="5" t="b">
        <v>0</v>
      </c>
      <c r="T931" s="5" t="s">
        <v>33</v>
      </c>
      <c r="U931" s="5" t="s">
        <v>2040</v>
      </c>
      <c r="V931" s="5" t="s">
        <v>2055</v>
      </c>
      <c r="W931" s="5"/>
    </row>
    <row r="932" spans="1:23" ht="17" x14ac:dyDescent="0.2">
      <c r="A932" s="5">
        <v>930</v>
      </c>
      <c r="B932" s="5" t="s">
        <v>1892</v>
      </c>
      <c r="C932" s="6" t="s">
        <v>1893</v>
      </c>
      <c r="D932" s="94">
        <v>3500</v>
      </c>
      <c r="E932" s="94">
        <v>3930</v>
      </c>
      <c r="F932" s="7">
        <f t="shared" si="59"/>
        <v>1.1228571428571428</v>
      </c>
      <c r="G932" s="5" t="s">
        <v>20</v>
      </c>
      <c r="H932" s="5">
        <v>85</v>
      </c>
      <c r="I932" s="96">
        <f t="shared" si="56"/>
        <v>46.235294117647058</v>
      </c>
      <c r="J932" s="5" t="s">
        <v>21</v>
      </c>
      <c r="K932" s="5" t="s">
        <v>22</v>
      </c>
      <c r="L932" s="5">
        <v>1424844000</v>
      </c>
      <c r="M932" s="5">
        <v>1425448800</v>
      </c>
      <c r="N932" s="8">
        <f t="shared" si="57"/>
        <v>42060.25</v>
      </c>
      <c r="O932" s="8">
        <f t="shared" si="58"/>
        <v>42067.25</v>
      </c>
      <c r="P932" s="21" t="str">
        <f>TEXT(CrowdfundingTable[[#This Row],[date_created]],"ddd")</f>
        <v>Wed</v>
      </c>
      <c r="Q932" s="21">
        <f>_xlfn.DAYS(CrowdfundingTable[[#This Row],[date_ended]],CrowdfundingTable[[#This Row],[date_created]])</f>
        <v>7</v>
      </c>
      <c r="R932" s="5" t="b">
        <v>0</v>
      </c>
      <c r="S932" s="5" t="b">
        <v>1</v>
      </c>
      <c r="T932" s="5" t="s">
        <v>33</v>
      </c>
      <c r="U932" s="5" t="s">
        <v>2040</v>
      </c>
      <c r="V932" s="5" t="s">
        <v>2055</v>
      </c>
      <c r="W932" s="5"/>
    </row>
    <row r="933" spans="1:23" ht="17" x14ac:dyDescent="0.2">
      <c r="A933" s="5">
        <v>931</v>
      </c>
      <c r="B933" s="5" t="s">
        <v>1894</v>
      </c>
      <c r="C933" s="6" t="s">
        <v>1895</v>
      </c>
      <c r="D933" s="94">
        <v>7900</v>
      </c>
      <c r="E933" s="94">
        <v>5729</v>
      </c>
      <c r="F933" s="7">
        <f t="shared" si="59"/>
        <v>0.72518987341772156</v>
      </c>
      <c r="G933" s="5" t="s">
        <v>14</v>
      </c>
      <c r="H933" s="5">
        <v>112</v>
      </c>
      <c r="I933" s="96">
        <f t="shared" si="56"/>
        <v>51.151785714285715</v>
      </c>
      <c r="J933" s="5" t="s">
        <v>21</v>
      </c>
      <c r="K933" s="5" t="s">
        <v>22</v>
      </c>
      <c r="L933" s="5">
        <v>1403931600</v>
      </c>
      <c r="M933" s="5">
        <v>1404104400</v>
      </c>
      <c r="N933" s="8">
        <f t="shared" si="57"/>
        <v>41818.208333333336</v>
      </c>
      <c r="O933" s="8">
        <f t="shared" si="58"/>
        <v>41820.208333333336</v>
      </c>
      <c r="P933" s="21" t="str">
        <f>TEXT(CrowdfundingTable[[#This Row],[date_created]],"ddd")</f>
        <v>Sat</v>
      </c>
      <c r="Q933" s="21">
        <f>_xlfn.DAYS(CrowdfundingTable[[#This Row],[date_ended]],CrowdfundingTable[[#This Row],[date_created]])</f>
        <v>2</v>
      </c>
      <c r="R933" s="5" t="b">
        <v>0</v>
      </c>
      <c r="S933" s="5" t="b">
        <v>1</v>
      </c>
      <c r="T933" s="5" t="s">
        <v>33</v>
      </c>
      <c r="U933" s="5" t="s">
        <v>2040</v>
      </c>
      <c r="V933" s="5" t="s">
        <v>2055</v>
      </c>
      <c r="W933" s="5"/>
    </row>
    <row r="934" spans="1:23" ht="17" x14ac:dyDescent="0.2">
      <c r="A934" s="5">
        <v>932</v>
      </c>
      <c r="B934" s="5" t="s">
        <v>1896</v>
      </c>
      <c r="C934" s="6" t="s">
        <v>1897</v>
      </c>
      <c r="D934" s="94">
        <v>2300</v>
      </c>
      <c r="E934" s="94">
        <v>4883</v>
      </c>
      <c r="F934" s="7">
        <f t="shared" si="59"/>
        <v>2.1230434782608696</v>
      </c>
      <c r="G934" s="5" t="s">
        <v>20</v>
      </c>
      <c r="H934" s="5">
        <v>144</v>
      </c>
      <c r="I934" s="96">
        <f t="shared" si="56"/>
        <v>33.909722222222221</v>
      </c>
      <c r="J934" s="5" t="s">
        <v>21</v>
      </c>
      <c r="K934" s="5" t="s">
        <v>22</v>
      </c>
      <c r="L934" s="5">
        <v>1394514000</v>
      </c>
      <c r="M934" s="5">
        <v>1394773200</v>
      </c>
      <c r="N934" s="8">
        <f t="shared" si="57"/>
        <v>41709.208333333336</v>
      </c>
      <c r="O934" s="8">
        <f t="shared" si="58"/>
        <v>41712.208333333336</v>
      </c>
      <c r="P934" s="21" t="str">
        <f>TEXT(CrowdfundingTable[[#This Row],[date_created]],"ddd")</f>
        <v>Tue</v>
      </c>
      <c r="Q934" s="21">
        <f>_xlfn.DAYS(CrowdfundingTable[[#This Row],[date_ended]],CrowdfundingTable[[#This Row],[date_created]])</f>
        <v>3</v>
      </c>
      <c r="R934" s="5" t="b">
        <v>0</v>
      </c>
      <c r="S934" s="5" t="b">
        <v>0</v>
      </c>
      <c r="T934" s="5" t="s">
        <v>23</v>
      </c>
      <c r="U934" s="5" t="s">
        <v>2036</v>
      </c>
      <c r="V934" s="5" t="s">
        <v>2057</v>
      </c>
      <c r="W934" s="5"/>
    </row>
    <row r="935" spans="1:23" ht="17" x14ac:dyDescent="0.2">
      <c r="A935" s="5">
        <v>933</v>
      </c>
      <c r="B935" s="5" t="s">
        <v>1898</v>
      </c>
      <c r="C935" s="6" t="s">
        <v>1899</v>
      </c>
      <c r="D935" s="94">
        <v>73000</v>
      </c>
      <c r="E935" s="94">
        <v>175015</v>
      </c>
      <c r="F935" s="7">
        <f t="shared" si="59"/>
        <v>2.3974657534246577</v>
      </c>
      <c r="G935" s="5" t="s">
        <v>20</v>
      </c>
      <c r="H935" s="5">
        <v>1902</v>
      </c>
      <c r="I935" s="96">
        <f t="shared" si="56"/>
        <v>92.016298633017882</v>
      </c>
      <c r="J935" s="5" t="s">
        <v>21</v>
      </c>
      <c r="K935" s="5" t="s">
        <v>22</v>
      </c>
      <c r="L935" s="5">
        <v>1365397200</v>
      </c>
      <c r="M935" s="5">
        <v>1366520400</v>
      </c>
      <c r="N935" s="8">
        <f t="shared" si="57"/>
        <v>41372.208333333336</v>
      </c>
      <c r="O935" s="8">
        <f t="shared" si="58"/>
        <v>41385.208333333336</v>
      </c>
      <c r="P935" s="21" t="str">
        <f>TEXT(CrowdfundingTable[[#This Row],[date_created]],"ddd")</f>
        <v>Mon</v>
      </c>
      <c r="Q935" s="21">
        <f>_xlfn.DAYS(CrowdfundingTable[[#This Row],[date_ended]],CrowdfundingTable[[#This Row],[date_created]])</f>
        <v>13</v>
      </c>
      <c r="R935" s="5" t="b">
        <v>0</v>
      </c>
      <c r="S935" s="5" t="b">
        <v>0</v>
      </c>
      <c r="T935" s="5" t="s">
        <v>33</v>
      </c>
      <c r="U935" s="5" t="s">
        <v>2040</v>
      </c>
      <c r="V935" s="5" t="s">
        <v>2055</v>
      </c>
      <c r="W935" s="5"/>
    </row>
    <row r="936" spans="1:23" ht="17" x14ac:dyDescent="0.2">
      <c r="A936" s="5">
        <v>934</v>
      </c>
      <c r="B936" s="5" t="s">
        <v>1900</v>
      </c>
      <c r="C936" s="6" t="s">
        <v>1901</v>
      </c>
      <c r="D936" s="94">
        <v>6200</v>
      </c>
      <c r="E936" s="94">
        <v>11280</v>
      </c>
      <c r="F936" s="7">
        <f t="shared" si="59"/>
        <v>1.8193548387096774</v>
      </c>
      <c r="G936" s="5" t="s">
        <v>20</v>
      </c>
      <c r="H936" s="5">
        <v>105</v>
      </c>
      <c r="I936" s="96">
        <f t="shared" si="56"/>
        <v>107.42857142857143</v>
      </c>
      <c r="J936" s="5" t="s">
        <v>21</v>
      </c>
      <c r="K936" s="5" t="s">
        <v>22</v>
      </c>
      <c r="L936" s="5">
        <v>1456120800</v>
      </c>
      <c r="M936" s="5">
        <v>1456639200</v>
      </c>
      <c r="N936" s="8">
        <f t="shared" si="57"/>
        <v>42422.25</v>
      </c>
      <c r="O936" s="8">
        <f t="shared" si="58"/>
        <v>42428.25</v>
      </c>
      <c r="P936" s="21" t="str">
        <f>TEXT(CrowdfundingTable[[#This Row],[date_created]],"ddd")</f>
        <v>Mon</v>
      </c>
      <c r="Q936" s="21">
        <f>_xlfn.DAYS(CrowdfundingTable[[#This Row],[date_ended]],CrowdfundingTable[[#This Row],[date_created]])</f>
        <v>6</v>
      </c>
      <c r="R936" s="5" t="b">
        <v>0</v>
      </c>
      <c r="S936" s="5" t="b">
        <v>0</v>
      </c>
      <c r="T936" s="5" t="s">
        <v>33</v>
      </c>
      <c r="U936" s="5" t="s">
        <v>2040</v>
      </c>
      <c r="V936" s="5" t="s">
        <v>2055</v>
      </c>
      <c r="W936" s="5"/>
    </row>
    <row r="937" spans="1:23" ht="17" x14ac:dyDescent="0.2">
      <c r="A937" s="5">
        <v>935</v>
      </c>
      <c r="B937" s="5" t="s">
        <v>1902</v>
      </c>
      <c r="C937" s="6" t="s">
        <v>1903</v>
      </c>
      <c r="D937" s="94">
        <v>6100</v>
      </c>
      <c r="E937" s="94">
        <v>10012</v>
      </c>
      <c r="F937" s="7">
        <f t="shared" si="59"/>
        <v>1.6413114754098361</v>
      </c>
      <c r="G937" s="5" t="s">
        <v>20</v>
      </c>
      <c r="H937" s="5">
        <v>132</v>
      </c>
      <c r="I937" s="96">
        <f t="shared" si="56"/>
        <v>75.848484848484844</v>
      </c>
      <c r="J937" s="5" t="s">
        <v>21</v>
      </c>
      <c r="K937" s="5" t="s">
        <v>22</v>
      </c>
      <c r="L937" s="5">
        <v>1437714000</v>
      </c>
      <c r="M937" s="5">
        <v>1438318800</v>
      </c>
      <c r="N937" s="8">
        <f t="shared" si="57"/>
        <v>42209.208333333328</v>
      </c>
      <c r="O937" s="8">
        <f t="shared" si="58"/>
        <v>42216.208333333328</v>
      </c>
      <c r="P937" s="21" t="str">
        <f>TEXT(CrowdfundingTable[[#This Row],[date_created]],"ddd")</f>
        <v>Fri</v>
      </c>
      <c r="Q937" s="21">
        <f>_xlfn.DAYS(CrowdfundingTable[[#This Row],[date_ended]],CrowdfundingTable[[#This Row],[date_created]])</f>
        <v>7</v>
      </c>
      <c r="R937" s="5" t="b">
        <v>0</v>
      </c>
      <c r="S937" s="5" t="b">
        <v>0</v>
      </c>
      <c r="T937" s="5" t="s">
        <v>33</v>
      </c>
      <c r="U937" s="5" t="s">
        <v>2040</v>
      </c>
      <c r="V937" s="5" t="s">
        <v>2055</v>
      </c>
      <c r="W937" s="5"/>
    </row>
    <row r="938" spans="1:23" ht="17" x14ac:dyDescent="0.2">
      <c r="A938" s="5">
        <v>936</v>
      </c>
      <c r="B938" s="5" t="s">
        <v>1246</v>
      </c>
      <c r="C938" s="6" t="s">
        <v>1904</v>
      </c>
      <c r="D938" s="94">
        <v>103200</v>
      </c>
      <c r="E938" s="94">
        <v>1690</v>
      </c>
      <c r="F938" s="7">
        <f t="shared" si="59"/>
        <v>1.6375968992248063E-2</v>
      </c>
      <c r="G938" s="5" t="s">
        <v>14</v>
      </c>
      <c r="H938" s="5">
        <v>21</v>
      </c>
      <c r="I938" s="96">
        <f t="shared" si="56"/>
        <v>80.476190476190482</v>
      </c>
      <c r="J938" s="5" t="s">
        <v>21</v>
      </c>
      <c r="K938" s="5" t="s">
        <v>22</v>
      </c>
      <c r="L938" s="5">
        <v>1563771600</v>
      </c>
      <c r="M938" s="5">
        <v>1564030800</v>
      </c>
      <c r="N938" s="8">
        <f t="shared" si="57"/>
        <v>43668.208333333328</v>
      </c>
      <c r="O938" s="8">
        <f t="shared" si="58"/>
        <v>43671.208333333328</v>
      </c>
      <c r="P938" s="21" t="str">
        <f>TEXT(CrowdfundingTable[[#This Row],[date_created]],"ddd")</f>
        <v>Mon</v>
      </c>
      <c r="Q938" s="21">
        <f>_xlfn.DAYS(CrowdfundingTable[[#This Row],[date_ended]],CrowdfundingTable[[#This Row],[date_created]])</f>
        <v>3</v>
      </c>
      <c r="R938" s="5" t="b">
        <v>1</v>
      </c>
      <c r="S938" s="5" t="b">
        <v>0</v>
      </c>
      <c r="T938" s="5" t="s">
        <v>33</v>
      </c>
      <c r="U938" s="5" t="s">
        <v>2040</v>
      </c>
      <c r="V938" s="5" t="s">
        <v>2055</v>
      </c>
      <c r="W938" s="5"/>
    </row>
    <row r="939" spans="1:23" ht="17" x14ac:dyDescent="0.2">
      <c r="A939" s="5">
        <v>937</v>
      </c>
      <c r="B939" s="5" t="s">
        <v>1905</v>
      </c>
      <c r="C939" s="6" t="s">
        <v>1906</v>
      </c>
      <c r="D939" s="94">
        <v>171000</v>
      </c>
      <c r="E939" s="94">
        <v>84891</v>
      </c>
      <c r="F939" s="7">
        <f t="shared" si="59"/>
        <v>0.49643859649122807</v>
      </c>
      <c r="G939" s="5" t="s">
        <v>74</v>
      </c>
      <c r="H939" s="5">
        <v>976</v>
      </c>
      <c r="I939" s="96">
        <f t="shared" si="56"/>
        <v>86.978483606557376</v>
      </c>
      <c r="J939" s="5" t="s">
        <v>21</v>
      </c>
      <c r="K939" s="5" t="s">
        <v>22</v>
      </c>
      <c r="L939" s="5">
        <v>1448517600</v>
      </c>
      <c r="M939" s="5">
        <v>1449295200</v>
      </c>
      <c r="N939" s="8">
        <f t="shared" si="57"/>
        <v>42334.25</v>
      </c>
      <c r="O939" s="8">
        <f t="shared" si="58"/>
        <v>42343.25</v>
      </c>
      <c r="P939" s="21" t="str">
        <f>TEXT(CrowdfundingTable[[#This Row],[date_created]],"ddd")</f>
        <v>Thu</v>
      </c>
      <c r="Q939" s="21">
        <f>_xlfn.DAYS(CrowdfundingTable[[#This Row],[date_ended]],CrowdfundingTable[[#This Row],[date_created]])</f>
        <v>9</v>
      </c>
      <c r="R939" s="5" t="b">
        <v>0</v>
      </c>
      <c r="S939" s="5" t="b">
        <v>0</v>
      </c>
      <c r="T939" s="5" t="s">
        <v>42</v>
      </c>
      <c r="U939" s="5" t="s">
        <v>2032</v>
      </c>
      <c r="V939" s="5" t="s">
        <v>2044</v>
      </c>
      <c r="W939" s="5"/>
    </row>
    <row r="940" spans="1:23" ht="17" x14ac:dyDescent="0.2">
      <c r="A940" s="5">
        <v>938</v>
      </c>
      <c r="B940" s="5" t="s">
        <v>1907</v>
      </c>
      <c r="C940" s="6" t="s">
        <v>1908</v>
      </c>
      <c r="D940" s="94">
        <v>9200</v>
      </c>
      <c r="E940" s="94">
        <v>10093</v>
      </c>
      <c r="F940" s="7">
        <f t="shared" si="59"/>
        <v>1.0970652173913042</v>
      </c>
      <c r="G940" s="5" t="s">
        <v>20</v>
      </c>
      <c r="H940" s="5">
        <v>96</v>
      </c>
      <c r="I940" s="96">
        <f t="shared" si="56"/>
        <v>105.13541666666667</v>
      </c>
      <c r="J940" s="5" t="s">
        <v>21</v>
      </c>
      <c r="K940" s="5" t="s">
        <v>22</v>
      </c>
      <c r="L940" s="5">
        <v>1528779600</v>
      </c>
      <c r="M940" s="5">
        <v>1531890000</v>
      </c>
      <c r="N940" s="8">
        <f t="shared" si="57"/>
        <v>43263.208333333328</v>
      </c>
      <c r="O940" s="8">
        <f t="shared" si="58"/>
        <v>43299.208333333328</v>
      </c>
      <c r="P940" s="21" t="str">
        <f>TEXT(CrowdfundingTable[[#This Row],[date_created]],"ddd")</f>
        <v>Tue</v>
      </c>
      <c r="Q940" s="21">
        <f>_xlfn.DAYS(CrowdfundingTable[[#This Row],[date_ended]],CrowdfundingTable[[#This Row],[date_created]])</f>
        <v>36</v>
      </c>
      <c r="R940" s="5" t="b">
        <v>0</v>
      </c>
      <c r="S940" s="5" t="b">
        <v>1</v>
      </c>
      <c r="T940" s="5" t="s">
        <v>119</v>
      </c>
      <c r="U940" s="5" t="s">
        <v>2038</v>
      </c>
      <c r="V940" s="5" t="s">
        <v>2047</v>
      </c>
      <c r="W940" s="5"/>
    </row>
    <row r="941" spans="1:23" ht="34" x14ac:dyDescent="0.2">
      <c r="A941" s="5">
        <v>939</v>
      </c>
      <c r="B941" s="5" t="s">
        <v>1909</v>
      </c>
      <c r="C941" s="6" t="s">
        <v>1910</v>
      </c>
      <c r="D941" s="94">
        <v>7800</v>
      </c>
      <c r="E941" s="94">
        <v>3839</v>
      </c>
      <c r="F941" s="7">
        <f t="shared" si="59"/>
        <v>0.49217948717948717</v>
      </c>
      <c r="G941" s="5" t="s">
        <v>14</v>
      </c>
      <c r="H941" s="5">
        <v>67</v>
      </c>
      <c r="I941" s="96">
        <f t="shared" si="56"/>
        <v>57.298507462686565</v>
      </c>
      <c r="J941" s="5" t="s">
        <v>21</v>
      </c>
      <c r="K941" s="5" t="s">
        <v>22</v>
      </c>
      <c r="L941" s="5">
        <v>1304744400</v>
      </c>
      <c r="M941" s="5">
        <v>1306213200</v>
      </c>
      <c r="N941" s="8">
        <f t="shared" si="57"/>
        <v>40670.208333333336</v>
      </c>
      <c r="O941" s="8">
        <f t="shared" si="58"/>
        <v>40687.208333333336</v>
      </c>
      <c r="P941" s="21" t="str">
        <f>TEXT(CrowdfundingTable[[#This Row],[date_created]],"ddd")</f>
        <v>Sat</v>
      </c>
      <c r="Q941" s="21">
        <f>_xlfn.DAYS(CrowdfundingTable[[#This Row],[date_ended]],CrowdfundingTable[[#This Row],[date_created]])</f>
        <v>17</v>
      </c>
      <c r="R941" s="5" t="b">
        <v>0</v>
      </c>
      <c r="S941" s="5" t="b">
        <v>1</v>
      </c>
      <c r="T941" s="5" t="s">
        <v>89</v>
      </c>
      <c r="U941" s="5" t="s">
        <v>2034</v>
      </c>
      <c r="V941" s="5" t="s">
        <v>2062</v>
      </c>
      <c r="W941" s="5"/>
    </row>
    <row r="942" spans="1:23" ht="17" x14ac:dyDescent="0.2">
      <c r="A942" s="5">
        <v>940</v>
      </c>
      <c r="B942" s="5" t="s">
        <v>1911</v>
      </c>
      <c r="C942" s="6" t="s">
        <v>1912</v>
      </c>
      <c r="D942" s="94">
        <v>9900</v>
      </c>
      <c r="E942" s="94">
        <v>6161</v>
      </c>
      <c r="F942" s="7">
        <f t="shared" si="59"/>
        <v>0.62232323232323228</v>
      </c>
      <c r="G942" s="5" t="s">
        <v>47</v>
      </c>
      <c r="H942" s="5">
        <v>66</v>
      </c>
      <c r="I942" s="96">
        <f t="shared" si="56"/>
        <v>93.348484848484844</v>
      </c>
      <c r="J942" s="5" t="s">
        <v>15</v>
      </c>
      <c r="K942" s="5" t="s">
        <v>16</v>
      </c>
      <c r="L942" s="5">
        <v>1354341600</v>
      </c>
      <c r="M942" s="5">
        <v>1356242400</v>
      </c>
      <c r="N942" s="8">
        <f t="shared" si="57"/>
        <v>41244.25</v>
      </c>
      <c r="O942" s="8">
        <f t="shared" si="58"/>
        <v>41266.25</v>
      </c>
      <c r="P942" s="21" t="str">
        <f>TEXT(CrowdfundingTable[[#This Row],[date_created]],"ddd")</f>
        <v>Sat</v>
      </c>
      <c r="Q942" s="21">
        <f>_xlfn.DAYS(CrowdfundingTable[[#This Row],[date_ended]],CrowdfundingTable[[#This Row],[date_created]])</f>
        <v>22</v>
      </c>
      <c r="R942" s="5" t="b">
        <v>0</v>
      </c>
      <c r="S942" s="5" t="b">
        <v>0</v>
      </c>
      <c r="T942" s="5" t="s">
        <v>28</v>
      </c>
      <c r="U942" s="5" t="s">
        <v>2039</v>
      </c>
      <c r="V942" s="5" t="s">
        <v>2064</v>
      </c>
      <c r="W942" s="5"/>
    </row>
    <row r="943" spans="1:23" ht="17" x14ac:dyDescent="0.2">
      <c r="A943" s="5">
        <v>941</v>
      </c>
      <c r="B943" s="5" t="s">
        <v>1913</v>
      </c>
      <c r="C943" s="6" t="s">
        <v>1914</v>
      </c>
      <c r="D943" s="94">
        <v>43000</v>
      </c>
      <c r="E943" s="94">
        <v>5615</v>
      </c>
      <c r="F943" s="7">
        <f t="shared" si="59"/>
        <v>0.1305813953488372</v>
      </c>
      <c r="G943" s="5" t="s">
        <v>14</v>
      </c>
      <c r="H943" s="5">
        <v>78</v>
      </c>
      <c r="I943" s="96">
        <f t="shared" si="56"/>
        <v>71.987179487179489</v>
      </c>
      <c r="J943" s="5" t="s">
        <v>21</v>
      </c>
      <c r="K943" s="5" t="s">
        <v>22</v>
      </c>
      <c r="L943" s="5">
        <v>1294552800</v>
      </c>
      <c r="M943" s="5">
        <v>1297576800</v>
      </c>
      <c r="N943" s="8">
        <f t="shared" si="57"/>
        <v>40552.25</v>
      </c>
      <c r="O943" s="8">
        <f t="shared" si="58"/>
        <v>40587.25</v>
      </c>
      <c r="P943" s="21" t="str">
        <f>TEXT(CrowdfundingTable[[#This Row],[date_created]],"ddd")</f>
        <v>Sun</v>
      </c>
      <c r="Q943" s="21">
        <f>_xlfn.DAYS(CrowdfundingTable[[#This Row],[date_ended]],CrowdfundingTable[[#This Row],[date_created]])</f>
        <v>35</v>
      </c>
      <c r="R943" s="5" t="b">
        <v>1</v>
      </c>
      <c r="S943" s="5" t="b">
        <v>0</v>
      </c>
      <c r="T943" s="5" t="s">
        <v>33</v>
      </c>
      <c r="U943" s="5" t="s">
        <v>2040</v>
      </c>
      <c r="V943" s="5" t="s">
        <v>2055</v>
      </c>
      <c r="W943" s="5"/>
    </row>
    <row r="944" spans="1:23" ht="17" x14ac:dyDescent="0.2">
      <c r="A944" s="5">
        <v>942</v>
      </c>
      <c r="B944" s="5" t="s">
        <v>1907</v>
      </c>
      <c r="C944" s="6" t="s">
        <v>1915</v>
      </c>
      <c r="D944" s="94">
        <v>9600</v>
      </c>
      <c r="E944" s="94">
        <v>6205</v>
      </c>
      <c r="F944" s="7">
        <f t="shared" si="59"/>
        <v>0.64635416666666667</v>
      </c>
      <c r="G944" s="5" t="s">
        <v>14</v>
      </c>
      <c r="H944" s="5">
        <v>67</v>
      </c>
      <c r="I944" s="96">
        <f t="shared" si="56"/>
        <v>92.611940298507463</v>
      </c>
      <c r="J944" s="5" t="s">
        <v>26</v>
      </c>
      <c r="K944" s="5" t="s">
        <v>27</v>
      </c>
      <c r="L944" s="5">
        <v>1295935200</v>
      </c>
      <c r="M944" s="5">
        <v>1296194400</v>
      </c>
      <c r="N944" s="8">
        <f t="shared" si="57"/>
        <v>40568.25</v>
      </c>
      <c r="O944" s="8">
        <f t="shared" si="58"/>
        <v>40571.25</v>
      </c>
      <c r="P944" s="21" t="str">
        <f>TEXT(CrowdfundingTable[[#This Row],[date_created]],"ddd")</f>
        <v>Tue</v>
      </c>
      <c r="Q944" s="21">
        <f>_xlfn.DAYS(CrowdfundingTable[[#This Row],[date_ended]],CrowdfundingTable[[#This Row],[date_created]])</f>
        <v>3</v>
      </c>
      <c r="R944" s="5" t="b">
        <v>0</v>
      </c>
      <c r="S944" s="5" t="b">
        <v>0</v>
      </c>
      <c r="T944" s="5" t="s">
        <v>33</v>
      </c>
      <c r="U944" s="5" t="s">
        <v>2040</v>
      </c>
      <c r="V944" s="5" t="s">
        <v>2055</v>
      </c>
      <c r="W944" s="5"/>
    </row>
    <row r="945" spans="1:23" ht="17" x14ac:dyDescent="0.2">
      <c r="A945" s="5">
        <v>943</v>
      </c>
      <c r="B945" s="5" t="s">
        <v>1916</v>
      </c>
      <c r="C945" s="6" t="s">
        <v>1917</v>
      </c>
      <c r="D945" s="94">
        <v>7500</v>
      </c>
      <c r="E945" s="94">
        <v>11969</v>
      </c>
      <c r="F945" s="7">
        <f t="shared" si="59"/>
        <v>1.5958666666666668</v>
      </c>
      <c r="G945" s="5" t="s">
        <v>20</v>
      </c>
      <c r="H945" s="5">
        <v>114</v>
      </c>
      <c r="I945" s="96">
        <f t="shared" si="56"/>
        <v>104.99122807017544</v>
      </c>
      <c r="J945" s="5" t="s">
        <v>21</v>
      </c>
      <c r="K945" s="5" t="s">
        <v>22</v>
      </c>
      <c r="L945" s="5">
        <v>1411534800</v>
      </c>
      <c r="M945" s="5">
        <v>1414558800</v>
      </c>
      <c r="N945" s="8">
        <f t="shared" si="57"/>
        <v>41906.208333333336</v>
      </c>
      <c r="O945" s="8">
        <f t="shared" si="58"/>
        <v>41941.208333333336</v>
      </c>
      <c r="P945" s="21" t="str">
        <f>TEXT(CrowdfundingTable[[#This Row],[date_created]],"ddd")</f>
        <v>Wed</v>
      </c>
      <c r="Q945" s="21">
        <f>_xlfn.DAYS(CrowdfundingTable[[#This Row],[date_ended]],CrowdfundingTable[[#This Row],[date_created]])</f>
        <v>35</v>
      </c>
      <c r="R945" s="5" t="b">
        <v>0</v>
      </c>
      <c r="S945" s="5" t="b">
        <v>0</v>
      </c>
      <c r="T945" s="5" t="s">
        <v>17</v>
      </c>
      <c r="U945" s="5" t="s">
        <v>2033</v>
      </c>
      <c r="V945" s="5" t="s">
        <v>2048</v>
      </c>
      <c r="W945" s="5"/>
    </row>
    <row r="946" spans="1:23" ht="17" x14ac:dyDescent="0.2">
      <c r="A946" s="5">
        <v>944</v>
      </c>
      <c r="B946" s="5" t="s">
        <v>1918</v>
      </c>
      <c r="C946" s="6" t="s">
        <v>1919</v>
      </c>
      <c r="D946" s="94">
        <v>10000</v>
      </c>
      <c r="E946" s="94">
        <v>8142</v>
      </c>
      <c r="F946" s="7">
        <f t="shared" si="59"/>
        <v>0.81420000000000003</v>
      </c>
      <c r="G946" s="5" t="s">
        <v>14</v>
      </c>
      <c r="H946" s="5">
        <v>263</v>
      </c>
      <c r="I946" s="96">
        <f t="shared" si="56"/>
        <v>30.958174904942965</v>
      </c>
      <c r="J946" s="5" t="s">
        <v>26</v>
      </c>
      <c r="K946" s="5" t="s">
        <v>27</v>
      </c>
      <c r="L946" s="5">
        <v>1486706400</v>
      </c>
      <c r="M946" s="5">
        <v>1488348000</v>
      </c>
      <c r="N946" s="8">
        <f t="shared" si="57"/>
        <v>42776.25</v>
      </c>
      <c r="O946" s="8">
        <f t="shared" si="58"/>
        <v>42795.25</v>
      </c>
      <c r="P946" s="21" t="str">
        <f>TEXT(CrowdfundingTable[[#This Row],[date_created]],"ddd")</f>
        <v>Fri</v>
      </c>
      <c r="Q946" s="21">
        <f>_xlfn.DAYS(CrowdfundingTable[[#This Row],[date_ended]],CrowdfundingTable[[#This Row],[date_created]])</f>
        <v>19</v>
      </c>
      <c r="R946" s="5" t="b">
        <v>0</v>
      </c>
      <c r="S946" s="5" t="b">
        <v>0</v>
      </c>
      <c r="T946" s="5" t="s">
        <v>122</v>
      </c>
      <c r="U946" s="5" t="s">
        <v>2037</v>
      </c>
      <c r="V946" s="5" t="s">
        <v>2054</v>
      </c>
      <c r="W946" s="5"/>
    </row>
    <row r="947" spans="1:23" ht="17" x14ac:dyDescent="0.2">
      <c r="A947" s="5">
        <v>945</v>
      </c>
      <c r="B947" s="5" t="s">
        <v>1920</v>
      </c>
      <c r="C947" s="6" t="s">
        <v>1921</v>
      </c>
      <c r="D947" s="94">
        <v>172000</v>
      </c>
      <c r="E947" s="94">
        <v>55805</v>
      </c>
      <c r="F947" s="7">
        <f t="shared" si="59"/>
        <v>0.32444767441860467</v>
      </c>
      <c r="G947" s="5" t="s">
        <v>14</v>
      </c>
      <c r="H947" s="5">
        <v>1691</v>
      </c>
      <c r="I947" s="96">
        <f t="shared" si="56"/>
        <v>33.001182732111175</v>
      </c>
      <c r="J947" s="5" t="s">
        <v>21</v>
      </c>
      <c r="K947" s="5" t="s">
        <v>22</v>
      </c>
      <c r="L947" s="5">
        <v>1333602000</v>
      </c>
      <c r="M947" s="5">
        <v>1334898000</v>
      </c>
      <c r="N947" s="8">
        <f t="shared" si="57"/>
        <v>41004.208333333336</v>
      </c>
      <c r="O947" s="8">
        <f t="shared" si="58"/>
        <v>41019.208333333336</v>
      </c>
      <c r="P947" s="21" t="str">
        <f>TEXT(CrowdfundingTable[[#This Row],[date_created]],"ddd")</f>
        <v>Thu</v>
      </c>
      <c r="Q947" s="21">
        <f>_xlfn.DAYS(CrowdfundingTable[[#This Row],[date_ended]],CrowdfundingTable[[#This Row],[date_created]])</f>
        <v>15</v>
      </c>
      <c r="R947" s="5" t="b">
        <v>1</v>
      </c>
      <c r="S947" s="5" t="b">
        <v>0</v>
      </c>
      <c r="T947" s="5" t="s">
        <v>122</v>
      </c>
      <c r="U947" s="5" t="s">
        <v>2037</v>
      </c>
      <c r="V947" s="5" t="s">
        <v>2054</v>
      </c>
      <c r="W947" s="5"/>
    </row>
    <row r="948" spans="1:23" ht="34" x14ac:dyDescent="0.2">
      <c r="A948" s="5">
        <v>946</v>
      </c>
      <c r="B948" s="5" t="s">
        <v>1922</v>
      </c>
      <c r="C948" s="6" t="s">
        <v>1923</v>
      </c>
      <c r="D948" s="94">
        <v>153700</v>
      </c>
      <c r="E948" s="94">
        <v>15238</v>
      </c>
      <c r="F948" s="7">
        <f t="shared" si="59"/>
        <v>9.9141184124918666E-2</v>
      </c>
      <c r="G948" s="5" t="s">
        <v>14</v>
      </c>
      <c r="H948" s="5">
        <v>181</v>
      </c>
      <c r="I948" s="96">
        <f t="shared" si="56"/>
        <v>84.187845303867405</v>
      </c>
      <c r="J948" s="5" t="s">
        <v>21</v>
      </c>
      <c r="K948" s="5" t="s">
        <v>22</v>
      </c>
      <c r="L948" s="5">
        <v>1308200400</v>
      </c>
      <c r="M948" s="5">
        <v>1308373200</v>
      </c>
      <c r="N948" s="8">
        <f t="shared" si="57"/>
        <v>40710.208333333336</v>
      </c>
      <c r="O948" s="8">
        <f t="shared" si="58"/>
        <v>40712.208333333336</v>
      </c>
      <c r="P948" s="21" t="str">
        <f>TEXT(CrowdfundingTable[[#This Row],[date_created]],"ddd")</f>
        <v>Thu</v>
      </c>
      <c r="Q948" s="21">
        <f>_xlfn.DAYS(CrowdfundingTable[[#This Row],[date_ended]],CrowdfundingTable[[#This Row],[date_created]])</f>
        <v>2</v>
      </c>
      <c r="R948" s="5" t="b">
        <v>0</v>
      </c>
      <c r="S948" s="5" t="b">
        <v>0</v>
      </c>
      <c r="T948" s="5" t="s">
        <v>33</v>
      </c>
      <c r="U948" s="5" t="s">
        <v>2040</v>
      </c>
      <c r="V948" s="5" t="s">
        <v>2055</v>
      </c>
      <c r="W948" s="5"/>
    </row>
    <row r="949" spans="1:23" ht="17" x14ac:dyDescent="0.2">
      <c r="A949" s="5">
        <v>947</v>
      </c>
      <c r="B949" s="5" t="s">
        <v>1924</v>
      </c>
      <c r="C949" s="6" t="s">
        <v>1925</v>
      </c>
      <c r="D949" s="94">
        <v>3600</v>
      </c>
      <c r="E949" s="94">
        <v>961</v>
      </c>
      <c r="F949" s="7">
        <f t="shared" si="59"/>
        <v>0.26694444444444443</v>
      </c>
      <c r="G949" s="5" t="s">
        <v>14</v>
      </c>
      <c r="H949" s="5">
        <v>13</v>
      </c>
      <c r="I949" s="96">
        <f t="shared" si="56"/>
        <v>73.92307692307692</v>
      </c>
      <c r="J949" s="5" t="s">
        <v>21</v>
      </c>
      <c r="K949" s="5" t="s">
        <v>22</v>
      </c>
      <c r="L949" s="5">
        <v>1411707600</v>
      </c>
      <c r="M949" s="5">
        <v>1412312400</v>
      </c>
      <c r="N949" s="8">
        <f t="shared" si="57"/>
        <v>41908.208333333336</v>
      </c>
      <c r="O949" s="8">
        <f t="shared" si="58"/>
        <v>41915.208333333336</v>
      </c>
      <c r="P949" s="21" t="str">
        <f>TEXT(CrowdfundingTable[[#This Row],[date_created]],"ddd")</f>
        <v>Fri</v>
      </c>
      <c r="Q949" s="21">
        <f>_xlfn.DAYS(CrowdfundingTable[[#This Row],[date_ended]],CrowdfundingTable[[#This Row],[date_created]])</f>
        <v>7</v>
      </c>
      <c r="R949" s="5" t="b">
        <v>0</v>
      </c>
      <c r="S949" s="5" t="b">
        <v>0</v>
      </c>
      <c r="T949" s="5" t="s">
        <v>33</v>
      </c>
      <c r="U949" s="5" t="s">
        <v>2040</v>
      </c>
      <c r="V949" s="5" t="s">
        <v>2055</v>
      </c>
      <c r="W949" s="5"/>
    </row>
    <row r="950" spans="1:23" ht="17" x14ac:dyDescent="0.2">
      <c r="A950" s="5">
        <v>948</v>
      </c>
      <c r="B950" s="5" t="s">
        <v>1926</v>
      </c>
      <c r="C950" s="6" t="s">
        <v>1927</v>
      </c>
      <c r="D950" s="94">
        <v>9400</v>
      </c>
      <c r="E950" s="94">
        <v>5918</v>
      </c>
      <c r="F950" s="7">
        <f t="shared" si="59"/>
        <v>0.62957446808510642</v>
      </c>
      <c r="G950" s="5" t="s">
        <v>74</v>
      </c>
      <c r="H950" s="5">
        <v>160</v>
      </c>
      <c r="I950" s="96">
        <f t="shared" si="56"/>
        <v>36.987499999999997</v>
      </c>
      <c r="J950" s="5" t="s">
        <v>21</v>
      </c>
      <c r="K950" s="5" t="s">
        <v>22</v>
      </c>
      <c r="L950" s="5">
        <v>1418364000</v>
      </c>
      <c r="M950" s="5">
        <v>1419228000</v>
      </c>
      <c r="N950" s="8">
        <f t="shared" si="57"/>
        <v>41985.25</v>
      </c>
      <c r="O950" s="8">
        <f t="shared" si="58"/>
        <v>41995.25</v>
      </c>
      <c r="P950" s="21" t="str">
        <f>TEXT(CrowdfundingTable[[#This Row],[date_created]],"ddd")</f>
        <v>Fri</v>
      </c>
      <c r="Q950" s="21">
        <f>_xlfn.DAYS(CrowdfundingTable[[#This Row],[date_ended]],CrowdfundingTable[[#This Row],[date_created]])</f>
        <v>10</v>
      </c>
      <c r="R950" s="5" t="b">
        <v>1</v>
      </c>
      <c r="S950" s="5" t="b">
        <v>1</v>
      </c>
      <c r="T950" s="5" t="s">
        <v>42</v>
      </c>
      <c r="U950" s="5" t="s">
        <v>2032</v>
      </c>
      <c r="V950" s="5" t="s">
        <v>2044</v>
      </c>
      <c r="W950" s="5"/>
    </row>
    <row r="951" spans="1:23" ht="17" x14ac:dyDescent="0.2">
      <c r="A951" s="5">
        <v>949</v>
      </c>
      <c r="B951" s="5" t="s">
        <v>1928</v>
      </c>
      <c r="C951" s="6" t="s">
        <v>1929</v>
      </c>
      <c r="D951" s="94">
        <v>5900</v>
      </c>
      <c r="E951" s="94">
        <v>9520</v>
      </c>
      <c r="F951" s="7">
        <f t="shared" si="59"/>
        <v>1.6135593220338984</v>
      </c>
      <c r="G951" s="5" t="s">
        <v>20</v>
      </c>
      <c r="H951" s="5">
        <v>203</v>
      </c>
      <c r="I951" s="96">
        <f t="shared" si="56"/>
        <v>46.896551724137929</v>
      </c>
      <c r="J951" s="5" t="s">
        <v>21</v>
      </c>
      <c r="K951" s="5" t="s">
        <v>22</v>
      </c>
      <c r="L951" s="5">
        <v>1429333200</v>
      </c>
      <c r="M951" s="5">
        <v>1430974800</v>
      </c>
      <c r="N951" s="8">
        <f t="shared" si="57"/>
        <v>42112.208333333328</v>
      </c>
      <c r="O951" s="8">
        <f t="shared" si="58"/>
        <v>42131.208333333328</v>
      </c>
      <c r="P951" s="21" t="str">
        <f>TEXT(CrowdfundingTable[[#This Row],[date_created]],"ddd")</f>
        <v>Sat</v>
      </c>
      <c r="Q951" s="21">
        <f>_xlfn.DAYS(CrowdfundingTable[[#This Row],[date_ended]],CrowdfundingTable[[#This Row],[date_created]])</f>
        <v>19</v>
      </c>
      <c r="R951" s="5" t="b">
        <v>0</v>
      </c>
      <c r="S951" s="5" t="b">
        <v>0</v>
      </c>
      <c r="T951" s="5" t="s">
        <v>28</v>
      </c>
      <c r="U951" s="5" t="s">
        <v>2039</v>
      </c>
      <c r="V951" s="5" t="s">
        <v>2064</v>
      </c>
      <c r="W951" s="5"/>
    </row>
    <row r="952" spans="1:23" ht="17" x14ac:dyDescent="0.2">
      <c r="A952" s="5">
        <v>950</v>
      </c>
      <c r="B952" s="5" t="s">
        <v>1930</v>
      </c>
      <c r="C952" s="6" t="s">
        <v>1931</v>
      </c>
      <c r="D952" s="94">
        <v>100</v>
      </c>
      <c r="E952" s="94">
        <v>5</v>
      </c>
      <c r="F952" s="7">
        <f t="shared" si="59"/>
        <v>0.05</v>
      </c>
      <c r="G952" s="5" t="s">
        <v>14</v>
      </c>
      <c r="H952" s="5">
        <v>1</v>
      </c>
      <c r="I952" s="96">
        <f t="shared" si="56"/>
        <v>5</v>
      </c>
      <c r="J952" s="5" t="s">
        <v>21</v>
      </c>
      <c r="K952" s="5" t="s">
        <v>22</v>
      </c>
      <c r="L952" s="5">
        <v>1555390800</v>
      </c>
      <c r="M952" s="5">
        <v>1555822800</v>
      </c>
      <c r="N952" s="8">
        <f t="shared" si="57"/>
        <v>43571.208333333328</v>
      </c>
      <c r="O952" s="8">
        <f t="shared" si="58"/>
        <v>43576.208333333328</v>
      </c>
      <c r="P952" s="21" t="str">
        <f>TEXT(CrowdfundingTable[[#This Row],[date_created]],"ddd")</f>
        <v>Tue</v>
      </c>
      <c r="Q952" s="21">
        <f>_xlfn.DAYS(CrowdfundingTable[[#This Row],[date_ended]],CrowdfundingTable[[#This Row],[date_created]])</f>
        <v>5</v>
      </c>
      <c r="R952" s="5" t="b">
        <v>0</v>
      </c>
      <c r="S952" s="5" t="b">
        <v>1</v>
      </c>
      <c r="T952" s="5" t="s">
        <v>33</v>
      </c>
      <c r="U952" s="5" t="s">
        <v>2040</v>
      </c>
      <c r="V952" s="5" t="s">
        <v>2055</v>
      </c>
      <c r="W952" s="5"/>
    </row>
    <row r="953" spans="1:23" ht="17" x14ac:dyDescent="0.2">
      <c r="A953" s="5">
        <v>951</v>
      </c>
      <c r="B953" s="5" t="s">
        <v>1932</v>
      </c>
      <c r="C953" s="6" t="s">
        <v>1933</v>
      </c>
      <c r="D953" s="94">
        <v>14500</v>
      </c>
      <c r="E953" s="94">
        <v>159056</v>
      </c>
      <c r="F953" s="7">
        <f t="shared" si="59"/>
        <v>10.969379310344827</v>
      </c>
      <c r="G953" s="5" t="s">
        <v>20</v>
      </c>
      <c r="H953" s="5">
        <v>1559</v>
      </c>
      <c r="I953" s="96">
        <f t="shared" si="56"/>
        <v>102.02437459910199</v>
      </c>
      <c r="J953" s="5" t="s">
        <v>21</v>
      </c>
      <c r="K953" s="5" t="s">
        <v>22</v>
      </c>
      <c r="L953" s="5">
        <v>1482732000</v>
      </c>
      <c r="M953" s="5">
        <v>1482818400</v>
      </c>
      <c r="N953" s="8">
        <f t="shared" si="57"/>
        <v>42730.25</v>
      </c>
      <c r="O953" s="8">
        <f t="shared" si="58"/>
        <v>42731.25</v>
      </c>
      <c r="P953" s="21" t="str">
        <f>TEXT(CrowdfundingTable[[#This Row],[date_created]],"ddd")</f>
        <v>Mon</v>
      </c>
      <c r="Q953" s="21">
        <f>_xlfn.DAYS(CrowdfundingTable[[#This Row],[date_ended]],CrowdfundingTable[[#This Row],[date_created]])</f>
        <v>1</v>
      </c>
      <c r="R953" s="5" t="b">
        <v>0</v>
      </c>
      <c r="S953" s="5" t="b">
        <v>1</v>
      </c>
      <c r="T953" s="5" t="s">
        <v>23</v>
      </c>
      <c r="U953" s="5" t="s">
        <v>2036</v>
      </c>
      <c r="V953" s="5" t="s">
        <v>2057</v>
      </c>
      <c r="W953" s="5"/>
    </row>
    <row r="954" spans="1:23" ht="17" x14ac:dyDescent="0.2">
      <c r="A954" s="5">
        <v>952</v>
      </c>
      <c r="B954" s="5" t="s">
        <v>1934</v>
      </c>
      <c r="C954" s="6" t="s">
        <v>1935</v>
      </c>
      <c r="D954" s="94">
        <v>145500</v>
      </c>
      <c r="E954" s="94">
        <v>101987</v>
      </c>
      <c r="F954" s="7">
        <f t="shared" si="59"/>
        <v>0.70094158075601376</v>
      </c>
      <c r="G954" s="5" t="s">
        <v>74</v>
      </c>
      <c r="H954" s="5">
        <v>2266</v>
      </c>
      <c r="I954" s="96">
        <f t="shared" si="56"/>
        <v>45.007502206531335</v>
      </c>
      <c r="J954" s="5" t="s">
        <v>21</v>
      </c>
      <c r="K954" s="5" t="s">
        <v>22</v>
      </c>
      <c r="L954" s="5">
        <v>1470718800</v>
      </c>
      <c r="M954" s="5">
        <v>1471928400</v>
      </c>
      <c r="N954" s="8">
        <f t="shared" si="57"/>
        <v>42591.208333333328</v>
      </c>
      <c r="O954" s="8">
        <f t="shared" si="58"/>
        <v>42605.208333333328</v>
      </c>
      <c r="P954" s="21" t="str">
        <f>TEXT(CrowdfundingTable[[#This Row],[date_created]],"ddd")</f>
        <v>Tue</v>
      </c>
      <c r="Q954" s="21">
        <f>_xlfn.DAYS(CrowdfundingTable[[#This Row],[date_ended]],CrowdfundingTable[[#This Row],[date_created]])</f>
        <v>14</v>
      </c>
      <c r="R954" s="5" t="b">
        <v>0</v>
      </c>
      <c r="S954" s="5" t="b">
        <v>0</v>
      </c>
      <c r="T954" s="5" t="s">
        <v>42</v>
      </c>
      <c r="U954" s="5" t="s">
        <v>2032</v>
      </c>
      <c r="V954" s="5" t="s">
        <v>2044</v>
      </c>
      <c r="W954" s="5"/>
    </row>
    <row r="955" spans="1:23" ht="34" x14ac:dyDescent="0.2">
      <c r="A955" s="5">
        <v>953</v>
      </c>
      <c r="B955" s="5" t="s">
        <v>1936</v>
      </c>
      <c r="C955" s="6" t="s">
        <v>1937</v>
      </c>
      <c r="D955" s="94">
        <v>3300</v>
      </c>
      <c r="E955" s="94">
        <v>1980</v>
      </c>
      <c r="F955" s="7">
        <f t="shared" si="59"/>
        <v>0.6</v>
      </c>
      <c r="G955" s="5" t="s">
        <v>14</v>
      </c>
      <c r="H955" s="5">
        <v>21</v>
      </c>
      <c r="I955" s="96">
        <f t="shared" si="56"/>
        <v>94.285714285714292</v>
      </c>
      <c r="J955" s="5" t="s">
        <v>21</v>
      </c>
      <c r="K955" s="5" t="s">
        <v>22</v>
      </c>
      <c r="L955" s="5">
        <v>1450591200</v>
      </c>
      <c r="M955" s="5">
        <v>1453701600</v>
      </c>
      <c r="N955" s="8">
        <f t="shared" si="57"/>
        <v>42358.25</v>
      </c>
      <c r="O955" s="8">
        <f t="shared" si="58"/>
        <v>42394.25</v>
      </c>
      <c r="P955" s="21" t="str">
        <f>TEXT(CrowdfundingTable[[#This Row],[date_created]],"ddd")</f>
        <v>Sun</v>
      </c>
      <c r="Q955" s="21">
        <f>_xlfn.DAYS(CrowdfundingTable[[#This Row],[date_ended]],CrowdfundingTable[[#This Row],[date_created]])</f>
        <v>36</v>
      </c>
      <c r="R955" s="5" t="b">
        <v>0</v>
      </c>
      <c r="S955" s="5" t="b">
        <v>1</v>
      </c>
      <c r="T955" s="5" t="s">
        <v>474</v>
      </c>
      <c r="U955" s="5" t="s">
        <v>2032</v>
      </c>
      <c r="V955" s="5" t="s">
        <v>2058</v>
      </c>
      <c r="W955" s="5"/>
    </row>
    <row r="956" spans="1:23" ht="17" x14ac:dyDescent="0.2">
      <c r="A956" s="5">
        <v>954</v>
      </c>
      <c r="B956" s="5" t="s">
        <v>1938</v>
      </c>
      <c r="C956" s="6" t="s">
        <v>1939</v>
      </c>
      <c r="D956" s="94">
        <v>42600</v>
      </c>
      <c r="E956" s="94">
        <v>156384</v>
      </c>
      <c r="F956" s="7">
        <f t="shared" si="59"/>
        <v>3.6709859154929578</v>
      </c>
      <c r="G956" s="5" t="s">
        <v>20</v>
      </c>
      <c r="H956" s="5">
        <v>1548</v>
      </c>
      <c r="I956" s="96">
        <f t="shared" si="56"/>
        <v>101.02325581395348</v>
      </c>
      <c r="J956" s="5" t="s">
        <v>26</v>
      </c>
      <c r="K956" s="5" t="s">
        <v>27</v>
      </c>
      <c r="L956" s="5">
        <v>1348290000</v>
      </c>
      <c r="M956" s="5">
        <v>1350363600</v>
      </c>
      <c r="N956" s="8">
        <f t="shared" si="57"/>
        <v>41174.208333333336</v>
      </c>
      <c r="O956" s="8">
        <f t="shared" si="58"/>
        <v>41198.208333333336</v>
      </c>
      <c r="P956" s="21" t="str">
        <f>TEXT(CrowdfundingTable[[#This Row],[date_created]],"ddd")</f>
        <v>Sat</v>
      </c>
      <c r="Q956" s="21">
        <f>_xlfn.DAYS(CrowdfundingTable[[#This Row],[date_ended]],CrowdfundingTable[[#This Row],[date_created]])</f>
        <v>24</v>
      </c>
      <c r="R956" s="5" t="b">
        <v>0</v>
      </c>
      <c r="S956" s="5" t="b">
        <v>0</v>
      </c>
      <c r="T956" s="5" t="s">
        <v>28</v>
      </c>
      <c r="U956" s="5" t="s">
        <v>2039</v>
      </c>
      <c r="V956" s="5" t="s">
        <v>2064</v>
      </c>
      <c r="W956" s="5"/>
    </row>
    <row r="957" spans="1:23" ht="34" x14ac:dyDescent="0.2">
      <c r="A957" s="5">
        <v>955</v>
      </c>
      <c r="B957" s="5" t="s">
        <v>1940</v>
      </c>
      <c r="C957" s="6" t="s">
        <v>1941</v>
      </c>
      <c r="D957" s="94">
        <v>700</v>
      </c>
      <c r="E957" s="94">
        <v>7763</v>
      </c>
      <c r="F957" s="7">
        <f t="shared" si="59"/>
        <v>11.09</v>
      </c>
      <c r="G957" s="5" t="s">
        <v>20</v>
      </c>
      <c r="H957" s="5">
        <v>80</v>
      </c>
      <c r="I957" s="96">
        <f t="shared" si="56"/>
        <v>97.037499999999994</v>
      </c>
      <c r="J957" s="5" t="s">
        <v>21</v>
      </c>
      <c r="K957" s="5" t="s">
        <v>22</v>
      </c>
      <c r="L957" s="5">
        <v>1353823200</v>
      </c>
      <c r="M957" s="5">
        <v>1353996000</v>
      </c>
      <c r="N957" s="8">
        <f t="shared" si="57"/>
        <v>41238.25</v>
      </c>
      <c r="O957" s="8">
        <f t="shared" si="58"/>
        <v>41240.25</v>
      </c>
      <c r="P957" s="21" t="str">
        <f>TEXT(CrowdfundingTable[[#This Row],[date_created]],"ddd")</f>
        <v>Sun</v>
      </c>
      <c r="Q957" s="21">
        <f>_xlfn.DAYS(CrowdfundingTable[[#This Row],[date_ended]],CrowdfundingTable[[#This Row],[date_created]])</f>
        <v>2</v>
      </c>
      <c r="R957" s="5" t="b">
        <v>0</v>
      </c>
      <c r="S957" s="5" t="b">
        <v>0</v>
      </c>
      <c r="T957" s="5" t="s">
        <v>33</v>
      </c>
      <c r="U957" s="5" t="s">
        <v>2040</v>
      </c>
      <c r="V957" s="5" t="s">
        <v>2055</v>
      </c>
      <c r="W957" s="5"/>
    </row>
    <row r="958" spans="1:23" ht="17" x14ac:dyDescent="0.2">
      <c r="A958" s="5">
        <v>956</v>
      </c>
      <c r="B958" s="5" t="s">
        <v>1942</v>
      </c>
      <c r="C958" s="6" t="s">
        <v>1943</v>
      </c>
      <c r="D958" s="94">
        <v>187600</v>
      </c>
      <c r="E958" s="94">
        <v>35698</v>
      </c>
      <c r="F958" s="7">
        <f t="shared" si="59"/>
        <v>0.19028784648187633</v>
      </c>
      <c r="G958" s="5" t="s">
        <v>14</v>
      </c>
      <c r="H958" s="5">
        <v>830</v>
      </c>
      <c r="I958" s="96">
        <f t="shared" si="56"/>
        <v>43.00963855421687</v>
      </c>
      <c r="J958" s="5" t="s">
        <v>21</v>
      </c>
      <c r="K958" s="5" t="s">
        <v>22</v>
      </c>
      <c r="L958" s="5">
        <v>1450764000</v>
      </c>
      <c r="M958" s="5">
        <v>1451109600</v>
      </c>
      <c r="N958" s="8">
        <f t="shared" si="57"/>
        <v>42360.25</v>
      </c>
      <c r="O958" s="8">
        <f t="shared" si="58"/>
        <v>42364.25</v>
      </c>
      <c r="P958" s="21" t="str">
        <f>TEXT(CrowdfundingTable[[#This Row],[date_created]],"ddd")</f>
        <v>Tue</v>
      </c>
      <c r="Q958" s="21">
        <f>_xlfn.DAYS(CrowdfundingTable[[#This Row],[date_ended]],CrowdfundingTable[[#This Row],[date_created]])</f>
        <v>4</v>
      </c>
      <c r="R958" s="5" t="b">
        <v>0</v>
      </c>
      <c r="S958" s="5" t="b">
        <v>0</v>
      </c>
      <c r="T958" s="5" t="s">
        <v>474</v>
      </c>
      <c r="U958" s="5" t="s">
        <v>2032</v>
      </c>
      <c r="V958" s="5" t="s">
        <v>2058</v>
      </c>
      <c r="W958" s="5"/>
    </row>
    <row r="959" spans="1:23" ht="17" x14ac:dyDescent="0.2">
      <c r="A959" s="5">
        <v>957</v>
      </c>
      <c r="B959" s="5" t="s">
        <v>1944</v>
      </c>
      <c r="C959" s="6" t="s">
        <v>1945</v>
      </c>
      <c r="D959" s="94">
        <v>9800</v>
      </c>
      <c r="E959" s="94">
        <v>12434</v>
      </c>
      <c r="F959" s="7">
        <f t="shared" si="59"/>
        <v>1.2687755102040816</v>
      </c>
      <c r="G959" s="5" t="s">
        <v>20</v>
      </c>
      <c r="H959" s="5">
        <v>131</v>
      </c>
      <c r="I959" s="96">
        <f t="shared" si="56"/>
        <v>94.916030534351151</v>
      </c>
      <c r="J959" s="5" t="s">
        <v>21</v>
      </c>
      <c r="K959" s="5" t="s">
        <v>22</v>
      </c>
      <c r="L959" s="5">
        <v>1329372000</v>
      </c>
      <c r="M959" s="5">
        <v>1329631200</v>
      </c>
      <c r="N959" s="8">
        <f t="shared" si="57"/>
        <v>40955.25</v>
      </c>
      <c r="O959" s="8">
        <f t="shared" si="58"/>
        <v>40958.25</v>
      </c>
      <c r="P959" s="21" t="str">
        <f>TEXT(CrowdfundingTable[[#This Row],[date_created]],"ddd")</f>
        <v>Thu</v>
      </c>
      <c r="Q959" s="21">
        <f>_xlfn.DAYS(CrowdfundingTable[[#This Row],[date_ended]],CrowdfundingTable[[#This Row],[date_created]])</f>
        <v>3</v>
      </c>
      <c r="R959" s="5" t="b">
        <v>0</v>
      </c>
      <c r="S959" s="5" t="b">
        <v>0</v>
      </c>
      <c r="T959" s="5" t="s">
        <v>33</v>
      </c>
      <c r="U959" s="5" t="s">
        <v>2040</v>
      </c>
      <c r="V959" s="5" t="s">
        <v>2055</v>
      </c>
      <c r="W959" s="5"/>
    </row>
    <row r="960" spans="1:23" ht="17" x14ac:dyDescent="0.2">
      <c r="A960" s="5">
        <v>958</v>
      </c>
      <c r="B960" s="5" t="s">
        <v>1946</v>
      </c>
      <c r="C960" s="6" t="s">
        <v>1947</v>
      </c>
      <c r="D960" s="94">
        <v>1100</v>
      </c>
      <c r="E960" s="94">
        <v>8081</v>
      </c>
      <c r="F960" s="7">
        <f t="shared" si="59"/>
        <v>7.3463636363636367</v>
      </c>
      <c r="G960" s="5" t="s">
        <v>20</v>
      </c>
      <c r="H960" s="5">
        <v>112</v>
      </c>
      <c r="I960" s="96">
        <f t="shared" si="56"/>
        <v>72.151785714285708</v>
      </c>
      <c r="J960" s="5" t="s">
        <v>21</v>
      </c>
      <c r="K960" s="5" t="s">
        <v>22</v>
      </c>
      <c r="L960" s="5">
        <v>1277096400</v>
      </c>
      <c r="M960" s="5">
        <v>1278997200</v>
      </c>
      <c r="N960" s="8">
        <f t="shared" si="57"/>
        <v>40350.208333333336</v>
      </c>
      <c r="O960" s="8">
        <f t="shared" si="58"/>
        <v>40372.208333333336</v>
      </c>
      <c r="P960" s="21" t="str">
        <f>TEXT(CrowdfundingTable[[#This Row],[date_created]],"ddd")</f>
        <v>Mon</v>
      </c>
      <c r="Q960" s="21">
        <f>_xlfn.DAYS(CrowdfundingTable[[#This Row],[date_ended]],CrowdfundingTable[[#This Row],[date_created]])</f>
        <v>22</v>
      </c>
      <c r="R960" s="5" t="b">
        <v>0</v>
      </c>
      <c r="S960" s="5" t="b">
        <v>0</v>
      </c>
      <c r="T960" s="5" t="s">
        <v>71</v>
      </c>
      <c r="U960" s="5" t="s">
        <v>2032</v>
      </c>
      <c r="V960" s="5" t="s">
        <v>2042</v>
      </c>
      <c r="W960" s="5"/>
    </row>
    <row r="961" spans="1:23" ht="17" x14ac:dyDescent="0.2">
      <c r="A961" s="5">
        <v>959</v>
      </c>
      <c r="B961" s="5" t="s">
        <v>1948</v>
      </c>
      <c r="C961" s="6" t="s">
        <v>1949</v>
      </c>
      <c r="D961" s="94">
        <v>145000</v>
      </c>
      <c r="E961" s="94">
        <v>6631</v>
      </c>
      <c r="F961" s="7">
        <f t="shared" si="59"/>
        <v>4.5731034482758622E-2</v>
      </c>
      <c r="G961" s="5" t="s">
        <v>14</v>
      </c>
      <c r="H961" s="5">
        <v>130</v>
      </c>
      <c r="I961" s="96">
        <f t="shared" si="56"/>
        <v>51.007692307692309</v>
      </c>
      <c r="J961" s="5" t="s">
        <v>21</v>
      </c>
      <c r="K961" s="5" t="s">
        <v>22</v>
      </c>
      <c r="L961" s="5">
        <v>1277701200</v>
      </c>
      <c r="M961" s="5">
        <v>1280120400</v>
      </c>
      <c r="N961" s="8">
        <f t="shared" si="57"/>
        <v>40357.208333333336</v>
      </c>
      <c r="O961" s="8">
        <f t="shared" si="58"/>
        <v>40385.208333333336</v>
      </c>
      <c r="P961" s="21" t="str">
        <f>TEXT(CrowdfundingTable[[#This Row],[date_created]],"ddd")</f>
        <v>Mon</v>
      </c>
      <c r="Q961" s="21">
        <f>_xlfn.DAYS(CrowdfundingTable[[#This Row],[date_ended]],CrowdfundingTable[[#This Row],[date_created]])</f>
        <v>28</v>
      </c>
      <c r="R961" s="5" t="b">
        <v>0</v>
      </c>
      <c r="S961" s="5" t="b">
        <v>0</v>
      </c>
      <c r="T961" s="5" t="s">
        <v>206</v>
      </c>
      <c r="U961" s="5" t="s">
        <v>2038</v>
      </c>
      <c r="V961" s="5" t="s">
        <v>2061</v>
      </c>
      <c r="W961" s="5"/>
    </row>
    <row r="962" spans="1:23" ht="17" x14ac:dyDescent="0.2">
      <c r="A962" s="5">
        <v>960</v>
      </c>
      <c r="B962" s="5" t="s">
        <v>1950</v>
      </c>
      <c r="C962" s="6" t="s">
        <v>1951</v>
      </c>
      <c r="D962" s="94">
        <v>5500</v>
      </c>
      <c r="E962" s="94">
        <v>4678</v>
      </c>
      <c r="F962" s="7">
        <f t="shared" si="59"/>
        <v>0.85054545454545449</v>
      </c>
      <c r="G962" s="5" t="s">
        <v>14</v>
      </c>
      <c r="H962" s="5">
        <v>55</v>
      </c>
      <c r="I962" s="96">
        <f t="shared" ref="I962:I1001" si="60">IF(H962&lt;&gt;0,E962/H962,0)</f>
        <v>85.054545454545448</v>
      </c>
      <c r="J962" s="5" t="s">
        <v>21</v>
      </c>
      <c r="K962" s="5" t="s">
        <v>22</v>
      </c>
      <c r="L962" s="5">
        <v>1454911200</v>
      </c>
      <c r="M962" s="5">
        <v>1458104400</v>
      </c>
      <c r="N962" s="8">
        <f t="shared" si="57"/>
        <v>42408.25</v>
      </c>
      <c r="O962" s="8">
        <f t="shared" si="58"/>
        <v>42445.208333333328</v>
      </c>
      <c r="P962" s="21" t="str">
        <f>TEXT(CrowdfundingTable[[#This Row],[date_created]],"ddd")</f>
        <v>Mon</v>
      </c>
      <c r="Q962" s="21">
        <f>_xlfn.DAYS(CrowdfundingTable[[#This Row],[date_ended]],CrowdfundingTable[[#This Row],[date_created]])</f>
        <v>37</v>
      </c>
      <c r="R962" s="5" t="b">
        <v>0</v>
      </c>
      <c r="S962" s="5" t="b">
        <v>0</v>
      </c>
      <c r="T962" s="5" t="s">
        <v>28</v>
      </c>
      <c r="U962" s="5" t="s">
        <v>2039</v>
      </c>
      <c r="V962" s="5" t="s">
        <v>2064</v>
      </c>
      <c r="W962" s="5"/>
    </row>
    <row r="963" spans="1:23" ht="17" x14ac:dyDescent="0.2">
      <c r="A963" s="5">
        <v>961</v>
      </c>
      <c r="B963" s="5" t="s">
        <v>1952</v>
      </c>
      <c r="C963" s="6" t="s">
        <v>1953</v>
      </c>
      <c r="D963" s="94">
        <v>5700</v>
      </c>
      <c r="E963" s="94">
        <v>6800</v>
      </c>
      <c r="F963" s="7">
        <f t="shared" si="59"/>
        <v>1.1929824561403508</v>
      </c>
      <c r="G963" s="5" t="s">
        <v>20</v>
      </c>
      <c r="H963" s="5">
        <v>155</v>
      </c>
      <c r="I963" s="96">
        <f t="shared" si="60"/>
        <v>43.87096774193548</v>
      </c>
      <c r="J963" s="5" t="s">
        <v>21</v>
      </c>
      <c r="K963" s="5" t="s">
        <v>22</v>
      </c>
      <c r="L963" s="5">
        <v>1297922400</v>
      </c>
      <c r="M963" s="5">
        <v>1298268000</v>
      </c>
      <c r="N963" s="8">
        <f t="shared" ref="N963:N1001" si="61">(((L963/60)/60)/24)+DATE(1970,1,1)</f>
        <v>40591.25</v>
      </c>
      <c r="O963" s="8">
        <f t="shared" ref="O963:O1001" si="62">(((M963/60)/60)/24)+DATE(1970,1,1)</f>
        <v>40595.25</v>
      </c>
      <c r="P963" s="21" t="str">
        <f>TEXT(CrowdfundingTable[[#This Row],[date_created]],"ddd")</f>
        <v>Thu</v>
      </c>
      <c r="Q963" s="21">
        <f>_xlfn.DAYS(CrowdfundingTable[[#This Row],[date_ended]],CrowdfundingTable[[#This Row],[date_created]])</f>
        <v>4</v>
      </c>
      <c r="R963" s="5" t="b">
        <v>0</v>
      </c>
      <c r="S963" s="5" t="b">
        <v>0</v>
      </c>
      <c r="T963" s="5" t="s">
        <v>206</v>
      </c>
      <c r="U963" s="5" t="s">
        <v>2038</v>
      </c>
      <c r="V963" s="5" t="s">
        <v>2061</v>
      </c>
      <c r="W963" s="5"/>
    </row>
    <row r="964" spans="1:23" ht="17" x14ac:dyDescent="0.2">
      <c r="A964" s="5">
        <v>962</v>
      </c>
      <c r="B964" s="5" t="s">
        <v>1954</v>
      </c>
      <c r="C964" s="6" t="s">
        <v>1955</v>
      </c>
      <c r="D964" s="94">
        <v>3600</v>
      </c>
      <c r="E964" s="94">
        <v>10657</v>
      </c>
      <c r="F964" s="7">
        <f t="shared" ref="F964:F1001" si="63">E964/D964</f>
        <v>2.9602777777777778</v>
      </c>
      <c r="G964" s="5" t="s">
        <v>20</v>
      </c>
      <c r="H964" s="5">
        <v>266</v>
      </c>
      <c r="I964" s="96">
        <f t="shared" si="60"/>
        <v>40.063909774436091</v>
      </c>
      <c r="J964" s="5" t="s">
        <v>21</v>
      </c>
      <c r="K964" s="5" t="s">
        <v>22</v>
      </c>
      <c r="L964" s="5">
        <v>1384408800</v>
      </c>
      <c r="M964" s="5">
        <v>1386223200</v>
      </c>
      <c r="N964" s="8">
        <f t="shared" si="61"/>
        <v>41592.25</v>
      </c>
      <c r="O964" s="8">
        <f t="shared" si="62"/>
        <v>41613.25</v>
      </c>
      <c r="P964" s="21" t="str">
        <f>TEXT(CrowdfundingTable[[#This Row],[date_created]],"ddd")</f>
        <v>Thu</v>
      </c>
      <c r="Q964" s="21">
        <f>_xlfn.DAYS(CrowdfundingTable[[#This Row],[date_ended]],CrowdfundingTable[[#This Row],[date_created]])</f>
        <v>21</v>
      </c>
      <c r="R964" s="5" t="b">
        <v>0</v>
      </c>
      <c r="S964" s="5" t="b">
        <v>0</v>
      </c>
      <c r="T964" s="5" t="s">
        <v>17</v>
      </c>
      <c r="U964" s="5" t="s">
        <v>2033</v>
      </c>
      <c r="V964" s="5" t="s">
        <v>2048</v>
      </c>
      <c r="W964" s="5"/>
    </row>
    <row r="965" spans="1:23" ht="17" x14ac:dyDescent="0.2">
      <c r="A965" s="5">
        <v>963</v>
      </c>
      <c r="B965" s="5" t="s">
        <v>1956</v>
      </c>
      <c r="C965" s="6" t="s">
        <v>1957</v>
      </c>
      <c r="D965" s="94">
        <v>5900</v>
      </c>
      <c r="E965" s="94">
        <v>4997</v>
      </c>
      <c r="F965" s="7">
        <f t="shared" si="63"/>
        <v>0.84694915254237291</v>
      </c>
      <c r="G965" s="5" t="s">
        <v>14</v>
      </c>
      <c r="H965" s="5">
        <v>114</v>
      </c>
      <c r="I965" s="96">
        <f t="shared" si="60"/>
        <v>43.833333333333336</v>
      </c>
      <c r="J965" s="5" t="s">
        <v>107</v>
      </c>
      <c r="K965" s="5" t="s">
        <v>108</v>
      </c>
      <c r="L965" s="5">
        <v>1299304800</v>
      </c>
      <c r="M965" s="5">
        <v>1299823200</v>
      </c>
      <c r="N965" s="8">
        <f t="shared" si="61"/>
        <v>40607.25</v>
      </c>
      <c r="O965" s="8">
        <f t="shared" si="62"/>
        <v>40613.25</v>
      </c>
      <c r="P965" s="21" t="str">
        <f>TEXT(CrowdfundingTable[[#This Row],[date_created]],"ddd")</f>
        <v>Sat</v>
      </c>
      <c r="Q965" s="21">
        <f>_xlfn.DAYS(CrowdfundingTable[[#This Row],[date_ended]],CrowdfundingTable[[#This Row],[date_created]])</f>
        <v>6</v>
      </c>
      <c r="R965" s="5" t="b">
        <v>0</v>
      </c>
      <c r="S965" s="5" t="b">
        <v>1</v>
      </c>
      <c r="T965" s="5" t="s">
        <v>122</v>
      </c>
      <c r="U965" s="5" t="s">
        <v>2037</v>
      </c>
      <c r="V965" s="5" t="s">
        <v>2054</v>
      </c>
      <c r="W965" s="5"/>
    </row>
    <row r="966" spans="1:23" ht="17" x14ac:dyDescent="0.2">
      <c r="A966" s="5">
        <v>964</v>
      </c>
      <c r="B966" s="5" t="s">
        <v>1958</v>
      </c>
      <c r="C966" s="6" t="s">
        <v>1959</v>
      </c>
      <c r="D966" s="94">
        <v>3700</v>
      </c>
      <c r="E966" s="94">
        <v>13164</v>
      </c>
      <c r="F966" s="7">
        <f t="shared" si="63"/>
        <v>3.5578378378378379</v>
      </c>
      <c r="G966" s="5" t="s">
        <v>20</v>
      </c>
      <c r="H966" s="5">
        <v>155</v>
      </c>
      <c r="I966" s="96">
        <f t="shared" si="60"/>
        <v>84.92903225806451</v>
      </c>
      <c r="J966" s="5" t="s">
        <v>21</v>
      </c>
      <c r="K966" s="5" t="s">
        <v>22</v>
      </c>
      <c r="L966" s="5">
        <v>1431320400</v>
      </c>
      <c r="M966" s="5">
        <v>1431752400</v>
      </c>
      <c r="N966" s="8">
        <f t="shared" si="61"/>
        <v>42135.208333333328</v>
      </c>
      <c r="O966" s="8">
        <f t="shared" si="62"/>
        <v>42140.208333333328</v>
      </c>
      <c r="P966" s="21" t="str">
        <f>TEXT(CrowdfundingTable[[#This Row],[date_created]],"ddd")</f>
        <v>Mon</v>
      </c>
      <c r="Q966" s="21">
        <f>_xlfn.DAYS(CrowdfundingTable[[#This Row],[date_ended]],CrowdfundingTable[[#This Row],[date_created]])</f>
        <v>5</v>
      </c>
      <c r="R966" s="5" t="b">
        <v>0</v>
      </c>
      <c r="S966" s="5" t="b">
        <v>0</v>
      </c>
      <c r="T966" s="5" t="s">
        <v>33</v>
      </c>
      <c r="U966" s="5" t="s">
        <v>2040</v>
      </c>
      <c r="V966" s="5" t="s">
        <v>2055</v>
      </c>
      <c r="W966" s="5"/>
    </row>
    <row r="967" spans="1:23" ht="17" x14ac:dyDescent="0.2">
      <c r="A967" s="5">
        <v>965</v>
      </c>
      <c r="B967" s="5" t="s">
        <v>1960</v>
      </c>
      <c r="C967" s="6" t="s">
        <v>1961</v>
      </c>
      <c r="D967" s="94">
        <v>2200</v>
      </c>
      <c r="E967" s="94">
        <v>8501</v>
      </c>
      <c r="F967" s="7">
        <f t="shared" si="63"/>
        <v>3.8640909090909092</v>
      </c>
      <c r="G967" s="5" t="s">
        <v>20</v>
      </c>
      <c r="H967" s="5">
        <v>207</v>
      </c>
      <c r="I967" s="96">
        <f t="shared" si="60"/>
        <v>41.067632850241544</v>
      </c>
      <c r="J967" s="5" t="s">
        <v>40</v>
      </c>
      <c r="K967" s="5" t="s">
        <v>41</v>
      </c>
      <c r="L967" s="5">
        <v>1264399200</v>
      </c>
      <c r="M967" s="5">
        <v>1267855200</v>
      </c>
      <c r="N967" s="8">
        <f t="shared" si="61"/>
        <v>40203.25</v>
      </c>
      <c r="O967" s="8">
        <f t="shared" si="62"/>
        <v>40243.25</v>
      </c>
      <c r="P967" s="21" t="str">
        <f>TEXT(CrowdfundingTable[[#This Row],[date_created]],"ddd")</f>
        <v>Mon</v>
      </c>
      <c r="Q967" s="21">
        <f>_xlfn.DAYS(CrowdfundingTable[[#This Row],[date_ended]],CrowdfundingTable[[#This Row],[date_created]])</f>
        <v>40</v>
      </c>
      <c r="R967" s="5" t="b">
        <v>0</v>
      </c>
      <c r="S967" s="5" t="b">
        <v>0</v>
      </c>
      <c r="T967" s="5" t="s">
        <v>23</v>
      </c>
      <c r="U967" s="5" t="s">
        <v>2036</v>
      </c>
      <c r="V967" s="5" t="s">
        <v>2057</v>
      </c>
      <c r="W967" s="5"/>
    </row>
    <row r="968" spans="1:23" ht="17" x14ac:dyDescent="0.2">
      <c r="A968" s="5">
        <v>966</v>
      </c>
      <c r="B968" s="5" t="s">
        <v>878</v>
      </c>
      <c r="C968" s="6" t="s">
        <v>1962</v>
      </c>
      <c r="D968" s="94">
        <v>1700</v>
      </c>
      <c r="E968" s="94">
        <v>13468</v>
      </c>
      <c r="F968" s="7">
        <f t="shared" si="63"/>
        <v>7.9223529411764702</v>
      </c>
      <c r="G968" s="5" t="s">
        <v>20</v>
      </c>
      <c r="H968" s="5">
        <v>245</v>
      </c>
      <c r="I968" s="96">
        <f t="shared" si="60"/>
        <v>54.971428571428568</v>
      </c>
      <c r="J968" s="5" t="s">
        <v>21</v>
      </c>
      <c r="K968" s="5" t="s">
        <v>22</v>
      </c>
      <c r="L968" s="5">
        <v>1497502800</v>
      </c>
      <c r="M968" s="5">
        <v>1497675600</v>
      </c>
      <c r="N968" s="8">
        <f t="shared" si="61"/>
        <v>42901.208333333328</v>
      </c>
      <c r="O968" s="8">
        <f t="shared" si="62"/>
        <v>42903.208333333328</v>
      </c>
      <c r="P968" s="21" t="str">
        <f>TEXT(CrowdfundingTable[[#This Row],[date_created]],"ddd")</f>
        <v>Thu</v>
      </c>
      <c r="Q968" s="21">
        <f>_xlfn.DAYS(CrowdfundingTable[[#This Row],[date_ended]],CrowdfundingTable[[#This Row],[date_created]])</f>
        <v>2</v>
      </c>
      <c r="R968" s="5" t="b">
        <v>0</v>
      </c>
      <c r="S968" s="5" t="b">
        <v>0</v>
      </c>
      <c r="T968" s="5" t="s">
        <v>33</v>
      </c>
      <c r="U968" s="5" t="s">
        <v>2040</v>
      </c>
      <c r="V968" s="5" t="s">
        <v>2055</v>
      </c>
      <c r="W968" s="5"/>
    </row>
    <row r="969" spans="1:23" ht="17" x14ac:dyDescent="0.2">
      <c r="A969" s="5">
        <v>967</v>
      </c>
      <c r="B969" s="5" t="s">
        <v>1963</v>
      </c>
      <c r="C969" s="6" t="s">
        <v>1964</v>
      </c>
      <c r="D969" s="94">
        <v>88400</v>
      </c>
      <c r="E969" s="94">
        <v>121138</v>
      </c>
      <c r="F969" s="7">
        <f t="shared" si="63"/>
        <v>1.3703393665158372</v>
      </c>
      <c r="G969" s="5" t="s">
        <v>20</v>
      </c>
      <c r="H969" s="5">
        <v>1573</v>
      </c>
      <c r="I969" s="96">
        <f t="shared" si="60"/>
        <v>77.010807374443743</v>
      </c>
      <c r="J969" s="5" t="s">
        <v>21</v>
      </c>
      <c r="K969" s="5" t="s">
        <v>22</v>
      </c>
      <c r="L969" s="5">
        <v>1333688400</v>
      </c>
      <c r="M969" s="5">
        <v>1336885200</v>
      </c>
      <c r="N969" s="8">
        <f t="shared" si="61"/>
        <v>41005.208333333336</v>
      </c>
      <c r="O969" s="8">
        <f t="shared" si="62"/>
        <v>41042.208333333336</v>
      </c>
      <c r="P969" s="21" t="str">
        <f>TEXT(CrowdfundingTable[[#This Row],[date_created]],"ddd")</f>
        <v>Fri</v>
      </c>
      <c r="Q969" s="21">
        <f>_xlfn.DAYS(CrowdfundingTable[[#This Row],[date_ended]],CrowdfundingTable[[#This Row],[date_created]])</f>
        <v>37</v>
      </c>
      <c r="R969" s="5" t="b">
        <v>0</v>
      </c>
      <c r="S969" s="5" t="b">
        <v>0</v>
      </c>
      <c r="T969" s="5" t="s">
        <v>319</v>
      </c>
      <c r="U969" s="5" t="s">
        <v>2036</v>
      </c>
      <c r="V969" s="5" t="s">
        <v>2065</v>
      </c>
      <c r="W969" s="5"/>
    </row>
    <row r="970" spans="1:23" ht="34" x14ac:dyDescent="0.2">
      <c r="A970" s="5">
        <v>968</v>
      </c>
      <c r="B970" s="5" t="s">
        <v>1965</v>
      </c>
      <c r="C970" s="6" t="s">
        <v>1966</v>
      </c>
      <c r="D970" s="94">
        <v>2400</v>
      </c>
      <c r="E970" s="94">
        <v>8117</v>
      </c>
      <c r="F970" s="7">
        <f t="shared" si="63"/>
        <v>3.3820833333333336</v>
      </c>
      <c r="G970" s="5" t="s">
        <v>20</v>
      </c>
      <c r="H970" s="5">
        <v>114</v>
      </c>
      <c r="I970" s="96">
        <f t="shared" si="60"/>
        <v>71.201754385964918</v>
      </c>
      <c r="J970" s="5" t="s">
        <v>21</v>
      </c>
      <c r="K970" s="5" t="s">
        <v>22</v>
      </c>
      <c r="L970" s="5">
        <v>1293861600</v>
      </c>
      <c r="M970" s="5">
        <v>1295157600</v>
      </c>
      <c r="N970" s="8">
        <f t="shared" si="61"/>
        <v>40544.25</v>
      </c>
      <c r="O970" s="8">
        <f t="shared" si="62"/>
        <v>40559.25</v>
      </c>
      <c r="P970" s="21" t="str">
        <f>TEXT(CrowdfundingTable[[#This Row],[date_created]],"ddd")</f>
        <v>Sat</v>
      </c>
      <c r="Q970" s="21">
        <f>_xlfn.DAYS(CrowdfundingTable[[#This Row],[date_ended]],CrowdfundingTable[[#This Row],[date_created]])</f>
        <v>15</v>
      </c>
      <c r="R970" s="5" t="b">
        <v>0</v>
      </c>
      <c r="S970" s="5" t="b">
        <v>0</v>
      </c>
      <c r="T970" s="5" t="s">
        <v>17</v>
      </c>
      <c r="U970" s="5" t="s">
        <v>2033</v>
      </c>
      <c r="V970" s="5" t="s">
        <v>2048</v>
      </c>
      <c r="W970" s="5"/>
    </row>
    <row r="971" spans="1:23" ht="17" x14ac:dyDescent="0.2">
      <c r="A971" s="5">
        <v>969</v>
      </c>
      <c r="B971" s="5" t="s">
        <v>1967</v>
      </c>
      <c r="C971" s="6" t="s">
        <v>1968</v>
      </c>
      <c r="D971" s="94">
        <v>7900</v>
      </c>
      <c r="E971" s="94">
        <v>8550</v>
      </c>
      <c r="F971" s="7">
        <f t="shared" si="63"/>
        <v>1.0822784810126582</v>
      </c>
      <c r="G971" s="5" t="s">
        <v>20</v>
      </c>
      <c r="H971" s="5">
        <v>93</v>
      </c>
      <c r="I971" s="96">
        <f t="shared" si="60"/>
        <v>91.935483870967744</v>
      </c>
      <c r="J971" s="5" t="s">
        <v>21</v>
      </c>
      <c r="K971" s="5" t="s">
        <v>22</v>
      </c>
      <c r="L971" s="5">
        <v>1576994400</v>
      </c>
      <c r="M971" s="5">
        <v>1577599200</v>
      </c>
      <c r="N971" s="8">
        <f t="shared" si="61"/>
        <v>43821.25</v>
      </c>
      <c r="O971" s="8">
        <f t="shared" si="62"/>
        <v>43828.25</v>
      </c>
      <c r="P971" s="21" t="str">
        <f>TEXT(CrowdfundingTable[[#This Row],[date_created]],"ddd")</f>
        <v>Sun</v>
      </c>
      <c r="Q971" s="21">
        <f>_xlfn.DAYS(CrowdfundingTable[[#This Row],[date_ended]],CrowdfundingTable[[#This Row],[date_created]])</f>
        <v>7</v>
      </c>
      <c r="R971" s="5" t="b">
        <v>0</v>
      </c>
      <c r="S971" s="5" t="b">
        <v>0</v>
      </c>
      <c r="T971" s="5" t="s">
        <v>33</v>
      </c>
      <c r="U971" s="5" t="s">
        <v>2040</v>
      </c>
      <c r="V971" s="5" t="s">
        <v>2055</v>
      </c>
      <c r="W971" s="5"/>
    </row>
    <row r="972" spans="1:23" ht="17" x14ac:dyDescent="0.2">
      <c r="A972" s="5">
        <v>970</v>
      </c>
      <c r="B972" s="5" t="s">
        <v>1969</v>
      </c>
      <c r="C972" s="6" t="s">
        <v>1970</v>
      </c>
      <c r="D972" s="94">
        <v>94900</v>
      </c>
      <c r="E972" s="94">
        <v>57659</v>
      </c>
      <c r="F972" s="7">
        <f t="shared" si="63"/>
        <v>0.60757639620653314</v>
      </c>
      <c r="G972" s="5" t="s">
        <v>14</v>
      </c>
      <c r="H972" s="5">
        <v>594</v>
      </c>
      <c r="I972" s="96">
        <f t="shared" si="60"/>
        <v>97.069023569023571</v>
      </c>
      <c r="J972" s="5" t="s">
        <v>21</v>
      </c>
      <c r="K972" s="5" t="s">
        <v>22</v>
      </c>
      <c r="L972" s="5">
        <v>1304917200</v>
      </c>
      <c r="M972" s="5">
        <v>1305003600</v>
      </c>
      <c r="N972" s="8">
        <f t="shared" si="61"/>
        <v>40672.208333333336</v>
      </c>
      <c r="O972" s="8">
        <f t="shared" si="62"/>
        <v>40673.208333333336</v>
      </c>
      <c r="P972" s="21" t="str">
        <f>TEXT(CrowdfundingTable[[#This Row],[date_created]],"ddd")</f>
        <v>Mon</v>
      </c>
      <c r="Q972" s="21">
        <f>_xlfn.DAYS(CrowdfundingTable[[#This Row],[date_ended]],CrowdfundingTable[[#This Row],[date_created]])</f>
        <v>1</v>
      </c>
      <c r="R972" s="5" t="b">
        <v>0</v>
      </c>
      <c r="S972" s="5" t="b">
        <v>0</v>
      </c>
      <c r="T972" s="5" t="s">
        <v>33</v>
      </c>
      <c r="U972" s="5" t="s">
        <v>2040</v>
      </c>
      <c r="V972" s="5" t="s">
        <v>2055</v>
      </c>
      <c r="W972" s="5"/>
    </row>
    <row r="973" spans="1:23" ht="17" x14ac:dyDescent="0.2">
      <c r="A973" s="5">
        <v>971</v>
      </c>
      <c r="B973" s="5" t="s">
        <v>1971</v>
      </c>
      <c r="C973" s="6" t="s">
        <v>1972</v>
      </c>
      <c r="D973" s="94">
        <v>5100</v>
      </c>
      <c r="E973" s="94">
        <v>1414</v>
      </c>
      <c r="F973" s="7">
        <f t="shared" si="63"/>
        <v>0.27725490196078434</v>
      </c>
      <c r="G973" s="5" t="s">
        <v>14</v>
      </c>
      <c r="H973" s="5">
        <v>24</v>
      </c>
      <c r="I973" s="96">
        <f t="shared" si="60"/>
        <v>58.916666666666664</v>
      </c>
      <c r="J973" s="5" t="s">
        <v>21</v>
      </c>
      <c r="K973" s="5" t="s">
        <v>22</v>
      </c>
      <c r="L973" s="5">
        <v>1381208400</v>
      </c>
      <c r="M973" s="5">
        <v>1381726800</v>
      </c>
      <c r="N973" s="8">
        <f t="shared" si="61"/>
        <v>41555.208333333336</v>
      </c>
      <c r="O973" s="8">
        <f t="shared" si="62"/>
        <v>41561.208333333336</v>
      </c>
      <c r="P973" s="21" t="str">
        <f>TEXT(CrowdfundingTable[[#This Row],[date_created]],"ddd")</f>
        <v>Tue</v>
      </c>
      <c r="Q973" s="21">
        <f>_xlfn.DAYS(CrowdfundingTable[[#This Row],[date_ended]],CrowdfundingTable[[#This Row],[date_created]])</f>
        <v>6</v>
      </c>
      <c r="R973" s="5" t="b">
        <v>0</v>
      </c>
      <c r="S973" s="5" t="b">
        <v>0</v>
      </c>
      <c r="T973" s="5" t="s">
        <v>269</v>
      </c>
      <c r="U973" s="5" t="s">
        <v>2032</v>
      </c>
      <c r="V973" s="5" t="s">
        <v>2060</v>
      </c>
      <c r="W973" s="5"/>
    </row>
    <row r="974" spans="1:23" ht="17" x14ac:dyDescent="0.2">
      <c r="A974" s="5">
        <v>972</v>
      </c>
      <c r="B974" s="5" t="s">
        <v>1973</v>
      </c>
      <c r="C974" s="6" t="s">
        <v>1974</v>
      </c>
      <c r="D974" s="94">
        <v>42700</v>
      </c>
      <c r="E974" s="94">
        <v>97524</v>
      </c>
      <c r="F974" s="7">
        <f t="shared" si="63"/>
        <v>2.283934426229508</v>
      </c>
      <c r="G974" s="5" t="s">
        <v>20</v>
      </c>
      <c r="H974" s="5">
        <v>1681</v>
      </c>
      <c r="I974" s="96">
        <f t="shared" si="60"/>
        <v>58.015466983938133</v>
      </c>
      <c r="J974" s="5" t="s">
        <v>21</v>
      </c>
      <c r="K974" s="5" t="s">
        <v>22</v>
      </c>
      <c r="L974" s="5">
        <v>1401685200</v>
      </c>
      <c r="M974" s="5">
        <v>1402462800</v>
      </c>
      <c r="N974" s="8">
        <f t="shared" si="61"/>
        <v>41792.208333333336</v>
      </c>
      <c r="O974" s="8">
        <f t="shared" si="62"/>
        <v>41801.208333333336</v>
      </c>
      <c r="P974" s="21" t="str">
        <f>TEXT(CrowdfundingTable[[#This Row],[date_created]],"ddd")</f>
        <v>Mon</v>
      </c>
      <c r="Q974" s="21">
        <f>_xlfn.DAYS(CrowdfundingTable[[#This Row],[date_ended]],CrowdfundingTable[[#This Row],[date_created]])</f>
        <v>9</v>
      </c>
      <c r="R974" s="5" t="b">
        <v>0</v>
      </c>
      <c r="S974" s="5" t="b">
        <v>1</v>
      </c>
      <c r="T974" s="5" t="s">
        <v>28</v>
      </c>
      <c r="U974" s="5" t="s">
        <v>2039</v>
      </c>
      <c r="V974" s="5" t="s">
        <v>2064</v>
      </c>
      <c r="W974" s="5"/>
    </row>
    <row r="975" spans="1:23" ht="17" x14ac:dyDescent="0.2">
      <c r="A975" s="5">
        <v>973</v>
      </c>
      <c r="B975" s="5" t="s">
        <v>1975</v>
      </c>
      <c r="C975" s="6" t="s">
        <v>1976</v>
      </c>
      <c r="D975" s="94">
        <v>121100</v>
      </c>
      <c r="E975" s="94">
        <v>26176</v>
      </c>
      <c r="F975" s="7">
        <f t="shared" si="63"/>
        <v>0.21615194054500414</v>
      </c>
      <c r="G975" s="5" t="s">
        <v>14</v>
      </c>
      <c r="H975" s="5">
        <v>252</v>
      </c>
      <c r="I975" s="96">
        <f t="shared" si="60"/>
        <v>103.87301587301587</v>
      </c>
      <c r="J975" s="5" t="s">
        <v>21</v>
      </c>
      <c r="K975" s="5" t="s">
        <v>22</v>
      </c>
      <c r="L975" s="5">
        <v>1291960800</v>
      </c>
      <c r="M975" s="5">
        <v>1292133600</v>
      </c>
      <c r="N975" s="8">
        <f t="shared" si="61"/>
        <v>40522.25</v>
      </c>
      <c r="O975" s="8">
        <f t="shared" si="62"/>
        <v>40524.25</v>
      </c>
      <c r="P975" s="21" t="str">
        <f>TEXT(CrowdfundingTable[[#This Row],[date_created]],"ddd")</f>
        <v>Fri</v>
      </c>
      <c r="Q975" s="21">
        <f>_xlfn.DAYS(CrowdfundingTable[[#This Row],[date_ended]],CrowdfundingTable[[#This Row],[date_created]])</f>
        <v>2</v>
      </c>
      <c r="R975" s="5" t="b">
        <v>0</v>
      </c>
      <c r="S975" s="5" t="b">
        <v>1</v>
      </c>
      <c r="T975" s="5" t="s">
        <v>33</v>
      </c>
      <c r="U975" s="5" t="s">
        <v>2040</v>
      </c>
      <c r="V975" s="5" t="s">
        <v>2055</v>
      </c>
      <c r="W975" s="5"/>
    </row>
    <row r="976" spans="1:23" ht="17" x14ac:dyDescent="0.2">
      <c r="A976" s="5">
        <v>974</v>
      </c>
      <c r="B976" s="5" t="s">
        <v>1977</v>
      </c>
      <c r="C976" s="6" t="s">
        <v>1978</v>
      </c>
      <c r="D976" s="94">
        <v>800</v>
      </c>
      <c r="E976" s="94">
        <v>2991</v>
      </c>
      <c r="F976" s="7">
        <f t="shared" si="63"/>
        <v>3.73875</v>
      </c>
      <c r="G976" s="5" t="s">
        <v>20</v>
      </c>
      <c r="H976" s="5">
        <v>32</v>
      </c>
      <c r="I976" s="96">
        <f t="shared" si="60"/>
        <v>93.46875</v>
      </c>
      <c r="J976" s="5" t="s">
        <v>21</v>
      </c>
      <c r="K976" s="5" t="s">
        <v>22</v>
      </c>
      <c r="L976" s="5">
        <v>1368853200</v>
      </c>
      <c r="M976" s="5">
        <v>1368939600</v>
      </c>
      <c r="N976" s="8">
        <f t="shared" si="61"/>
        <v>41412.208333333336</v>
      </c>
      <c r="O976" s="8">
        <f t="shared" si="62"/>
        <v>41413.208333333336</v>
      </c>
      <c r="P976" s="21" t="str">
        <f>TEXT(CrowdfundingTable[[#This Row],[date_created]],"ddd")</f>
        <v>Sat</v>
      </c>
      <c r="Q976" s="21">
        <f>_xlfn.DAYS(CrowdfundingTable[[#This Row],[date_ended]],CrowdfundingTable[[#This Row],[date_created]])</f>
        <v>1</v>
      </c>
      <c r="R976" s="5" t="b">
        <v>0</v>
      </c>
      <c r="S976" s="5" t="b">
        <v>0</v>
      </c>
      <c r="T976" s="5" t="s">
        <v>60</v>
      </c>
      <c r="U976" s="5" t="s">
        <v>2036</v>
      </c>
      <c r="V976" s="5" t="s">
        <v>2049</v>
      </c>
      <c r="W976" s="5"/>
    </row>
    <row r="977" spans="1:23" ht="17" x14ac:dyDescent="0.2">
      <c r="A977" s="5">
        <v>975</v>
      </c>
      <c r="B977" s="5" t="s">
        <v>1979</v>
      </c>
      <c r="C977" s="6" t="s">
        <v>1980</v>
      </c>
      <c r="D977" s="94">
        <v>5400</v>
      </c>
      <c r="E977" s="94">
        <v>8366</v>
      </c>
      <c r="F977" s="7">
        <f t="shared" si="63"/>
        <v>1.5492592592592593</v>
      </c>
      <c r="G977" s="5" t="s">
        <v>20</v>
      </c>
      <c r="H977" s="5">
        <v>135</v>
      </c>
      <c r="I977" s="96">
        <f t="shared" si="60"/>
        <v>61.970370370370368</v>
      </c>
      <c r="J977" s="5" t="s">
        <v>21</v>
      </c>
      <c r="K977" s="5" t="s">
        <v>22</v>
      </c>
      <c r="L977" s="5">
        <v>1448776800</v>
      </c>
      <c r="M977" s="5">
        <v>1452146400</v>
      </c>
      <c r="N977" s="8">
        <f t="shared" si="61"/>
        <v>42337.25</v>
      </c>
      <c r="O977" s="8">
        <f t="shared" si="62"/>
        <v>42376.25</v>
      </c>
      <c r="P977" s="21" t="str">
        <f>TEXT(CrowdfundingTable[[#This Row],[date_created]],"ddd")</f>
        <v>Sun</v>
      </c>
      <c r="Q977" s="21">
        <f>_xlfn.DAYS(CrowdfundingTable[[#This Row],[date_ended]],CrowdfundingTable[[#This Row],[date_created]])</f>
        <v>39</v>
      </c>
      <c r="R977" s="5" t="b">
        <v>0</v>
      </c>
      <c r="S977" s="5" t="b">
        <v>1</v>
      </c>
      <c r="T977" s="5" t="s">
        <v>33</v>
      </c>
      <c r="U977" s="5" t="s">
        <v>2040</v>
      </c>
      <c r="V977" s="5" t="s">
        <v>2055</v>
      </c>
      <c r="W977" s="5"/>
    </row>
    <row r="978" spans="1:23" ht="34" x14ac:dyDescent="0.2">
      <c r="A978" s="5">
        <v>976</v>
      </c>
      <c r="B978" s="5" t="s">
        <v>1981</v>
      </c>
      <c r="C978" s="6" t="s">
        <v>1982</v>
      </c>
      <c r="D978" s="94">
        <v>4000</v>
      </c>
      <c r="E978" s="94">
        <v>12886</v>
      </c>
      <c r="F978" s="7">
        <f t="shared" si="63"/>
        <v>3.2214999999999998</v>
      </c>
      <c r="G978" s="5" t="s">
        <v>20</v>
      </c>
      <c r="H978" s="5">
        <v>140</v>
      </c>
      <c r="I978" s="96">
        <f t="shared" si="60"/>
        <v>92.042857142857144</v>
      </c>
      <c r="J978" s="5" t="s">
        <v>21</v>
      </c>
      <c r="K978" s="5" t="s">
        <v>22</v>
      </c>
      <c r="L978" s="5">
        <v>1296194400</v>
      </c>
      <c r="M978" s="5">
        <v>1296712800</v>
      </c>
      <c r="N978" s="8">
        <f t="shared" si="61"/>
        <v>40571.25</v>
      </c>
      <c r="O978" s="8">
        <f t="shared" si="62"/>
        <v>40577.25</v>
      </c>
      <c r="P978" s="21" t="str">
        <f>TEXT(CrowdfundingTable[[#This Row],[date_created]],"ddd")</f>
        <v>Fri</v>
      </c>
      <c r="Q978" s="21">
        <f>_xlfn.DAYS(CrowdfundingTable[[#This Row],[date_ended]],CrowdfundingTable[[#This Row],[date_created]])</f>
        <v>6</v>
      </c>
      <c r="R978" s="5" t="b">
        <v>0</v>
      </c>
      <c r="S978" s="5" t="b">
        <v>1</v>
      </c>
      <c r="T978" s="5" t="s">
        <v>33</v>
      </c>
      <c r="U978" s="5" t="s">
        <v>2040</v>
      </c>
      <c r="V978" s="5" t="s">
        <v>2055</v>
      </c>
      <c r="W978" s="5"/>
    </row>
    <row r="979" spans="1:23" ht="17" x14ac:dyDescent="0.2">
      <c r="A979" s="5">
        <v>977</v>
      </c>
      <c r="B979" s="5" t="s">
        <v>1258</v>
      </c>
      <c r="C979" s="6" t="s">
        <v>1983</v>
      </c>
      <c r="D979" s="94">
        <v>7000</v>
      </c>
      <c r="E979" s="94">
        <v>5177</v>
      </c>
      <c r="F979" s="7">
        <f t="shared" si="63"/>
        <v>0.73957142857142855</v>
      </c>
      <c r="G979" s="5" t="s">
        <v>14</v>
      </c>
      <c r="H979" s="5">
        <v>67</v>
      </c>
      <c r="I979" s="96">
        <f t="shared" si="60"/>
        <v>77.268656716417908</v>
      </c>
      <c r="J979" s="5" t="s">
        <v>21</v>
      </c>
      <c r="K979" s="5" t="s">
        <v>22</v>
      </c>
      <c r="L979" s="5">
        <v>1517983200</v>
      </c>
      <c r="M979" s="5">
        <v>1520748000</v>
      </c>
      <c r="N979" s="8">
        <f t="shared" si="61"/>
        <v>43138.25</v>
      </c>
      <c r="O979" s="8">
        <f t="shared" si="62"/>
        <v>43170.25</v>
      </c>
      <c r="P979" s="21" t="str">
        <f>TEXT(CrowdfundingTable[[#This Row],[date_created]],"ddd")</f>
        <v>Wed</v>
      </c>
      <c r="Q979" s="21">
        <f>_xlfn.DAYS(CrowdfundingTable[[#This Row],[date_ended]],CrowdfundingTable[[#This Row],[date_created]])</f>
        <v>32</v>
      </c>
      <c r="R979" s="5" t="b">
        <v>0</v>
      </c>
      <c r="S979" s="5" t="b">
        <v>0</v>
      </c>
      <c r="T979" s="5" t="s">
        <v>17</v>
      </c>
      <c r="U979" s="5" t="s">
        <v>2033</v>
      </c>
      <c r="V979" s="5" t="s">
        <v>2048</v>
      </c>
      <c r="W979" s="5"/>
    </row>
    <row r="980" spans="1:23" ht="17" x14ac:dyDescent="0.2">
      <c r="A980" s="5">
        <v>978</v>
      </c>
      <c r="B980" s="5" t="s">
        <v>1984</v>
      </c>
      <c r="C980" s="6" t="s">
        <v>1985</v>
      </c>
      <c r="D980" s="94">
        <v>1000</v>
      </c>
      <c r="E980" s="94">
        <v>8641</v>
      </c>
      <c r="F980" s="7">
        <f t="shared" si="63"/>
        <v>8.641</v>
      </c>
      <c r="G980" s="5" t="s">
        <v>20</v>
      </c>
      <c r="H980" s="5">
        <v>92</v>
      </c>
      <c r="I980" s="96">
        <f t="shared" si="60"/>
        <v>93.923913043478265</v>
      </c>
      <c r="J980" s="5" t="s">
        <v>21</v>
      </c>
      <c r="K980" s="5" t="s">
        <v>22</v>
      </c>
      <c r="L980" s="5">
        <v>1478930400</v>
      </c>
      <c r="M980" s="5">
        <v>1480831200</v>
      </c>
      <c r="N980" s="8">
        <f t="shared" si="61"/>
        <v>42686.25</v>
      </c>
      <c r="O980" s="8">
        <f t="shared" si="62"/>
        <v>42708.25</v>
      </c>
      <c r="P980" s="21" t="str">
        <f>TEXT(CrowdfundingTable[[#This Row],[date_created]],"ddd")</f>
        <v>Sat</v>
      </c>
      <c r="Q980" s="21">
        <f>_xlfn.DAYS(CrowdfundingTable[[#This Row],[date_ended]],CrowdfundingTable[[#This Row],[date_created]])</f>
        <v>22</v>
      </c>
      <c r="R980" s="5" t="b">
        <v>0</v>
      </c>
      <c r="S980" s="5" t="b">
        <v>0</v>
      </c>
      <c r="T980" s="5" t="s">
        <v>89</v>
      </c>
      <c r="U980" s="5" t="s">
        <v>2034</v>
      </c>
      <c r="V980" s="5" t="s">
        <v>2062</v>
      </c>
      <c r="W980" s="5"/>
    </row>
    <row r="981" spans="1:23" ht="17" x14ac:dyDescent="0.2">
      <c r="A981" s="5">
        <v>979</v>
      </c>
      <c r="B981" s="5" t="s">
        <v>1986</v>
      </c>
      <c r="C981" s="6" t="s">
        <v>1987</v>
      </c>
      <c r="D981" s="94">
        <v>60200</v>
      </c>
      <c r="E981" s="94">
        <v>86244</v>
      </c>
      <c r="F981" s="7">
        <f t="shared" si="63"/>
        <v>1.432624584717608</v>
      </c>
      <c r="G981" s="5" t="s">
        <v>20</v>
      </c>
      <c r="H981" s="5">
        <v>1015</v>
      </c>
      <c r="I981" s="96">
        <f t="shared" si="60"/>
        <v>84.969458128078813</v>
      </c>
      <c r="J981" s="5" t="s">
        <v>40</v>
      </c>
      <c r="K981" s="5" t="s">
        <v>41</v>
      </c>
      <c r="L981" s="5">
        <v>1426395600</v>
      </c>
      <c r="M981" s="5">
        <v>1426914000</v>
      </c>
      <c r="N981" s="8">
        <f t="shared" si="61"/>
        <v>42078.208333333328</v>
      </c>
      <c r="O981" s="8">
        <f t="shared" si="62"/>
        <v>42084.208333333328</v>
      </c>
      <c r="P981" s="21" t="str">
        <f>TEXT(CrowdfundingTable[[#This Row],[date_created]],"ddd")</f>
        <v>Sun</v>
      </c>
      <c r="Q981" s="21">
        <f>_xlfn.DAYS(CrowdfundingTable[[#This Row],[date_ended]],CrowdfundingTable[[#This Row],[date_created]])</f>
        <v>6</v>
      </c>
      <c r="R981" s="5" t="b">
        <v>0</v>
      </c>
      <c r="S981" s="5" t="b">
        <v>0</v>
      </c>
      <c r="T981" s="5" t="s">
        <v>33</v>
      </c>
      <c r="U981" s="5" t="s">
        <v>2040</v>
      </c>
      <c r="V981" s="5" t="s">
        <v>2055</v>
      </c>
      <c r="W981" s="5"/>
    </row>
    <row r="982" spans="1:23" ht="17" x14ac:dyDescent="0.2">
      <c r="A982" s="5">
        <v>980</v>
      </c>
      <c r="B982" s="5" t="s">
        <v>1988</v>
      </c>
      <c r="C982" s="6" t="s">
        <v>1989</v>
      </c>
      <c r="D982" s="94">
        <v>195200</v>
      </c>
      <c r="E982" s="94">
        <v>78630</v>
      </c>
      <c r="F982" s="7">
        <f t="shared" si="63"/>
        <v>0.40281762295081969</v>
      </c>
      <c r="G982" s="5" t="s">
        <v>14</v>
      </c>
      <c r="H982" s="5">
        <v>742</v>
      </c>
      <c r="I982" s="96">
        <f t="shared" si="60"/>
        <v>105.97035040431267</v>
      </c>
      <c r="J982" s="5" t="s">
        <v>21</v>
      </c>
      <c r="K982" s="5" t="s">
        <v>22</v>
      </c>
      <c r="L982" s="5">
        <v>1446181200</v>
      </c>
      <c r="M982" s="5">
        <v>1446616800</v>
      </c>
      <c r="N982" s="8">
        <f t="shared" si="61"/>
        <v>42307.208333333328</v>
      </c>
      <c r="O982" s="8">
        <f t="shared" si="62"/>
        <v>42312.25</v>
      </c>
      <c r="P982" s="21" t="str">
        <f>TEXT(CrowdfundingTable[[#This Row],[date_created]],"ddd")</f>
        <v>Fri</v>
      </c>
      <c r="Q982" s="21">
        <f>_xlfn.DAYS(CrowdfundingTable[[#This Row],[date_ended]],CrowdfundingTable[[#This Row],[date_created]])</f>
        <v>5</v>
      </c>
      <c r="R982" s="5" t="b">
        <v>1</v>
      </c>
      <c r="S982" s="5" t="b">
        <v>0</v>
      </c>
      <c r="T982" s="5" t="s">
        <v>68</v>
      </c>
      <c r="U982" s="5" t="s">
        <v>2038</v>
      </c>
      <c r="V982" s="5" t="s">
        <v>2053</v>
      </c>
      <c r="W982" s="5"/>
    </row>
    <row r="983" spans="1:23" ht="17" x14ac:dyDescent="0.2">
      <c r="A983" s="5">
        <v>981</v>
      </c>
      <c r="B983" s="5" t="s">
        <v>1990</v>
      </c>
      <c r="C983" s="6" t="s">
        <v>1991</v>
      </c>
      <c r="D983" s="94">
        <v>6700</v>
      </c>
      <c r="E983" s="94">
        <v>11941</v>
      </c>
      <c r="F983" s="7">
        <f t="shared" si="63"/>
        <v>1.7822388059701493</v>
      </c>
      <c r="G983" s="5" t="s">
        <v>20</v>
      </c>
      <c r="H983" s="5">
        <v>323</v>
      </c>
      <c r="I983" s="96">
        <f t="shared" si="60"/>
        <v>36.969040247678016</v>
      </c>
      <c r="J983" s="5" t="s">
        <v>21</v>
      </c>
      <c r="K983" s="5" t="s">
        <v>22</v>
      </c>
      <c r="L983" s="5">
        <v>1514181600</v>
      </c>
      <c r="M983" s="5">
        <v>1517032800</v>
      </c>
      <c r="N983" s="8">
        <f t="shared" si="61"/>
        <v>43094.25</v>
      </c>
      <c r="O983" s="8">
        <f t="shared" si="62"/>
        <v>43127.25</v>
      </c>
      <c r="P983" s="21" t="str">
        <f>TEXT(CrowdfundingTable[[#This Row],[date_created]],"ddd")</f>
        <v>Mon</v>
      </c>
      <c r="Q983" s="21">
        <f>_xlfn.DAYS(CrowdfundingTable[[#This Row],[date_ended]],CrowdfundingTable[[#This Row],[date_created]])</f>
        <v>33</v>
      </c>
      <c r="R983" s="5" t="b">
        <v>0</v>
      </c>
      <c r="S983" s="5" t="b">
        <v>0</v>
      </c>
      <c r="T983" s="5" t="s">
        <v>28</v>
      </c>
      <c r="U983" s="5" t="s">
        <v>2039</v>
      </c>
      <c r="V983" s="5" t="s">
        <v>2064</v>
      </c>
      <c r="W983" s="5"/>
    </row>
    <row r="984" spans="1:23" ht="17" x14ac:dyDescent="0.2">
      <c r="A984" s="5">
        <v>982</v>
      </c>
      <c r="B984" s="5" t="s">
        <v>1992</v>
      </c>
      <c r="C984" s="6" t="s">
        <v>1993</v>
      </c>
      <c r="D984" s="94">
        <v>7200</v>
      </c>
      <c r="E984" s="94">
        <v>6115</v>
      </c>
      <c r="F984" s="7">
        <f t="shared" si="63"/>
        <v>0.84930555555555554</v>
      </c>
      <c r="G984" s="5" t="s">
        <v>14</v>
      </c>
      <c r="H984" s="5">
        <v>75</v>
      </c>
      <c r="I984" s="96">
        <f t="shared" si="60"/>
        <v>81.533333333333331</v>
      </c>
      <c r="J984" s="5" t="s">
        <v>21</v>
      </c>
      <c r="K984" s="5" t="s">
        <v>22</v>
      </c>
      <c r="L984" s="5">
        <v>1311051600</v>
      </c>
      <c r="M984" s="5">
        <v>1311224400</v>
      </c>
      <c r="N984" s="8">
        <f t="shared" si="61"/>
        <v>40743.208333333336</v>
      </c>
      <c r="O984" s="8">
        <f t="shared" si="62"/>
        <v>40745.208333333336</v>
      </c>
      <c r="P984" s="21" t="str">
        <f>TEXT(CrowdfundingTable[[#This Row],[date_created]],"ddd")</f>
        <v>Tue</v>
      </c>
      <c r="Q984" s="21">
        <f>_xlfn.DAYS(CrowdfundingTable[[#This Row],[date_ended]],CrowdfundingTable[[#This Row],[date_created]])</f>
        <v>2</v>
      </c>
      <c r="R984" s="5" t="b">
        <v>0</v>
      </c>
      <c r="S984" s="5" t="b">
        <v>1</v>
      </c>
      <c r="T984" s="5" t="s">
        <v>42</v>
      </c>
      <c r="U984" s="5" t="s">
        <v>2032</v>
      </c>
      <c r="V984" s="5" t="s">
        <v>2044</v>
      </c>
      <c r="W984" s="5"/>
    </row>
    <row r="985" spans="1:23" ht="17" x14ac:dyDescent="0.2">
      <c r="A985" s="5">
        <v>983</v>
      </c>
      <c r="B985" s="5" t="s">
        <v>1994</v>
      </c>
      <c r="C985" s="6" t="s">
        <v>1995</v>
      </c>
      <c r="D985" s="94">
        <v>129100</v>
      </c>
      <c r="E985" s="94">
        <v>188404</v>
      </c>
      <c r="F985" s="7">
        <f t="shared" si="63"/>
        <v>1.4593648334624323</v>
      </c>
      <c r="G985" s="5" t="s">
        <v>20</v>
      </c>
      <c r="H985" s="5">
        <v>2326</v>
      </c>
      <c r="I985" s="96">
        <f t="shared" si="60"/>
        <v>80.999140154772135</v>
      </c>
      <c r="J985" s="5" t="s">
        <v>21</v>
      </c>
      <c r="K985" s="5" t="s">
        <v>22</v>
      </c>
      <c r="L985" s="5">
        <v>1564894800</v>
      </c>
      <c r="M985" s="5">
        <v>1566190800</v>
      </c>
      <c r="N985" s="8">
        <f t="shared" si="61"/>
        <v>43681.208333333328</v>
      </c>
      <c r="O985" s="8">
        <f t="shared" si="62"/>
        <v>43696.208333333328</v>
      </c>
      <c r="P985" s="21" t="str">
        <f>TEXT(CrowdfundingTable[[#This Row],[date_created]],"ddd")</f>
        <v>Sun</v>
      </c>
      <c r="Q985" s="21">
        <f>_xlfn.DAYS(CrowdfundingTable[[#This Row],[date_ended]],CrowdfundingTable[[#This Row],[date_created]])</f>
        <v>15</v>
      </c>
      <c r="R985" s="5" t="b">
        <v>0</v>
      </c>
      <c r="S985" s="5" t="b">
        <v>0</v>
      </c>
      <c r="T985" s="5" t="s">
        <v>42</v>
      </c>
      <c r="U985" s="5" t="s">
        <v>2032</v>
      </c>
      <c r="V985" s="5" t="s">
        <v>2044</v>
      </c>
      <c r="W985" s="5"/>
    </row>
    <row r="986" spans="1:23" ht="34" x14ac:dyDescent="0.2">
      <c r="A986" s="5">
        <v>984</v>
      </c>
      <c r="B986" s="5" t="s">
        <v>1996</v>
      </c>
      <c r="C986" s="6" t="s">
        <v>1997</v>
      </c>
      <c r="D986" s="94">
        <v>6500</v>
      </c>
      <c r="E986" s="94">
        <v>9910</v>
      </c>
      <c r="F986" s="7">
        <f t="shared" si="63"/>
        <v>1.5246153846153847</v>
      </c>
      <c r="G986" s="5" t="s">
        <v>20</v>
      </c>
      <c r="H986" s="5">
        <v>381</v>
      </c>
      <c r="I986" s="96">
        <f t="shared" si="60"/>
        <v>26.010498687664043</v>
      </c>
      <c r="J986" s="5" t="s">
        <v>21</v>
      </c>
      <c r="K986" s="5" t="s">
        <v>22</v>
      </c>
      <c r="L986" s="5">
        <v>1567918800</v>
      </c>
      <c r="M986" s="5">
        <v>1570165200</v>
      </c>
      <c r="N986" s="8">
        <f t="shared" si="61"/>
        <v>43716.208333333328</v>
      </c>
      <c r="O986" s="8">
        <f t="shared" si="62"/>
        <v>43742.208333333328</v>
      </c>
      <c r="P986" s="21" t="str">
        <f>TEXT(CrowdfundingTable[[#This Row],[date_created]],"ddd")</f>
        <v>Sun</v>
      </c>
      <c r="Q986" s="21">
        <f>_xlfn.DAYS(CrowdfundingTable[[#This Row],[date_ended]],CrowdfundingTable[[#This Row],[date_created]])</f>
        <v>26</v>
      </c>
      <c r="R986" s="5" t="b">
        <v>0</v>
      </c>
      <c r="S986" s="5" t="b">
        <v>0</v>
      </c>
      <c r="T986" s="5" t="s">
        <v>33</v>
      </c>
      <c r="U986" s="5" t="s">
        <v>2040</v>
      </c>
      <c r="V986" s="5" t="s">
        <v>2055</v>
      </c>
      <c r="W986" s="5"/>
    </row>
    <row r="987" spans="1:23" ht="17" x14ac:dyDescent="0.2">
      <c r="A987" s="5">
        <v>985</v>
      </c>
      <c r="B987" s="5" t="s">
        <v>1998</v>
      </c>
      <c r="C987" s="6" t="s">
        <v>1999</v>
      </c>
      <c r="D987" s="94">
        <v>170600</v>
      </c>
      <c r="E987" s="94">
        <v>114523</v>
      </c>
      <c r="F987" s="7">
        <f t="shared" si="63"/>
        <v>0.67129542790152408</v>
      </c>
      <c r="G987" s="5" t="s">
        <v>14</v>
      </c>
      <c r="H987" s="5">
        <v>4405</v>
      </c>
      <c r="I987" s="96">
        <f t="shared" si="60"/>
        <v>25.998410896708286</v>
      </c>
      <c r="J987" s="5" t="s">
        <v>21</v>
      </c>
      <c r="K987" s="5" t="s">
        <v>22</v>
      </c>
      <c r="L987" s="5">
        <v>1386309600</v>
      </c>
      <c r="M987" s="5">
        <v>1388556000</v>
      </c>
      <c r="N987" s="8">
        <f t="shared" si="61"/>
        <v>41614.25</v>
      </c>
      <c r="O987" s="8">
        <f t="shared" si="62"/>
        <v>41640.25</v>
      </c>
      <c r="P987" s="21" t="str">
        <f>TEXT(CrowdfundingTable[[#This Row],[date_created]],"ddd")</f>
        <v>Fri</v>
      </c>
      <c r="Q987" s="21">
        <f>_xlfn.DAYS(CrowdfundingTable[[#This Row],[date_ended]],CrowdfundingTable[[#This Row],[date_created]])</f>
        <v>26</v>
      </c>
      <c r="R987" s="5" t="b">
        <v>0</v>
      </c>
      <c r="S987" s="5" t="b">
        <v>1</v>
      </c>
      <c r="T987" s="5" t="s">
        <v>23</v>
      </c>
      <c r="U987" s="5" t="s">
        <v>2036</v>
      </c>
      <c r="V987" s="5" t="s">
        <v>2057</v>
      </c>
      <c r="W987" s="5"/>
    </row>
    <row r="988" spans="1:23" ht="17" x14ac:dyDescent="0.2">
      <c r="A988" s="5">
        <v>986</v>
      </c>
      <c r="B988" s="5" t="s">
        <v>2000</v>
      </c>
      <c r="C988" s="6" t="s">
        <v>2001</v>
      </c>
      <c r="D988" s="94">
        <v>7800</v>
      </c>
      <c r="E988" s="94">
        <v>3144</v>
      </c>
      <c r="F988" s="7">
        <f t="shared" si="63"/>
        <v>0.40307692307692305</v>
      </c>
      <c r="G988" s="5" t="s">
        <v>14</v>
      </c>
      <c r="H988" s="5">
        <v>92</v>
      </c>
      <c r="I988" s="96">
        <f t="shared" si="60"/>
        <v>34.173913043478258</v>
      </c>
      <c r="J988" s="5" t="s">
        <v>21</v>
      </c>
      <c r="K988" s="5" t="s">
        <v>22</v>
      </c>
      <c r="L988" s="5">
        <v>1301979600</v>
      </c>
      <c r="M988" s="5">
        <v>1303189200</v>
      </c>
      <c r="N988" s="8">
        <f t="shared" si="61"/>
        <v>40638.208333333336</v>
      </c>
      <c r="O988" s="8">
        <f t="shared" si="62"/>
        <v>40652.208333333336</v>
      </c>
      <c r="P988" s="21" t="str">
        <f>TEXT(CrowdfundingTable[[#This Row],[date_created]],"ddd")</f>
        <v>Tue</v>
      </c>
      <c r="Q988" s="21">
        <f>_xlfn.DAYS(CrowdfundingTable[[#This Row],[date_ended]],CrowdfundingTable[[#This Row],[date_created]])</f>
        <v>14</v>
      </c>
      <c r="R988" s="5" t="b">
        <v>0</v>
      </c>
      <c r="S988" s="5" t="b">
        <v>0</v>
      </c>
      <c r="T988" s="5" t="s">
        <v>23</v>
      </c>
      <c r="U988" s="5" t="s">
        <v>2036</v>
      </c>
      <c r="V988" s="5" t="s">
        <v>2057</v>
      </c>
      <c r="W988" s="5"/>
    </row>
    <row r="989" spans="1:23" ht="17" x14ac:dyDescent="0.2">
      <c r="A989" s="5">
        <v>987</v>
      </c>
      <c r="B989" s="5" t="s">
        <v>2002</v>
      </c>
      <c r="C989" s="6" t="s">
        <v>2003</v>
      </c>
      <c r="D989" s="94">
        <v>6200</v>
      </c>
      <c r="E989" s="94">
        <v>13441</v>
      </c>
      <c r="F989" s="7">
        <f t="shared" si="63"/>
        <v>2.1679032258064517</v>
      </c>
      <c r="G989" s="5" t="s">
        <v>20</v>
      </c>
      <c r="H989" s="5">
        <v>480</v>
      </c>
      <c r="I989" s="96">
        <f t="shared" si="60"/>
        <v>28.002083333333335</v>
      </c>
      <c r="J989" s="5" t="s">
        <v>21</v>
      </c>
      <c r="K989" s="5" t="s">
        <v>22</v>
      </c>
      <c r="L989" s="5">
        <v>1493269200</v>
      </c>
      <c r="M989" s="5">
        <v>1494478800</v>
      </c>
      <c r="N989" s="8">
        <f t="shared" si="61"/>
        <v>42852.208333333328</v>
      </c>
      <c r="O989" s="8">
        <f t="shared" si="62"/>
        <v>42866.208333333328</v>
      </c>
      <c r="P989" s="21" t="str">
        <f>TEXT(CrowdfundingTable[[#This Row],[date_created]],"ddd")</f>
        <v>Thu</v>
      </c>
      <c r="Q989" s="21">
        <f>_xlfn.DAYS(CrowdfundingTable[[#This Row],[date_ended]],CrowdfundingTable[[#This Row],[date_created]])</f>
        <v>14</v>
      </c>
      <c r="R989" s="5" t="b">
        <v>0</v>
      </c>
      <c r="S989" s="5" t="b">
        <v>0</v>
      </c>
      <c r="T989" s="5" t="s">
        <v>42</v>
      </c>
      <c r="U989" s="5" t="s">
        <v>2032</v>
      </c>
      <c r="V989" s="5" t="s">
        <v>2044</v>
      </c>
      <c r="W989" s="5"/>
    </row>
    <row r="990" spans="1:23" ht="17" x14ac:dyDescent="0.2">
      <c r="A990" s="5">
        <v>988</v>
      </c>
      <c r="B990" s="5" t="s">
        <v>2004</v>
      </c>
      <c r="C990" s="6" t="s">
        <v>2005</v>
      </c>
      <c r="D990" s="94">
        <v>9400</v>
      </c>
      <c r="E990" s="94">
        <v>4899</v>
      </c>
      <c r="F990" s="7">
        <f t="shared" si="63"/>
        <v>0.52117021276595743</v>
      </c>
      <c r="G990" s="5" t="s">
        <v>14</v>
      </c>
      <c r="H990" s="5">
        <v>64</v>
      </c>
      <c r="I990" s="96">
        <f t="shared" si="60"/>
        <v>76.546875</v>
      </c>
      <c r="J990" s="5" t="s">
        <v>21</v>
      </c>
      <c r="K990" s="5" t="s">
        <v>22</v>
      </c>
      <c r="L990" s="5">
        <v>1478930400</v>
      </c>
      <c r="M990" s="5">
        <v>1480744800</v>
      </c>
      <c r="N990" s="8">
        <f t="shared" si="61"/>
        <v>42686.25</v>
      </c>
      <c r="O990" s="8">
        <f t="shared" si="62"/>
        <v>42707.25</v>
      </c>
      <c r="P990" s="21" t="str">
        <f>TEXT(CrowdfundingTable[[#This Row],[date_created]],"ddd")</f>
        <v>Sat</v>
      </c>
      <c r="Q990" s="21">
        <f>_xlfn.DAYS(CrowdfundingTable[[#This Row],[date_ended]],CrowdfundingTable[[#This Row],[date_created]])</f>
        <v>21</v>
      </c>
      <c r="R990" s="5" t="b">
        <v>0</v>
      </c>
      <c r="S990" s="5" t="b">
        <v>0</v>
      </c>
      <c r="T990" s="5" t="s">
        <v>133</v>
      </c>
      <c r="U990" s="5" t="s">
        <v>2038</v>
      </c>
      <c r="V990" s="5" t="s">
        <v>2056</v>
      </c>
      <c r="W990" s="5"/>
    </row>
    <row r="991" spans="1:23" ht="17" x14ac:dyDescent="0.2">
      <c r="A991" s="5">
        <v>989</v>
      </c>
      <c r="B991" s="5" t="s">
        <v>2006</v>
      </c>
      <c r="C991" s="6" t="s">
        <v>2007</v>
      </c>
      <c r="D991" s="94">
        <v>2400</v>
      </c>
      <c r="E991" s="94">
        <v>11990</v>
      </c>
      <c r="F991" s="7">
        <f t="shared" si="63"/>
        <v>4.9958333333333336</v>
      </c>
      <c r="G991" s="5" t="s">
        <v>20</v>
      </c>
      <c r="H991" s="5">
        <v>226</v>
      </c>
      <c r="I991" s="96">
        <f t="shared" si="60"/>
        <v>53.053097345132741</v>
      </c>
      <c r="J991" s="5" t="s">
        <v>21</v>
      </c>
      <c r="K991" s="5" t="s">
        <v>22</v>
      </c>
      <c r="L991" s="5">
        <v>1555390800</v>
      </c>
      <c r="M991" s="5">
        <v>1555822800</v>
      </c>
      <c r="N991" s="8">
        <f t="shared" si="61"/>
        <v>43571.208333333328</v>
      </c>
      <c r="O991" s="8">
        <f t="shared" si="62"/>
        <v>43576.208333333328</v>
      </c>
      <c r="P991" s="21" t="str">
        <f>TEXT(CrowdfundingTable[[#This Row],[date_created]],"ddd")</f>
        <v>Tue</v>
      </c>
      <c r="Q991" s="21">
        <f>_xlfn.DAYS(CrowdfundingTable[[#This Row],[date_ended]],CrowdfundingTable[[#This Row],[date_created]])</f>
        <v>5</v>
      </c>
      <c r="R991" s="5" t="b">
        <v>0</v>
      </c>
      <c r="S991" s="5" t="b">
        <v>0</v>
      </c>
      <c r="T991" s="5" t="s">
        <v>206</v>
      </c>
      <c r="U991" s="5" t="s">
        <v>2038</v>
      </c>
      <c r="V991" s="5" t="s">
        <v>2061</v>
      </c>
      <c r="W991" s="5"/>
    </row>
    <row r="992" spans="1:23" ht="17" x14ac:dyDescent="0.2">
      <c r="A992" s="5">
        <v>990</v>
      </c>
      <c r="B992" s="5" t="s">
        <v>2008</v>
      </c>
      <c r="C992" s="6" t="s">
        <v>2009</v>
      </c>
      <c r="D992" s="94">
        <v>7800</v>
      </c>
      <c r="E992" s="94">
        <v>6839</v>
      </c>
      <c r="F992" s="7">
        <f t="shared" si="63"/>
        <v>0.87679487179487181</v>
      </c>
      <c r="G992" s="5" t="s">
        <v>14</v>
      </c>
      <c r="H992" s="5">
        <v>64</v>
      </c>
      <c r="I992" s="96">
        <f t="shared" si="60"/>
        <v>106.859375</v>
      </c>
      <c r="J992" s="5" t="s">
        <v>21</v>
      </c>
      <c r="K992" s="5" t="s">
        <v>22</v>
      </c>
      <c r="L992" s="5">
        <v>1456984800</v>
      </c>
      <c r="M992" s="5">
        <v>1458882000</v>
      </c>
      <c r="N992" s="8">
        <f t="shared" si="61"/>
        <v>42432.25</v>
      </c>
      <c r="O992" s="8">
        <f t="shared" si="62"/>
        <v>42454.208333333328</v>
      </c>
      <c r="P992" s="21" t="str">
        <f>TEXT(CrowdfundingTable[[#This Row],[date_created]],"ddd")</f>
        <v>Thu</v>
      </c>
      <c r="Q992" s="21">
        <f>_xlfn.DAYS(CrowdfundingTable[[#This Row],[date_ended]],CrowdfundingTable[[#This Row],[date_created]])</f>
        <v>22</v>
      </c>
      <c r="R992" s="5" t="b">
        <v>0</v>
      </c>
      <c r="S992" s="5" t="b">
        <v>1</v>
      </c>
      <c r="T992" s="5" t="s">
        <v>53</v>
      </c>
      <c r="U992" s="5" t="s">
        <v>2032</v>
      </c>
      <c r="V992" s="5" t="s">
        <v>2045</v>
      </c>
      <c r="W992" s="5"/>
    </row>
    <row r="993" spans="1:23" ht="17" x14ac:dyDescent="0.2">
      <c r="A993" s="5">
        <v>991</v>
      </c>
      <c r="B993" s="5" t="s">
        <v>1080</v>
      </c>
      <c r="C993" s="6" t="s">
        <v>2010</v>
      </c>
      <c r="D993" s="94">
        <v>9800</v>
      </c>
      <c r="E993" s="94">
        <v>11091</v>
      </c>
      <c r="F993" s="7">
        <f t="shared" si="63"/>
        <v>1.131734693877551</v>
      </c>
      <c r="G993" s="5" t="s">
        <v>20</v>
      </c>
      <c r="H993" s="5">
        <v>241</v>
      </c>
      <c r="I993" s="96">
        <f t="shared" si="60"/>
        <v>46.020746887966808</v>
      </c>
      <c r="J993" s="5" t="s">
        <v>21</v>
      </c>
      <c r="K993" s="5" t="s">
        <v>22</v>
      </c>
      <c r="L993" s="5">
        <v>1411621200</v>
      </c>
      <c r="M993" s="5">
        <v>1411966800</v>
      </c>
      <c r="N993" s="8">
        <f t="shared" si="61"/>
        <v>41907.208333333336</v>
      </c>
      <c r="O993" s="8">
        <f t="shared" si="62"/>
        <v>41911.208333333336</v>
      </c>
      <c r="P993" s="21" t="str">
        <f>TEXT(CrowdfundingTable[[#This Row],[date_created]],"ddd")</f>
        <v>Thu</v>
      </c>
      <c r="Q993" s="21">
        <f>_xlfn.DAYS(CrowdfundingTable[[#This Row],[date_ended]],CrowdfundingTable[[#This Row],[date_created]])</f>
        <v>4</v>
      </c>
      <c r="R993" s="5" t="b">
        <v>0</v>
      </c>
      <c r="S993" s="5" t="b">
        <v>1</v>
      </c>
      <c r="T993" s="5" t="s">
        <v>23</v>
      </c>
      <c r="U993" s="5" t="s">
        <v>2036</v>
      </c>
      <c r="V993" s="5" t="s">
        <v>2057</v>
      </c>
      <c r="W993" s="5"/>
    </row>
    <row r="994" spans="1:23" ht="17" x14ac:dyDescent="0.2">
      <c r="A994" s="5">
        <v>992</v>
      </c>
      <c r="B994" s="5" t="s">
        <v>2011</v>
      </c>
      <c r="C994" s="6" t="s">
        <v>2012</v>
      </c>
      <c r="D994" s="94">
        <v>3100</v>
      </c>
      <c r="E994" s="94">
        <v>13223</v>
      </c>
      <c r="F994" s="7">
        <f t="shared" si="63"/>
        <v>4.2654838709677421</v>
      </c>
      <c r="G994" s="5" t="s">
        <v>20</v>
      </c>
      <c r="H994" s="5">
        <v>132</v>
      </c>
      <c r="I994" s="96">
        <f t="shared" si="60"/>
        <v>100.17424242424242</v>
      </c>
      <c r="J994" s="5" t="s">
        <v>21</v>
      </c>
      <c r="K994" s="5" t="s">
        <v>22</v>
      </c>
      <c r="L994" s="5">
        <v>1525669200</v>
      </c>
      <c r="M994" s="5">
        <v>1526878800</v>
      </c>
      <c r="N994" s="8">
        <f t="shared" si="61"/>
        <v>43227.208333333328</v>
      </c>
      <c r="O994" s="8">
        <f t="shared" si="62"/>
        <v>43241.208333333328</v>
      </c>
      <c r="P994" s="21" t="str">
        <f>TEXT(CrowdfundingTable[[#This Row],[date_created]],"ddd")</f>
        <v>Mon</v>
      </c>
      <c r="Q994" s="21">
        <f>_xlfn.DAYS(CrowdfundingTable[[#This Row],[date_ended]],CrowdfundingTable[[#This Row],[date_created]])</f>
        <v>14</v>
      </c>
      <c r="R994" s="5" t="b">
        <v>0</v>
      </c>
      <c r="S994" s="5" t="b">
        <v>1</v>
      </c>
      <c r="T994" s="5" t="s">
        <v>53</v>
      </c>
      <c r="U994" s="5" t="s">
        <v>2032</v>
      </c>
      <c r="V994" s="5" t="s">
        <v>2045</v>
      </c>
      <c r="W994" s="5"/>
    </row>
    <row r="995" spans="1:23" ht="17" x14ac:dyDescent="0.2">
      <c r="A995" s="5">
        <v>993</v>
      </c>
      <c r="B995" s="5" t="s">
        <v>2013</v>
      </c>
      <c r="C995" s="6" t="s">
        <v>2014</v>
      </c>
      <c r="D995" s="94">
        <v>9800</v>
      </c>
      <c r="E995" s="94">
        <v>7608</v>
      </c>
      <c r="F995" s="7">
        <f t="shared" si="63"/>
        <v>0.77632653061224488</v>
      </c>
      <c r="G995" s="5" t="s">
        <v>74</v>
      </c>
      <c r="H995" s="5">
        <v>75</v>
      </c>
      <c r="I995" s="96">
        <f t="shared" si="60"/>
        <v>101.44</v>
      </c>
      <c r="J995" s="5" t="s">
        <v>107</v>
      </c>
      <c r="K995" s="5" t="s">
        <v>108</v>
      </c>
      <c r="L995" s="5">
        <v>1450936800</v>
      </c>
      <c r="M995" s="5">
        <v>1452405600</v>
      </c>
      <c r="N995" s="8">
        <f t="shared" si="61"/>
        <v>42362.25</v>
      </c>
      <c r="O995" s="8">
        <f t="shared" si="62"/>
        <v>42379.25</v>
      </c>
      <c r="P995" s="21" t="str">
        <f>TEXT(CrowdfundingTable[[#This Row],[date_created]],"ddd")</f>
        <v>Thu</v>
      </c>
      <c r="Q995" s="21">
        <f>_xlfn.DAYS(CrowdfundingTable[[#This Row],[date_ended]],CrowdfundingTable[[#This Row],[date_created]])</f>
        <v>17</v>
      </c>
      <c r="R995" s="5" t="b">
        <v>0</v>
      </c>
      <c r="S995" s="5" t="b">
        <v>1</v>
      </c>
      <c r="T995" s="5" t="s">
        <v>122</v>
      </c>
      <c r="U995" s="5" t="s">
        <v>2037</v>
      </c>
      <c r="V995" s="5" t="s">
        <v>2054</v>
      </c>
      <c r="W995" s="5"/>
    </row>
    <row r="996" spans="1:23" ht="17" x14ac:dyDescent="0.2">
      <c r="A996" s="5">
        <v>994</v>
      </c>
      <c r="B996" s="5" t="s">
        <v>2015</v>
      </c>
      <c r="C996" s="6" t="s">
        <v>2016</v>
      </c>
      <c r="D996" s="94">
        <v>141100</v>
      </c>
      <c r="E996" s="94">
        <v>74073</v>
      </c>
      <c r="F996" s="7">
        <f t="shared" si="63"/>
        <v>0.52496810772501767</v>
      </c>
      <c r="G996" s="5" t="s">
        <v>14</v>
      </c>
      <c r="H996" s="5">
        <v>842</v>
      </c>
      <c r="I996" s="96">
        <f t="shared" si="60"/>
        <v>87.972684085510693</v>
      </c>
      <c r="J996" s="5" t="s">
        <v>21</v>
      </c>
      <c r="K996" s="5" t="s">
        <v>22</v>
      </c>
      <c r="L996" s="5">
        <v>1413522000</v>
      </c>
      <c r="M996" s="5">
        <v>1414040400</v>
      </c>
      <c r="N996" s="8">
        <f t="shared" si="61"/>
        <v>41929.208333333336</v>
      </c>
      <c r="O996" s="8">
        <f t="shared" si="62"/>
        <v>41935.208333333336</v>
      </c>
      <c r="P996" s="21" t="str">
        <f>TEXT(CrowdfundingTable[[#This Row],[date_created]],"ddd")</f>
        <v>Fri</v>
      </c>
      <c r="Q996" s="21">
        <f>_xlfn.DAYS(CrowdfundingTable[[#This Row],[date_ended]],CrowdfundingTable[[#This Row],[date_created]])</f>
        <v>6</v>
      </c>
      <c r="R996" s="5" t="b">
        <v>0</v>
      </c>
      <c r="S996" s="5" t="b">
        <v>1</v>
      </c>
      <c r="T996" s="5" t="s">
        <v>206</v>
      </c>
      <c r="U996" s="5" t="s">
        <v>2038</v>
      </c>
      <c r="V996" s="5" t="s">
        <v>2061</v>
      </c>
      <c r="W996" s="5"/>
    </row>
    <row r="997" spans="1:23" ht="17" x14ac:dyDescent="0.2">
      <c r="A997" s="5">
        <v>995</v>
      </c>
      <c r="B997" s="5" t="s">
        <v>2017</v>
      </c>
      <c r="C997" s="6" t="s">
        <v>2018</v>
      </c>
      <c r="D997" s="94">
        <v>97300</v>
      </c>
      <c r="E997" s="94">
        <v>153216</v>
      </c>
      <c r="F997" s="7">
        <f t="shared" si="63"/>
        <v>1.5746762589928058</v>
      </c>
      <c r="G997" s="5" t="s">
        <v>20</v>
      </c>
      <c r="H997" s="5">
        <v>2043</v>
      </c>
      <c r="I997" s="96">
        <f t="shared" si="60"/>
        <v>74.995594713656388</v>
      </c>
      <c r="J997" s="5" t="s">
        <v>21</v>
      </c>
      <c r="K997" s="5" t="s">
        <v>22</v>
      </c>
      <c r="L997" s="5">
        <v>1541307600</v>
      </c>
      <c r="M997" s="5">
        <v>1543816800</v>
      </c>
      <c r="N997" s="8">
        <f t="shared" si="61"/>
        <v>43408.208333333328</v>
      </c>
      <c r="O997" s="8">
        <f t="shared" si="62"/>
        <v>43437.25</v>
      </c>
      <c r="P997" s="21" t="str">
        <f>TEXT(CrowdfundingTable[[#This Row],[date_created]],"ddd")</f>
        <v>Sun</v>
      </c>
      <c r="Q997" s="21">
        <f>_xlfn.DAYS(CrowdfundingTable[[#This Row],[date_ended]],CrowdfundingTable[[#This Row],[date_created]])</f>
        <v>29</v>
      </c>
      <c r="R997" s="5" t="b">
        <v>0</v>
      </c>
      <c r="S997" s="5" t="b">
        <v>1</v>
      </c>
      <c r="T997" s="5" t="s">
        <v>17</v>
      </c>
      <c r="U997" s="5" t="s">
        <v>2033</v>
      </c>
      <c r="V997" s="5" t="s">
        <v>2048</v>
      </c>
      <c r="W997" s="5"/>
    </row>
    <row r="998" spans="1:23" ht="34" x14ac:dyDescent="0.2">
      <c r="A998" s="5">
        <v>996</v>
      </c>
      <c r="B998" s="5" t="s">
        <v>2019</v>
      </c>
      <c r="C998" s="6" t="s">
        <v>2020</v>
      </c>
      <c r="D998" s="94">
        <v>6600</v>
      </c>
      <c r="E998" s="94">
        <v>4814</v>
      </c>
      <c r="F998" s="7">
        <f t="shared" si="63"/>
        <v>0.72939393939393937</v>
      </c>
      <c r="G998" s="5" t="s">
        <v>14</v>
      </c>
      <c r="H998" s="5">
        <v>112</v>
      </c>
      <c r="I998" s="96">
        <f t="shared" si="60"/>
        <v>42.982142857142854</v>
      </c>
      <c r="J998" s="5" t="s">
        <v>21</v>
      </c>
      <c r="K998" s="5" t="s">
        <v>22</v>
      </c>
      <c r="L998" s="5">
        <v>1357106400</v>
      </c>
      <c r="M998" s="5">
        <v>1359698400</v>
      </c>
      <c r="N998" s="8">
        <f t="shared" si="61"/>
        <v>41276.25</v>
      </c>
      <c r="O998" s="8">
        <f t="shared" si="62"/>
        <v>41306.25</v>
      </c>
      <c r="P998" s="21" t="str">
        <f>TEXT(CrowdfundingTable[[#This Row],[date_created]],"ddd")</f>
        <v>Wed</v>
      </c>
      <c r="Q998" s="21">
        <f>_xlfn.DAYS(CrowdfundingTable[[#This Row],[date_ended]],CrowdfundingTable[[#This Row],[date_created]])</f>
        <v>30</v>
      </c>
      <c r="R998" s="5" t="b">
        <v>0</v>
      </c>
      <c r="S998" s="5" t="b">
        <v>0</v>
      </c>
      <c r="T998" s="5" t="s">
        <v>33</v>
      </c>
      <c r="U998" s="5" t="s">
        <v>2040</v>
      </c>
      <c r="V998" s="5" t="s">
        <v>2055</v>
      </c>
      <c r="W998" s="5"/>
    </row>
    <row r="999" spans="1:23" ht="17" x14ac:dyDescent="0.2">
      <c r="A999" s="5">
        <v>997</v>
      </c>
      <c r="B999" s="5" t="s">
        <v>2021</v>
      </c>
      <c r="C999" s="6" t="s">
        <v>2022</v>
      </c>
      <c r="D999" s="94">
        <v>7600</v>
      </c>
      <c r="E999" s="94">
        <v>4603</v>
      </c>
      <c r="F999" s="7">
        <f t="shared" si="63"/>
        <v>0.60565789473684206</v>
      </c>
      <c r="G999" s="5" t="s">
        <v>74</v>
      </c>
      <c r="H999" s="5">
        <v>139</v>
      </c>
      <c r="I999" s="96">
        <f t="shared" si="60"/>
        <v>33.115107913669064</v>
      </c>
      <c r="J999" s="5" t="s">
        <v>107</v>
      </c>
      <c r="K999" s="5" t="s">
        <v>108</v>
      </c>
      <c r="L999" s="5">
        <v>1390197600</v>
      </c>
      <c r="M999" s="5">
        <v>1390629600</v>
      </c>
      <c r="N999" s="8">
        <f t="shared" si="61"/>
        <v>41659.25</v>
      </c>
      <c r="O999" s="8">
        <f t="shared" si="62"/>
        <v>41664.25</v>
      </c>
      <c r="P999" s="21" t="str">
        <f>TEXT(CrowdfundingTable[[#This Row],[date_created]],"ddd")</f>
        <v>Mon</v>
      </c>
      <c r="Q999" s="21">
        <f>_xlfn.DAYS(CrowdfundingTable[[#This Row],[date_ended]],CrowdfundingTable[[#This Row],[date_created]])</f>
        <v>5</v>
      </c>
      <c r="R999" s="5" t="b">
        <v>0</v>
      </c>
      <c r="S999" s="5" t="b">
        <v>0</v>
      </c>
      <c r="T999" s="5" t="s">
        <v>33</v>
      </c>
      <c r="U999" s="5" t="s">
        <v>2040</v>
      </c>
      <c r="V999" s="5" t="s">
        <v>2055</v>
      </c>
      <c r="W999" s="5"/>
    </row>
    <row r="1000" spans="1:23" ht="17" x14ac:dyDescent="0.2">
      <c r="A1000" s="5">
        <v>998</v>
      </c>
      <c r="B1000" s="5" t="s">
        <v>2023</v>
      </c>
      <c r="C1000" s="6" t="s">
        <v>2024</v>
      </c>
      <c r="D1000" s="94">
        <v>66600</v>
      </c>
      <c r="E1000" s="94">
        <v>37823</v>
      </c>
      <c r="F1000" s="7">
        <f t="shared" si="63"/>
        <v>0.5679129129129129</v>
      </c>
      <c r="G1000" s="5" t="s">
        <v>14</v>
      </c>
      <c r="H1000" s="5">
        <v>374</v>
      </c>
      <c r="I1000" s="96">
        <f t="shared" si="60"/>
        <v>101.13101604278074</v>
      </c>
      <c r="J1000" s="5" t="s">
        <v>21</v>
      </c>
      <c r="K1000" s="5" t="s">
        <v>22</v>
      </c>
      <c r="L1000" s="5">
        <v>1265868000</v>
      </c>
      <c r="M1000" s="5">
        <v>1267077600</v>
      </c>
      <c r="N1000" s="8">
        <f t="shared" si="61"/>
        <v>40220.25</v>
      </c>
      <c r="O1000" s="8">
        <f t="shared" si="62"/>
        <v>40234.25</v>
      </c>
      <c r="P1000" s="21" t="str">
        <f>TEXT(CrowdfundingTable[[#This Row],[date_created]],"ddd")</f>
        <v>Thu</v>
      </c>
      <c r="Q1000" s="21">
        <f>_xlfn.DAYS(CrowdfundingTable[[#This Row],[date_ended]],CrowdfundingTable[[#This Row],[date_created]])</f>
        <v>14</v>
      </c>
      <c r="R1000" s="5" t="b">
        <v>0</v>
      </c>
      <c r="S1000" s="5" t="b">
        <v>1</v>
      </c>
      <c r="T1000" s="5" t="s">
        <v>60</v>
      </c>
      <c r="U1000" s="5" t="s">
        <v>2036</v>
      </c>
      <c r="V1000" s="5" t="s">
        <v>2049</v>
      </c>
      <c r="W1000" s="5"/>
    </row>
    <row r="1001" spans="1:23" ht="17" x14ac:dyDescent="0.2">
      <c r="A1001" s="5">
        <v>999</v>
      </c>
      <c r="B1001" s="5" t="s">
        <v>2025</v>
      </c>
      <c r="C1001" s="6" t="s">
        <v>2026</v>
      </c>
      <c r="D1001" s="94">
        <v>111100</v>
      </c>
      <c r="E1001" s="94">
        <v>62819</v>
      </c>
      <c r="F1001" s="7">
        <f t="shared" si="63"/>
        <v>0.56542754275427543</v>
      </c>
      <c r="G1001" s="5" t="s">
        <v>74</v>
      </c>
      <c r="H1001" s="5">
        <v>1122</v>
      </c>
      <c r="I1001" s="96">
        <f t="shared" si="60"/>
        <v>55.98841354723708</v>
      </c>
      <c r="J1001" s="5" t="s">
        <v>21</v>
      </c>
      <c r="K1001" s="5" t="s">
        <v>22</v>
      </c>
      <c r="L1001" s="5">
        <v>1467176400</v>
      </c>
      <c r="M1001" s="5">
        <v>1467781200</v>
      </c>
      <c r="N1001" s="8">
        <f t="shared" si="61"/>
        <v>42550.208333333328</v>
      </c>
      <c r="O1001" s="8">
        <f t="shared" si="62"/>
        <v>42557.208333333328</v>
      </c>
      <c r="P1001" s="21" t="str">
        <f>TEXT(CrowdfundingTable[[#This Row],[date_created]],"ddd")</f>
        <v>Wed</v>
      </c>
      <c r="Q1001" s="21">
        <f>_xlfn.DAYS(CrowdfundingTable[[#This Row],[date_ended]],CrowdfundingTable[[#This Row],[date_created]])</f>
        <v>7</v>
      </c>
      <c r="R1001" s="5" t="b">
        <v>0</v>
      </c>
      <c r="S1001" s="5" t="b">
        <v>0</v>
      </c>
      <c r="T1001" s="5" t="s">
        <v>17</v>
      </c>
      <c r="U1001" s="5" t="s">
        <v>2033</v>
      </c>
      <c r="V1001" s="5" t="s">
        <v>2048</v>
      </c>
      <c r="W1001" s="5"/>
    </row>
  </sheetData>
  <phoneticPr fontId="18" type="noConversion"/>
  <conditionalFormatting sqref="F2:F1001">
    <cfRule type="cellIs" dxfId="6" priority="1" operator="greaterThanOrEqual">
      <formula>2</formula>
    </cfRule>
    <cfRule type="cellIs" dxfId="5" priority="2" operator="between">
      <formula>1</formula>
      <formula>1.9999999</formula>
    </cfRule>
    <cfRule type="cellIs" dxfId="4" priority="3" operator="between">
      <formula>0</formula>
      <formula>0.9999999</formula>
    </cfRule>
  </conditionalFormatting>
  <conditionalFormatting sqref="G1:G1001">
    <cfRule type="cellIs" dxfId="3" priority="8" stopIfTrue="1" operator="equal">
      <formula>"live"</formula>
    </cfRule>
    <cfRule type="cellIs" dxfId="2" priority="9" stopIfTrue="1" operator="equal">
      <formula>"canceled"</formula>
    </cfRule>
    <cfRule type="cellIs" dxfId="1" priority="10" stopIfTrue="1" operator="equal">
      <formula>"failed"</formula>
    </cfRule>
    <cfRule type="cellIs" dxfId="0" priority="11" stopIfTrue="1" operator="equal">
      <formula>"successful"</formula>
    </cfRule>
  </conditionalFormatting>
  <pageMargins left="0.75" right="0.75" top="1" bottom="1" header="0.5" footer="0.5"/>
  <pageSetup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1953A-712A-6A48-9132-CD5C0AE13D43}">
  <dimension ref="A1:F39"/>
  <sheetViews>
    <sheetView zoomScale="120" zoomScaleNormal="120" workbookViewId="0">
      <selection activeCell="A3" sqref="A3"/>
    </sheetView>
  </sheetViews>
  <sheetFormatPr baseColWidth="10" defaultRowHeight="16" x14ac:dyDescent="0.2"/>
  <cols>
    <col min="1" max="1" width="15.83203125" style="5" customWidth="1"/>
    <col min="2" max="2" width="15.83203125" style="21" customWidth="1"/>
    <col min="3" max="6" width="10.83203125" style="21" customWidth="1"/>
    <col min="7" max="22" width="10.83203125" style="5" customWidth="1"/>
    <col min="23" max="24" width="29.83203125" style="5" bestFit="1" customWidth="1"/>
    <col min="25" max="16384" width="10.83203125" style="5"/>
  </cols>
  <sheetData>
    <row r="1" spans="1:6" x14ac:dyDescent="0.2">
      <c r="A1" s="9" t="s">
        <v>6</v>
      </c>
      <c r="B1" s="5" t="s">
        <v>2041</v>
      </c>
    </row>
    <row r="2" spans="1:6" x14ac:dyDescent="0.2">
      <c r="A2" s="9" t="s">
        <v>2078</v>
      </c>
      <c r="B2" s="5" t="s">
        <v>2041</v>
      </c>
    </row>
    <row r="4" spans="1:6" x14ac:dyDescent="0.2">
      <c r="A4" s="9" t="s">
        <v>2028</v>
      </c>
      <c r="B4" s="22" t="s">
        <v>2029</v>
      </c>
    </row>
    <row r="5" spans="1:6" x14ac:dyDescent="0.2">
      <c r="A5" s="9" t="s">
        <v>2031</v>
      </c>
      <c r="B5" s="21" t="s">
        <v>74</v>
      </c>
      <c r="C5" s="21" t="s">
        <v>14</v>
      </c>
      <c r="D5" s="21" t="s">
        <v>47</v>
      </c>
      <c r="E5" s="21" t="s">
        <v>20</v>
      </c>
      <c r="F5" s="21" t="s">
        <v>2030</v>
      </c>
    </row>
    <row r="6" spans="1:6" x14ac:dyDescent="0.2">
      <c r="A6" s="10" t="s">
        <v>2032</v>
      </c>
      <c r="B6" s="21">
        <v>11</v>
      </c>
      <c r="C6" s="21">
        <v>60</v>
      </c>
      <c r="D6" s="21">
        <v>5</v>
      </c>
      <c r="E6" s="21">
        <v>102</v>
      </c>
      <c r="F6" s="21">
        <v>178</v>
      </c>
    </row>
    <row r="7" spans="1:6" x14ac:dyDescent="0.2">
      <c r="A7" s="18" t="s">
        <v>2042</v>
      </c>
      <c r="B7" s="21">
        <v>1</v>
      </c>
      <c r="C7" s="21">
        <v>10</v>
      </c>
      <c r="D7" s="21">
        <v>2</v>
      </c>
      <c r="E7" s="21">
        <v>21</v>
      </c>
      <c r="F7" s="21">
        <v>34</v>
      </c>
    </row>
    <row r="8" spans="1:6" x14ac:dyDescent="0.2">
      <c r="A8" s="18" t="s">
        <v>2044</v>
      </c>
      <c r="B8" s="21">
        <v>4</v>
      </c>
      <c r="C8" s="21">
        <v>21</v>
      </c>
      <c r="D8" s="21">
        <v>1</v>
      </c>
      <c r="E8" s="21">
        <v>34</v>
      </c>
      <c r="F8" s="21">
        <v>60</v>
      </c>
    </row>
    <row r="9" spans="1:6" x14ac:dyDescent="0.2">
      <c r="A9" s="18" t="s">
        <v>2045</v>
      </c>
      <c r="B9" s="21">
        <v>2</v>
      </c>
      <c r="C9" s="21">
        <v>12</v>
      </c>
      <c r="D9" s="21">
        <v>1</v>
      </c>
      <c r="E9" s="21">
        <v>22</v>
      </c>
      <c r="F9" s="21">
        <v>37</v>
      </c>
    </row>
    <row r="10" spans="1:6" x14ac:dyDescent="0.2">
      <c r="A10" s="18" t="s">
        <v>2058</v>
      </c>
      <c r="C10" s="21">
        <v>9</v>
      </c>
      <c r="E10" s="21">
        <v>5</v>
      </c>
      <c r="F10" s="21">
        <v>14</v>
      </c>
    </row>
    <row r="11" spans="1:6" x14ac:dyDescent="0.2">
      <c r="A11" s="18" t="s">
        <v>2059</v>
      </c>
      <c r="B11" s="21">
        <v>1</v>
      </c>
      <c r="C11" s="21">
        <v>5</v>
      </c>
      <c r="D11" s="21">
        <v>1</v>
      </c>
      <c r="E11" s="21">
        <v>9</v>
      </c>
      <c r="F11" s="21">
        <v>16</v>
      </c>
    </row>
    <row r="12" spans="1:6" x14ac:dyDescent="0.2">
      <c r="A12" s="18" t="s">
        <v>2060</v>
      </c>
      <c r="B12" s="21">
        <v>3</v>
      </c>
      <c r="C12" s="21">
        <v>3</v>
      </c>
      <c r="E12" s="21">
        <v>11</v>
      </c>
      <c r="F12" s="21">
        <v>17</v>
      </c>
    </row>
    <row r="13" spans="1:6" x14ac:dyDescent="0.2">
      <c r="A13" s="10" t="s">
        <v>2033</v>
      </c>
      <c r="B13" s="21">
        <v>4</v>
      </c>
      <c r="C13" s="21">
        <v>20</v>
      </c>
      <c r="E13" s="21">
        <v>22</v>
      </c>
      <c r="F13" s="21">
        <v>46</v>
      </c>
    </row>
    <row r="14" spans="1:6" x14ac:dyDescent="0.2">
      <c r="A14" s="18" t="s">
        <v>2048</v>
      </c>
      <c r="B14" s="21">
        <v>4</v>
      </c>
      <c r="C14" s="21">
        <v>20</v>
      </c>
      <c r="E14" s="21">
        <v>22</v>
      </c>
      <c r="F14" s="21">
        <v>46</v>
      </c>
    </row>
    <row r="15" spans="1:6" x14ac:dyDescent="0.2">
      <c r="A15" s="10" t="s">
        <v>2034</v>
      </c>
      <c r="B15" s="21">
        <v>1</v>
      </c>
      <c r="C15" s="21">
        <v>23</v>
      </c>
      <c r="D15" s="21">
        <v>3</v>
      </c>
      <c r="E15" s="21">
        <v>21</v>
      </c>
      <c r="F15" s="21">
        <v>48</v>
      </c>
    </row>
    <row r="16" spans="1:6" x14ac:dyDescent="0.2">
      <c r="A16" s="18" t="s">
        <v>2052</v>
      </c>
      <c r="C16" s="21">
        <v>8</v>
      </c>
      <c r="D16" s="21">
        <v>1</v>
      </c>
      <c r="E16" s="21">
        <v>4</v>
      </c>
      <c r="F16" s="21">
        <v>13</v>
      </c>
    </row>
    <row r="17" spans="1:6" x14ac:dyDescent="0.2">
      <c r="A17" s="18" t="s">
        <v>2062</v>
      </c>
      <c r="B17" s="21">
        <v>1</v>
      </c>
      <c r="C17" s="21">
        <v>15</v>
      </c>
      <c r="D17" s="21">
        <v>2</v>
      </c>
      <c r="E17" s="21">
        <v>17</v>
      </c>
      <c r="F17" s="21">
        <v>35</v>
      </c>
    </row>
    <row r="18" spans="1:6" x14ac:dyDescent="0.2">
      <c r="A18" s="10" t="s">
        <v>2035</v>
      </c>
      <c r="E18" s="21">
        <v>4</v>
      </c>
      <c r="F18" s="21">
        <v>4</v>
      </c>
    </row>
    <row r="19" spans="1:6" x14ac:dyDescent="0.2">
      <c r="A19" s="18" t="s">
        <v>2043</v>
      </c>
      <c r="E19" s="21">
        <v>4</v>
      </c>
      <c r="F19" s="21">
        <v>4</v>
      </c>
    </row>
    <row r="20" spans="1:6" x14ac:dyDescent="0.2">
      <c r="A20" s="10" t="s">
        <v>2036</v>
      </c>
      <c r="B20" s="21">
        <v>10</v>
      </c>
      <c r="C20" s="21">
        <v>66</v>
      </c>
      <c r="E20" s="21">
        <v>99</v>
      </c>
      <c r="F20" s="21">
        <v>175</v>
      </c>
    </row>
    <row r="21" spans="1:6" x14ac:dyDescent="0.2">
      <c r="A21" s="18" t="s">
        <v>2046</v>
      </c>
      <c r="C21" s="21">
        <v>8</v>
      </c>
      <c r="E21" s="21">
        <v>10</v>
      </c>
      <c r="F21" s="21">
        <v>18</v>
      </c>
    </row>
    <row r="22" spans="1:6" x14ac:dyDescent="0.2">
      <c r="A22" s="18" t="s">
        <v>2049</v>
      </c>
      <c r="B22" s="21">
        <v>3</v>
      </c>
      <c r="C22" s="21">
        <v>19</v>
      </c>
      <c r="E22" s="21">
        <v>23</v>
      </c>
      <c r="F22" s="21">
        <v>45</v>
      </c>
    </row>
    <row r="23" spans="1:6" x14ac:dyDescent="0.2">
      <c r="A23" s="18" t="s">
        <v>2050</v>
      </c>
      <c r="B23" s="21">
        <v>1</v>
      </c>
      <c r="C23" s="21">
        <v>6</v>
      </c>
      <c r="E23" s="21">
        <v>10</v>
      </c>
      <c r="F23" s="21">
        <v>17</v>
      </c>
    </row>
    <row r="24" spans="1:6" x14ac:dyDescent="0.2">
      <c r="A24" s="18" t="s">
        <v>2051</v>
      </c>
      <c r="C24" s="21">
        <v>3</v>
      </c>
      <c r="E24" s="21">
        <v>4</v>
      </c>
      <c r="F24" s="21">
        <v>7</v>
      </c>
    </row>
    <row r="25" spans="1:6" x14ac:dyDescent="0.2">
      <c r="A25" s="18" t="s">
        <v>2057</v>
      </c>
      <c r="B25" s="21">
        <v>6</v>
      </c>
      <c r="C25" s="21">
        <v>30</v>
      </c>
      <c r="E25" s="21">
        <v>49</v>
      </c>
      <c r="F25" s="21">
        <v>85</v>
      </c>
    </row>
    <row r="26" spans="1:6" x14ac:dyDescent="0.2">
      <c r="A26" s="18" t="s">
        <v>2065</v>
      </c>
      <c r="E26" s="21">
        <v>3</v>
      </c>
      <c r="F26" s="21">
        <v>3</v>
      </c>
    </row>
    <row r="27" spans="1:6" x14ac:dyDescent="0.2">
      <c r="A27" s="10" t="s">
        <v>2037</v>
      </c>
      <c r="B27" s="21">
        <v>4</v>
      </c>
      <c r="C27" s="21">
        <v>11</v>
      </c>
      <c r="D27" s="21">
        <v>1</v>
      </c>
      <c r="E27" s="21">
        <v>26</v>
      </c>
      <c r="F27" s="21">
        <v>42</v>
      </c>
    </row>
    <row r="28" spans="1:6" x14ac:dyDescent="0.2">
      <c r="A28" s="18" t="s">
        <v>2054</v>
      </c>
      <c r="B28" s="21">
        <v>4</v>
      </c>
      <c r="C28" s="21">
        <v>11</v>
      </c>
      <c r="D28" s="21">
        <v>1</v>
      </c>
      <c r="E28" s="21">
        <v>26</v>
      </c>
      <c r="F28" s="21">
        <v>42</v>
      </c>
    </row>
    <row r="29" spans="1:6" x14ac:dyDescent="0.2">
      <c r="A29" s="10" t="s">
        <v>2038</v>
      </c>
      <c r="B29" s="21">
        <v>2</v>
      </c>
      <c r="C29" s="21">
        <v>24</v>
      </c>
      <c r="D29" s="21">
        <v>1</v>
      </c>
      <c r="E29" s="21">
        <v>40</v>
      </c>
      <c r="F29" s="21">
        <v>67</v>
      </c>
    </row>
    <row r="30" spans="1:6" x14ac:dyDescent="0.2">
      <c r="A30" s="18" t="s">
        <v>2047</v>
      </c>
      <c r="B30" s="21">
        <v>1</v>
      </c>
      <c r="C30" s="21">
        <v>7</v>
      </c>
      <c r="E30" s="21">
        <v>9</v>
      </c>
      <c r="F30" s="21">
        <v>17</v>
      </c>
    </row>
    <row r="31" spans="1:6" x14ac:dyDescent="0.2">
      <c r="A31" s="18" t="s">
        <v>2053</v>
      </c>
      <c r="B31" s="21">
        <v>1</v>
      </c>
      <c r="C31" s="21">
        <v>6</v>
      </c>
      <c r="D31" s="21">
        <v>1</v>
      </c>
      <c r="E31" s="21">
        <v>13</v>
      </c>
      <c r="F31" s="21">
        <v>21</v>
      </c>
    </row>
    <row r="32" spans="1:6" x14ac:dyDescent="0.2">
      <c r="A32" s="18" t="s">
        <v>2056</v>
      </c>
      <c r="C32" s="21">
        <v>4</v>
      </c>
      <c r="E32" s="21">
        <v>4</v>
      </c>
      <c r="F32" s="21">
        <v>8</v>
      </c>
    </row>
    <row r="33" spans="1:6" x14ac:dyDescent="0.2">
      <c r="A33" s="18" t="s">
        <v>2061</v>
      </c>
      <c r="C33" s="21">
        <v>7</v>
      </c>
      <c r="E33" s="21">
        <v>14</v>
      </c>
      <c r="F33" s="21">
        <v>21</v>
      </c>
    </row>
    <row r="34" spans="1:6" x14ac:dyDescent="0.2">
      <c r="A34" s="10" t="s">
        <v>2039</v>
      </c>
      <c r="B34" s="21">
        <v>2</v>
      </c>
      <c r="C34" s="21">
        <v>28</v>
      </c>
      <c r="D34" s="21">
        <v>2</v>
      </c>
      <c r="E34" s="21">
        <v>64</v>
      </c>
      <c r="F34" s="21">
        <v>96</v>
      </c>
    </row>
    <row r="35" spans="1:6" x14ac:dyDescent="0.2">
      <c r="A35" s="18" t="s">
        <v>2063</v>
      </c>
      <c r="C35" s="21">
        <v>16</v>
      </c>
      <c r="D35" s="21">
        <v>1</v>
      </c>
      <c r="E35" s="21">
        <v>28</v>
      </c>
      <c r="F35" s="21">
        <v>45</v>
      </c>
    </row>
    <row r="36" spans="1:6" x14ac:dyDescent="0.2">
      <c r="A36" s="18" t="s">
        <v>2064</v>
      </c>
      <c r="B36" s="21">
        <v>2</v>
      </c>
      <c r="C36" s="21">
        <v>12</v>
      </c>
      <c r="D36" s="21">
        <v>1</v>
      </c>
      <c r="E36" s="21">
        <v>36</v>
      </c>
      <c r="F36" s="21">
        <v>51</v>
      </c>
    </row>
    <row r="37" spans="1:6" x14ac:dyDescent="0.2">
      <c r="A37" s="10" t="s">
        <v>2040</v>
      </c>
      <c r="B37" s="21">
        <v>23</v>
      </c>
      <c r="C37" s="21">
        <v>132</v>
      </c>
      <c r="D37" s="21">
        <v>2</v>
      </c>
      <c r="E37" s="21">
        <v>187</v>
      </c>
      <c r="F37" s="21">
        <v>344</v>
      </c>
    </row>
    <row r="38" spans="1:6" x14ac:dyDescent="0.2">
      <c r="A38" s="18" t="s">
        <v>2055</v>
      </c>
      <c r="B38" s="21">
        <v>23</v>
      </c>
      <c r="C38" s="21">
        <v>132</v>
      </c>
      <c r="D38" s="21">
        <v>2</v>
      </c>
      <c r="E38" s="21">
        <v>187</v>
      </c>
      <c r="F38" s="21">
        <v>344</v>
      </c>
    </row>
    <row r="39" spans="1:6" x14ac:dyDescent="0.2">
      <c r="A39" s="10" t="s">
        <v>2030</v>
      </c>
      <c r="B39" s="21">
        <v>57</v>
      </c>
      <c r="C39" s="21">
        <v>364</v>
      </c>
      <c r="D39" s="21">
        <v>14</v>
      </c>
      <c r="E39" s="21">
        <v>565</v>
      </c>
      <c r="F39" s="21">
        <v>1000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B4FE0-F824-EF42-B41D-C5AF985FF96C}">
  <dimension ref="A1:ALE39"/>
  <sheetViews>
    <sheetView zoomScale="120" zoomScaleNormal="120" workbookViewId="0">
      <selection activeCell="A3" sqref="A3"/>
    </sheetView>
  </sheetViews>
  <sheetFormatPr baseColWidth="10" defaultRowHeight="16" x14ac:dyDescent="0.2"/>
  <cols>
    <col min="1" max="1" width="15.83203125" style="5" customWidth="1"/>
    <col min="2" max="2" width="15.83203125" style="21" customWidth="1"/>
    <col min="3" max="6" width="10.83203125" style="21" customWidth="1"/>
    <col min="7" max="11" width="10.83203125" style="5"/>
    <col min="994" max="16384" width="10.83203125" style="5"/>
  </cols>
  <sheetData>
    <row r="1" spans="1:6" s="5" customFormat="1" x14ac:dyDescent="0.2">
      <c r="A1" s="9" t="s">
        <v>6</v>
      </c>
      <c r="B1" s="21" t="s">
        <v>2041</v>
      </c>
      <c r="C1" s="21"/>
      <c r="D1" s="21"/>
      <c r="E1" s="21"/>
      <c r="F1" s="21"/>
    </row>
    <row r="2" spans="1:6" s="5" customFormat="1" x14ac:dyDescent="0.2">
      <c r="A2" s="9" t="s">
        <v>2078</v>
      </c>
      <c r="B2" s="21" t="s">
        <v>2041</v>
      </c>
      <c r="C2" s="21"/>
      <c r="D2" s="21"/>
      <c r="E2" s="21"/>
      <c r="F2" s="21"/>
    </row>
    <row r="3" spans="1:6" s="5" customFormat="1" x14ac:dyDescent="0.2">
      <c r="B3" s="21"/>
      <c r="C3" s="21"/>
      <c r="D3" s="21"/>
      <c r="E3" s="21"/>
      <c r="F3" s="21"/>
    </row>
    <row r="4" spans="1:6" s="5" customFormat="1" x14ac:dyDescent="0.2">
      <c r="A4" s="9" t="s">
        <v>2228</v>
      </c>
      <c r="B4" s="22" t="s">
        <v>2029</v>
      </c>
      <c r="C4" s="21"/>
      <c r="D4" s="21"/>
      <c r="E4" s="21"/>
      <c r="F4" s="21"/>
    </row>
    <row r="5" spans="1:6" s="5" customFormat="1" x14ac:dyDescent="0.2">
      <c r="A5" s="9" t="s">
        <v>2031</v>
      </c>
      <c r="B5" s="21" t="s">
        <v>74</v>
      </c>
      <c r="C5" s="21" t="s">
        <v>14</v>
      </c>
      <c r="D5" s="21" t="s">
        <v>47</v>
      </c>
      <c r="E5" s="21" t="s">
        <v>20</v>
      </c>
      <c r="F5" s="21" t="s">
        <v>2030</v>
      </c>
    </row>
    <row r="6" spans="1:6" s="5" customFormat="1" x14ac:dyDescent="0.2">
      <c r="A6" s="10" t="s">
        <v>2032</v>
      </c>
      <c r="B6" s="61">
        <v>0.45857997962176905</v>
      </c>
      <c r="C6" s="61">
        <v>0.51656023819084629</v>
      </c>
      <c r="D6" s="61">
        <v>0.57172845068661471</v>
      </c>
      <c r="E6" s="61">
        <v>3.038011294772081</v>
      </c>
      <c r="F6" s="61">
        <v>1.9594033055476159</v>
      </c>
    </row>
    <row r="7" spans="1:6" s="5" customFormat="1" x14ac:dyDescent="0.2">
      <c r="A7" s="18" t="s">
        <v>2042</v>
      </c>
      <c r="B7" s="61">
        <v>0.34959979476654696</v>
      </c>
      <c r="C7" s="61">
        <v>0.44051362753993806</v>
      </c>
      <c r="D7" s="61">
        <v>0.75119744942832023</v>
      </c>
      <c r="E7" s="61">
        <v>3.3387928677950391</v>
      </c>
      <c r="F7" s="61">
        <v>2.2462288586093644</v>
      </c>
    </row>
    <row r="8" spans="1:6" s="5" customFormat="1" x14ac:dyDescent="0.2">
      <c r="A8" s="18" t="s">
        <v>2044</v>
      </c>
      <c r="B8" s="61">
        <v>0.70523297951490527</v>
      </c>
      <c r="C8" s="61">
        <v>0.53165931407028344</v>
      </c>
      <c r="D8" s="61">
        <v>0.21188688946015424</v>
      </c>
      <c r="E8" s="61">
        <v>3.0038865768571092</v>
      </c>
      <c r="F8" s="61">
        <v>1.9388301336022906</v>
      </c>
    </row>
    <row r="9" spans="1:6" s="5" customFormat="1" x14ac:dyDescent="0.2">
      <c r="A9" s="18" t="s">
        <v>2045</v>
      </c>
      <c r="B9" s="61">
        <v>0.1062753805258175</v>
      </c>
      <c r="C9" s="61">
        <v>0.56339520171234714</v>
      </c>
      <c r="D9" s="61">
        <v>0.56186046511627907</v>
      </c>
      <c r="E9" s="61">
        <v>3.1334786137693582</v>
      </c>
      <c r="F9" s="61">
        <v>2.0668022472876206</v>
      </c>
    </row>
    <row r="10" spans="1:6" s="5" customFormat="1" x14ac:dyDescent="0.2">
      <c r="A10" s="18" t="s">
        <v>2058</v>
      </c>
      <c r="B10" s="61"/>
      <c r="C10" s="61">
        <v>0.39775078667280928</v>
      </c>
      <c r="D10" s="61"/>
      <c r="E10" s="61">
        <v>2.4974337710419188</v>
      </c>
      <c r="F10" s="61">
        <v>1.1476375668046341</v>
      </c>
    </row>
    <row r="11" spans="1:6" s="5" customFormat="1" x14ac:dyDescent="0.2">
      <c r="A11" s="18" t="s">
        <v>2059</v>
      </c>
      <c r="B11" s="61">
        <v>0.23995287958115183</v>
      </c>
      <c r="C11" s="61">
        <v>0.69915252667916472</v>
      </c>
      <c r="D11" s="61">
        <v>0.58250000000000002</v>
      </c>
      <c r="E11" s="61">
        <v>3.3460965565691962</v>
      </c>
      <c r="F11" s="61">
        <v>2.1520677826312342</v>
      </c>
    </row>
    <row r="12" spans="1:6" s="5" customFormat="1" x14ac:dyDescent="0.2">
      <c r="A12" s="18" t="s">
        <v>2060</v>
      </c>
      <c r="B12" s="61">
        <v>0.47378147412683513</v>
      </c>
      <c r="C12" s="61">
        <v>0.52912342885872299</v>
      </c>
      <c r="D12" s="61"/>
      <c r="E12" s="61">
        <v>2.3719809875142306</v>
      </c>
      <c r="F12" s="61">
        <v>1.7117944453890124</v>
      </c>
    </row>
    <row r="13" spans="1:6" s="5" customFormat="1" x14ac:dyDescent="0.2">
      <c r="A13" s="10" t="s">
        <v>2033</v>
      </c>
      <c r="B13" s="61">
        <v>0.50408392077792952</v>
      </c>
      <c r="C13" s="61">
        <v>0.49629510452741077</v>
      </c>
      <c r="D13" s="61"/>
      <c r="E13" s="61">
        <v>3.9271729296190188</v>
      </c>
      <c r="F13" s="61">
        <v>2.1378270048973547</v>
      </c>
    </row>
    <row r="14" spans="1:6" s="5" customFormat="1" x14ac:dyDescent="0.2">
      <c r="A14" s="18" t="s">
        <v>2048</v>
      </c>
      <c r="B14" s="61">
        <v>0.50408392077792952</v>
      </c>
      <c r="C14" s="61">
        <v>0.49629510452741077</v>
      </c>
      <c r="D14" s="61"/>
      <c r="E14" s="61">
        <v>3.9271729296190188</v>
      </c>
      <c r="F14" s="61">
        <v>2.1378270048973547</v>
      </c>
    </row>
    <row r="15" spans="1:6" s="5" customFormat="1" x14ac:dyDescent="0.2">
      <c r="A15" s="10" t="s">
        <v>2034</v>
      </c>
      <c r="B15" s="61">
        <v>0.27176538240368026</v>
      </c>
      <c r="C15" s="61">
        <v>0.51149586294800553</v>
      </c>
      <c r="D15" s="61">
        <v>0.51516823837395798</v>
      </c>
      <c r="E15" s="61">
        <v>4.2327344936844282</v>
      </c>
      <c r="F15" s="61">
        <v>2.1347729023479727</v>
      </c>
    </row>
    <row r="16" spans="1:6" s="5" customFormat="1" x14ac:dyDescent="0.2">
      <c r="A16" s="18" t="s">
        <v>2052</v>
      </c>
      <c r="B16" s="61"/>
      <c r="C16" s="61">
        <v>0.51944760289267777</v>
      </c>
      <c r="D16" s="61">
        <v>0.36132726089785294</v>
      </c>
      <c r="E16" s="61">
        <v>1.8081137174446149</v>
      </c>
      <c r="F16" s="61">
        <v>0.9037971502936718</v>
      </c>
    </row>
    <row r="17" spans="1:6" s="5" customFormat="1" x14ac:dyDescent="0.2">
      <c r="A17" s="18" t="s">
        <v>2062</v>
      </c>
      <c r="B17" s="61">
        <v>0.27176538240368026</v>
      </c>
      <c r="C17" s="61">
        <v>0.50725493497751384</v>
      </c>
      <c r="D17" s="61">
        <v>0.59208872711201055</v>
      </c>
      <c r="E17" s="61">
        <v>4.8032334998585027</v>
      </c>
      <c r="F17" s="61">
        <v>2.5919924673967127</v>
      </c>
    </row>
    <row r="18" spans="1:6" s="5" customFormat="1" x14ac:dyDescent="0.2">
      <c r="A18" s="10" t="s">
        <v>2035</v>
      </c>
      <c r="B18" s="61"/>
      <c r="C18" s="61"/>
      <c r="D18" s="61"/>
      <c r="E18" s="61">
        <v>1.5062984968701985</v>
      </c>
      <c r="F18" s="61">
        <v>1.5062984968701985</v>
      </c>
    </row>
    <row r="19" spans="1:6" s="5" customFormat="1" x14ac:dyDescent="0.2">
      <c r="A19" s="18" t="s">
        <v>2043</v>
      </c>
      <c r="B19" s="61"/>
      <c r="C19" s="61"/>
      <c r="D19" s="61"/>
      <c r="E19" s="61">
        <v>1.5062984968701985</v>
      </c>
      <c r="F19" s="61">
        <v>1.5062984968701985</v>
      </c>
    </row>
    <row r="20" spans="1:6" s="5" customFormat="1" x14ac:dyDescent="0.2">
      <c r="A20" s="10" t="s">
        <v>2036</v>
      </c>
      <c r="B20" s="61">
        <v>0.38498632511677078</v>
      </c>
      <c r="C20" s="61">
        <v>0.45803202584347197</v>
      </c>
      <c r="D20" s="61"/>
      <c r="E20" s="61">
        <v>3.2937500761376866</v>
      </c>
      <c r="F20" s="61">
        <v>2.0580641971112454</v>
      </c>
    </row>
    <row r="21" spans="1:6" s="5" customFormat="1" x14ac:dyDescent="0.2">
      <c r="A21" s="18" t="s">
        <v>2046</v>
      </c>
      <c r="B21" s="61"/>
      <c r="C21" s="61">
        <v>0.37679820833214578</v>
      </c>
      <c r="D21" s="61"/>
      <c r="E21" s="61">
        <v>3.7954948133488573</v>
      </c>
      <c r="F21" s="61">
        <v>2.2760741000080968</v>
      </c>
    </row>
    <row r="22" spans="1:6" s="5" customFormat="1" x14ac:dyDescent="0.2">
      <c r="A22" s="18" t="s">
        <v>2049</v>
      </c>
      <c r="B22" s="61">
        <v>0.30187572590011619</v>
      </c>
      <c r="C22" s="61">
        <v>0.5124316887602165</v>
      </c>
      <c r="D22" s="61"/>
      <c r="E22" s="61">
        <v>2.8509149767809334</v>
      </c>
      <c r="F22" s="61">
        <v>1.6936194162245761</v>
      </c>
    </row>
    <row r="23" spans="1:6" s="5" customFormat="1" x14ac:dyDescent="0.2">
      <c r="A23" s="18" t="s">
        <v>2050</v>
      </c>
      <c r="B23" s="61">
        <v>0.18853658536585366</v>
      </c>
      <c r="C23" s="61">
        <v>0.29131792911024562</v>
      </c>
      <c r="D23" s="61"/>
      <c r="E23" s="61">
        <v>4.672069766507998</v>
      </c>
      <c r="F23" s="61">
        <v>2.8621848132416066</v>
      </c>
    </row>
    <row r="24" spans="1:6" s="5" customFormat="1" x14ac:dyDescent="0.2">
      <c r="A24" s="18" t="s">
        <v>2051</v>
      </c>
      <c r="B24" s="61"/>
      <c r="C24" s="61">
        <v>0.4575573192239859</v>
      </c>
      <c r="D24" s="61"/>
      <c r="E24" s="61">
        <v>3.2015425059607892</v>
      </c>
      <c r="F24" s="61">
        <v>2.0255488545021589</v>
      </c>
    </row>
    <row r="25" spans="1:6" s="5" customFormat="1" x14ac:dyDescent="0.2">
      <c r="A25" s="18" t="s">
        <v>2057</v>
      </c>
      <c r="B25" s="61">
        <v>0.45928324801691756</v>
      </c>
      <c r="C25" s="61">
        <v>0.47863154734114771</v>
      </c>
      <c r="D25" s="61"/>
      <c r="E25" s="61">
        <v>3.1998111638986604</v>
      </c>
      <c r="F25" s="61">
        <v>2.0459457992867089</v>
      </c>
    </row>
    <row r="26" spans="1:6" s="5" customFormat="1" x14ac:dyDescent="0.2">
      <c r="A26" s="18" t="s">
        <v>2065</v>
      </c>
      <c r="B26" s="61"/>
      <c r="C26" s="61"/>
      <c r="D26" s="61"/>
      <c r="E26" s="61">
        <v>2.0792167394078587</v>
      </c>
      <c r="F26" s="61">
        <v>2.0792167394078587</v>
      </c>
    </row>
    <row r="27" spans="1:6" s="5" customFormat="1" x14ac:dyDescent="0.2">
      <c r="A27" s="10" t="s">
        <v>2037</v>
      </c>
      <c r="B27" s="61">
        <v>0.61272046992048712</v>
      </c>
      <c r="C27" s="61">
        <v>0.468635947318845</v>
      </c>
      <c r="D27" s="61">
        <v>1.2706571242680547E-2</v>
      </c>
      <c r="E27" s="61">
        <v>2.68191329938487</v>
      </c>
      <c r="F27" s="61">
        <v>1.8416268965580607</v>
      </c>
    </row>
    <row r="28" spans="1:6" s="5" customFormat="1" x14ac:dyDescent="0.2">
      <c r="A28" s="18" t="s">
        <v>2054</v>
      </c>
      <c r="B28" s="61">
        <v>0.61272046992048712</v>
      </c>
      <c r="C28" s="61">
        <v>0.468635947318845</v>
      </c>
      <c r="D28" s="61">
        <v>1.2706571242680547E-2</v>
      </c>
      <c r="E28" s="61">
        <v>2.68191329938487</v>
      </c>
      <c r="F28" s="61">
        <v>1.8416268965580607</v>
      </c>
    </row>
    <row r="29" spans="1:6" s="5" customFormat="1" x14ac:dyDescent="0.2">
      <c r="A29" s="10" t="s">
        <v>2038</v>
      </c>
      <c r="B29" s="61">
        <v>0.35870274170274169</v>
      </c>
      <c r="C29" s="61">
        <v>0.42249180129475677</v>
      </c>
      <c r="D29" s="61">
        <v>1.729268292682927E-2</v>
      </c>
      <c r="E29" s="61">
        <v>2.9800017357431026</v>
      </c>
      <c r="F29" s="61">
        <v>1.9414115048825453</v>
      </c>
    </row>
    <row r="30" spans="1:6" s="5" customFormat="1" x14ac:dyDescent="0.2">
      <c r="A30" s="18" t="s">
        <v>2047</v>
      </c>
      <c r="B30" s="61">
        <v>0.38844444444444443</v>
      </c>
      <c r="C30" s="61">
        <v>0.54680600264835488</v>
      </c>
      <c r="D30" s="61"/>
      <c r="E30" s="61">
        <v>3.398574600617859</v>
      </c>
      <c r="F30" s="61">
        <v>2.047250462855509</v>
      </c>
    </row>
    <row r="31" spans="1:6" s="5" customFormat="1" x14ac:dyDescent="0.2">
      <c r="A31" s="18" t="s">
        <v>2053</v>
      </c>
      <c r="B31" s="61">
        <v>0.32896103896103895</v>
      </c>
      <c r="C31" s="61">
        <v>0.40494184691519491</v>
      </c>
      <c r="D31" s="61">
        <v>1.729268292682927E-2</v>
      </c>
      <c r="E31" s="61">
        <v>3.659322590829504</v>
      </c>
      <c r="F31" s="61">
        <v>2.3974808801982186</v>
      </c>
    </row>
    <row r="32" spans="1:6" s="5" customFormat="1" x14ac:dyDescent="0.2">
      <c r="A32" s="18" t="s">
        <v>2056</v>
      </c>
      <c r="B32" s="61"/>
      <c r="C32" s="61">
        <v>0.40069240158449132</v>
      </c>
      <c r="D32" s="61"/>
      <c r="E32" s="61">
        <v>1.763079540691221</v>
      </c>
      <c r="F32" s="61">
        <v>1.0818859711378559</v>
      </c>
    </row>
    <row r="33" spans="1:6" s="5" customFormat="1" x14ac:dyDescent="0.2">
      <c r="A33" s="18" t="s">
        <v>2061</v>
      </c>
      <c r="B33" s="61"/>
      <c r="C33" s="61">
        <v>0.32567721781522063</v>
      </c>
      <c r="D33" s="61"/>
      <c r="E33" s="61">
        <v>2.4278132986153507</v>
      </c>
      <c r="F33" s="61">
        <v>1.727101271681974</v>
      </c>
    </row>
    <row r="34" spans="1:6" s="5" customFormat="1" x14ac:dyDescent="0.2">
      <c r="A34" s="10" t="s">
        <v>2039</v>
      </c>
      <c r="B34" s="61">
        <v>0.64476190476190476</v>
      </c>
      <c r="C34" s="61">
        <v>0.56331660501443315</v>
      </c>
      <c r="D34" s="61">
        <v>0.60603003721424775</v>
      </c>
      <c r="E34" s="61">
        <v>3.0988805821881922</v>
      </c>
      <c r="F34" s="61">
        <v>2.2562792300458407</v>
      </c>
    </row>
    <row r="35" spans="1:6" s="5" customFormat="1" x14ac:dyDescent="0.2">
      <c r="A35" s="18" t="s">
        <v>2063</v>
      </c>
      <c r="B35" s="61"/>
      <c r="C35" s="61">
        <v>0.55778882810318953</v>
      </c>
      <c r="D35" s="61">
        <v>0.58973684210526311</v>
      </c>
      <c r="E35" s="61">
        <v>2.826716077002152</v>
      </c>
      <c r="F35" s="61">
        <v>1.9702757388403676</v>
      </c>
    </row>
    <row r="36" spans="1:6" s="5" customFormat="1" x14ac:dyDescent="0.2">
      <c r="A36" s="18" t="s">
        <v>2064</v>
      </c>
      <c r="B36" s="61">
        <v>0.64476190476190476</v>
      </c>
      <c r="C36" s="61">
        <v>0.57068697422942438</v>
      </c>
      <c r="D36" s="61">
        <v>0.62232323232323228</v>
      </c>
      <c r="E36" s="61">
        <v>3.3105640862217789</v>
      </c>
      <c r="F36" s="61">
        <v>2.5086352516977288</v>
      </c>
    </row>
    <row r="37" spans="1:6" s="5" customFormat="1" x14ac:dyDescent="0.2">
      <c r="A37" s="10" t="s">
        <v>2040</v>
      </c>
      <c r="B37" s="61">
        <v>0.45757574357593966</v>
      </c>
      <c r="C37" s="61">
        <v>0.49562153234302231</v>
      </c>
      <c r="D37" s="61">
        <v>0.31396352578226072</v>
      </c>
      <c r="E37" s="61">
        <v>3.1446430649443378</v>
      </c>
      <c r="F37" s="61">
        <v>1.9320420481618634</v>
      </c>
    </row>
    <row r="38" spans="1:6" s="5" customFormat="1" x14ac:dyDescent="0.2">
      <c r="A38" s="18" t="s">
        <v>2055</v>
      </c>
      <c r="B38" s="61">
        <v>0.45757574357593966</v>
      </c>
      <c r="C38" s="61">
        <v>0.49562153234302231</v>
      </c>
      <c r="D38" s="61">
        <v>0.31396352578226072</v>
      </c>
      <c r="E38" s="61">
        <v>3.1446430649443378</v>
      </c>
      <c r="F38" s="61">
        <v>1.9320420481618634</v>
      </c>
    </row>
    <row r="39" spans="1:6" s="5" customFormat="1" x14ac:dyDescent="0.2">
      <c r="A39" s="10" t="s">
        <v>2030</v>
      </c>
      <c r="B39" s="61">
        <v>0.45902451521720034</v>
      </c>
      <c r="C39" s="61">
        <v>0.49286741977125492</v>
      </c>
      <c r="D39" s="61">
        <v>0.44815238205124824</v>
      </c>
      <c r="E39" s="61">
        <v>3.1726995717331383</v>
      </c>
      <c r="F39" s="61">
        <v>2.0044175295420565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84D38-79F1-B74B-BA35-9E3186D43923}">
  <dimension ref="A2:F36"/>
  <sheetViews>
    <sheetView zoomScale="120" zoomScaleNormal="120" workbookViewId="0"/>
  </sheetViews>
  <sheetFormatPr baseColWidth="10" defaultRowHeight="16" outlineLevelRow="1" outlineLevelCol="1" x14ac:dyDescent="0.2"/>
  <cols>
    <col min="1" max="1" width="20.83203125" customWidth="1" outlineLevel="1"/>
    <col min="2" max="5" width="10.83203125" style="99" customWidth="1" outlineLevel="1"/>
    <col min="6" max="6" width="12.83203125" style="99" customWidth="1" outlineLevel="1"/>
  </cols>
  <sheetData>
    <row r="2" spans="1:6" x14ac:dyDescent="0.2">
      <c r="A2" s="97" t="s">
        <v>2031</v>
      </c>
      <c r="B2" s="98" t="s">
        <v>74</v>
      </c>
      <c r="C2" s="98" t="s">
        <v>14</v>
      </c>
      <c r="D2" s="98" t="s">
        <v>47</v>
      </c>
      <c r="E2" s="98" t="s">
        <v>20</v>
      </c>
      <c r="F2" s="98" t="s">
        <v>2030</v>
      </c>
    </row>
    <row r="3" spans="1:6" x14ac:dyDescent="0.2">
      <c r="A3" s="100" t="s">
        <v>2032</v>
      </c>
      <c r="B3" s="101" cm="1">
        <f t="array" ref="B3">IFERROR(ROUND(MEDIAN(_xlfn._xlws.FILTER(CrowdfundingTable[percent_funded],(CrowdfundingTable[primary_category]=$A3)*(CrowdfundingTable[outcome]=$B$2))),2),"")</f>
        <v>0.39</v>
      </c>
      <c r="C3" s="101" cm="1">
        <f t="array" ref="C3">IFERROR(ROUND(MEDIAN(_xlfn._xlws.FILTER(CrowdfundingTable[percent_funded],(CrowdfundingTable[primary_category]=$A3)*(CrowdfundingTable[outcome]=$C$2))),2),"")</f>
        <v>0.52</v>
      </c>
      <c r="D3" s="101" cm="1">
        <f t="array" ref="D3">IFERROR(ROUND(MEDIAN(_xlfn._xlws.FILTER(CrowdfundingTable[percent_funded],(CrowdfundingTable[primary_category]=$A3)*(CrowdfundingTable[outcome]=$D$2))),2),"")</f>
        <v>0.57999999999999996</v>
      </c>
      <c r="E3" s="101" cm="1">
        <f t="array" ref="E3">IFERROR(ROUND(MEDIAN(_xlfn._xlws.FILTER(CrowdfundingTable[percent_funded],(CrowdfundingTable[primary_category]=$A3)*(CrowdfundingTable[outcome]=$E$2))),2),"")</f>
        <v>2.0699999999999998</v>
      </c>
      <c r="F3" s="101" cm="1">
        <f t="array" ref="F3">IFERROR(ROUND(MEDIAN(_xlfn._xlws.FILTER(CrowdfundingTable[percent_funded],CrowdfundingTable[primary_category]=$A3)),2),"")</f>
        <v>1.23</v>
      </c>
    </row>
    <row r="4" spans="1:6" outlineLevel="1" x14ac:dyDescent="0.2">
      <c r="A4" s="104" t="s">
        <v>2042</v>
      </c>
      <c r="B4" s="105" cm="1">
        <f t="array" ref="B4">IFERROR(ROUND(MEDIAN(_xlfn._xlws.FILTER(CrowdfundingTable[percent_funded],(CrowdfundingTable[subcategory]=$A4)*(CrowdfundingTable[outcome]=$B$2))),2),"")</f>
        <v>0.35</v>
      </c>
      <c r="C4" s="105" cm="1">
        <f t="array" ref="C4">IFERROR(ROUND(MEDIAN(_xlfn._xlws.FILTER(CrowdfundingTable[percent_funded],(CrowdfundingTable[subcategory]=$A4)*(CrowdfundingTable[outcome]=$C$2))),2),"")</f>
        <v>0.46</v>
      </c>
      <c r="D4" s="105" cm="1">
        <f t="array" ref="D4">IFERROR(ROUND(MEDIAN(_xlfn._xlws.FILTER(CrowdfundingTable[percent_funded],(CrowdfundingTable[subcategory]=$A4)*(CrowdfundingTable[outcome]=$D$2))),2),"")</f>
        <v>0.75</v>
      </c>
      <c r="E4" s="105" cm="1">
        <f t="array" ref="E4">IFERROR(ROUND(MEDIAN(_xlfn._xlws.FILTER(CrowdfundingTable[percent_funded],(CrowdfundingTable[subcategory]=$A4)*(CrowdfundingTable[outcome]=$E$2))),2),"")</f>
        <v>1.93</v>
      </c>
      <c r="F4" s="105" cm="1">
        <f t="array" ref="F4">IFERROR(ROUND(MEDIAN(_xlfn._xlws.FILTER(CrowdfundingTable[percent_funded],CrowdfundingTable[subcategory]=$A4)),2),"")</f>
        <v>1.39</v>
      </c>
    </row>
    <row r="5" spans="1:6" outlineLevel="1" x14ac:dyDescent="0.2">
      <c r="A5" s="104" t="s">
        <v>2044</v>
      </c>
      <c r="B5" s="105" cm="1">
        <f t="array" ref="B5">IFERROR(ROUND(MEDIAN(_xlfn._xlws.FILTER(CrowdfundingTable[percent_funded],(CrowdfundingTable[subcategory]=$A5)*(CrowdfundingTable[outcome]=$B$2))),2),"")</f>
        <v>0.67</v>
      </c>
      <c r="C5" s="105" cm="1">
        <f t="array" ref="C5">IFERROR(ROUND(MEDIAN(_xlfn._xlws.FILTER(CrowdfundingTable[percent_funded],(CrowdfundingTable[subcategory]=$A5)*(CrowdfundingTable[outcome]=$C$2))),2),"")</f>
        <v>0.54</v>
      </c>
      <c r="D5" s="105" cm="1">
        <f t="array" ref="D5">IFERROR(ROUND(MEDIAN(_xlfn._xlws.FILTER(CrowdfundingTable[percent_funded],(CrowdfundingTable[subcategory]=$A5)*(CrowdfundingTable[outcome]=$D$2))),2),"")</f>
        <v>0.21</v>
      </c>
      <c r="E5" s="105" cm="1">
        <f t="array" ref="E5">IFERROR(ROUND(MEDIAN(_xlfn._xlws.FILTER(CrowdfundingTable[percent_funded],(CrowdfundingTable[subcategory]=$A5)*(CrowdfundingTable[outcome]=$E$2))),2),"")</f>
        <v>2.0299999999999998</v>
      </c>
      <c r="F5" s="105" cm="1">
        <f t="array" ref="F5">IFERROR(ROUND(MEDIAN(_xlfn._xlws.FILTER(CrowdfundingTable[percent_funded],CrowdfundingTable[subcategory]=$A5)),2),"")</f>
        <v>1.26</v>
      </c>
    </row>
    <row r="6" spans="1:6" outlineLevel="1" x14ac:dyDescent="0.2">
      <c r="A6" s="104" t="s">
        <v>2045</v>
      </c>
      <c r="B6" s="105" cm="1">
        <f t="array" ref="B6">IFERROR(ROUND(MEDIAN(_xlfn._xlws.FILTER(CrowdfundingTable[percent_funded],(CrowdfundingTable[subcategory]=$A6)*(CrowdfundingTable[outcome]=$B$2))),2),"")</f>
        <v>0.11</v>
      </c>
      <c r="C6" s="105" cm="1">
        <f t="array" ref="C6">IFERROR(ROUND(MEDIAN(_xlfn._xlws.FILTER(CrowdfundingTable[percent_funded],(CrowdfundingTable[subcategory]=$A6)*(CrowdfundingTable[outcome]=$C$2))),2),"")</f>
        <v>0.56999999999999995</v>
      </c>
      <c r="D6" s="105" cm="1">
        <f t="array" ref="D6">IFERROR(ROUND(MEDIAN(_xlfn._xlws.FILTER(CrowdfundingTable[percent_funded],(CrowdfundingTable[subcategory]=$A6)*(CrowdfundingTable[outcome]=$D$2))),2),"")</f>
        <v>0.56000000000000005</v>
      </c>
      <c r="E6" s="105" cm="1">
        <f t="array" ref="E6">IFERROR(ROUND(MEDIAN(_xlfn._xlws.FILTER(CrowdfundingTable[percent_funded],(CrowdfundingTable[subcategory]=$A6)*(CrowdfundingTable[outcome]=$E$2))),2),"")</f>
        <v>1.82</v>
      </c>
      <c r="F6" s="105" cm="1">
        <f t="array" ref="F6">IFERROR(ROUND(MEDIAN(_xlfn._xlws.FILTER(CrowdfundingTable[percent_funded],CrowdfundingTable[subcategory]=$A6)),2),"")</f>
        <v>1.4</v>
      </c>
    </row>
    <row r="7" spans="1:6" outlineLevel="1" x14ac:dyDescent="0.2">
      <c r="A7" s="104" t="s">
        <v>2058</v>
      </c>
      <c r="B7" s="105" t="str" cm="1">
        <f t="array" ref="B7">IFERROR(ROUND(MEDIAN(_xlfn._xlws.FILTER(CrowdfundingTable[percent_funded],(CrowdfundingTable[subcategory]=$A7)*(CrowdfundingTable[outcome]=$B$2))),2),"")</f>
        <v/>
      </c>
      <c r="C7" s="105" cm="1">
        <f t="array" ref="C7">IFERROR(ROUND(MEDIAN(_xlfn._xlws.FILTER(CrowdfundingTable[percent_funded],(CrowdfundingTable[subcategory]=$A7)*(CrowdfundingTable[outcome]=$C$2))),2),"")</f>
        <v>0.45</v>
      </c>
      <c r="D7" s="105" t="str" cm="1">
        <f t="array" ref="D7">IFERROR(ROUND(MEDIAN(_xlfn._xlws.FILTER(CrowdfundingTable[percent_funded],(CrowdfundingTable[subcategory]=$A7)*(CrowdfundingTable[outcome]=$D$2))),2),"")</f>
        <v/>
      </c>
      <c r="E7" s="105" cm="1">
        <f t="array" ref="E7">IFERROR(ROUND(MEDIAN(_xlfn._xlws.FILTER(CrowdfundingTable[percent_funded],(CrowdfundingTable[subcategory]=$A7)*(CrowdfundingTable[outcome]=$E$2))),2),"")</f>
        <v>1.99</v>
      </c>
      <c r="F7" s="105" cm="1">
        <f t="array" ref="F7">IFERROR(ROUND(MEDIAN(_xlfn._xlws.FILTER(CrowdfundingTable[percent_funded],CrowdfundingTable[subcategory]=$A7)),2),"")</f>
        <v>0.57999999999999996</v>
      </c>
    </row>
    <row r="8" spans="1:6" outlineLevel="1" x14ac:dyDescent="0.2">
      <c r="A8" s="104" t="s">
        <v>2059</v>
      </c>
      <c r="B8" s="105" cm="1">
        <f t="array" ref="B8">IFERROR(ROUND(MEDIAN(_xlfn._xlws.FILTER(CrowdfundingTable[percent_funded],(CrowdfundingTable[subcategory]=$A8)*(CrowdfundingTable[outcome]=$B$2))),2),"")</f>
        <v>0.24</v>
      </c>
      <c r="C8" s="105" cm="1">
        <f t="array" ref="C8">IFERROR(ROUND(MEDIAN(_xlfn._xlws.FILTER(CrowdfundingTable[percent_funded],(CrowdfundingTable[subcategory]=$A8)*(CrowdfundingTable[outcome]=$C$2))),2),"")</f>
        <v>0.88</v>
      </c>
      <c r="D8" s="105" cm="1">
        <f t="array" ref="D8">IFERROR(ROUND(MEDIAN(_xlfn._xlws.FILTER(CrowdfundingTable[percent_funded],(CrowdfundingTable[subcategory]=$A8)*(CrowdfundingTable[outcome]=$D$2))),2),"")</f>
        <v>0.57999999999999996</v>
      </c>
      <c r="E8" s="105" cm="1">
        <f t="array" ref="E8">IFERROR(ROUND(MEDIAN(_xlfn._xlws.FILTER(CrowdfundingTable[percent_funded],(CrowdfundingTable[subcategory]=$A8)*(CrowdfundingTable[outcome]=$E$2))),2),"")</f>
        <v>3.29</v>
      </c>
      <c r="F8" s="105" cm="1">
        <f t="array" ref="F8">IFERROR(ROUND(MEDIAN(_xlfn._xlws.FILTER(CrowdfundingTable[percent_funded],CrowdfundingTable[subcategory]=$A8)),2),"")</f>
        <v>1.78</v>
      </c>
    </row>
    <row r="9" spans="1:6" outlineLevel="1" x14ac:dyDescent="0.2">
      <c r="A9" s="104" t="s">
        <v>2060</v>
      </c>
      <c r="B9" s="105" cm="1">
        <f t="array" ref="B9">IFERROR(ROUND(MEDIAN(_xlfn._xlws.FILTER(CrowdfundingTable[percent_funded],(CrowdfundingTable[subcategory]=$A9)*(CrowdfundingTable[outcome]=$B$2))),2),"")</f>
        <v>0.39</v>
      </c>
      <c r="C9" s="105" cm="1">
        <f t="array" ref="C9">IFERROR(ROUND(MEDIAN(_xlfn._xlws.FILTER(CrowdfundingTable[percent_funded],(CrowdfundingTable[subcategory]=$A9)*(CrowdfundingTable[outcome]=$C$2))),2),"")</f>
        <v>0.59</v>
      </c>
      <c r="D9" s="105" t="str" cm="1">
        <f t="array" ref="D9">IFERROR(ROUND(MEDIAN(_xlfn._xlws.FILTER(CrowdfundingTable[percent_funded],(CrowdfundingTable[subcategory]=$A9)*(CrowdfundingTable[outcome]=$D$2))),2),"")</f>
        <v/>
      </c>
      <c r="E9" s="105" cm="1">
        <f t="array" ref="E9">IFERROR(ROUND(MEDIAN(_xlfn._xlws.FILTER(CrowdfundingTable[percent_funded],(CrowdfundingTable[subcategory]=$A9)*(CrowdfundingTable[outcome]=$E$2))),2),"")</f>
        <v>1.89</v>
      </c>
      <c r="F9" s="105" cm="1">
        <f t="array" ref="F9">IFERROR(ROUND(MEDIAN(_xlfn._xlws.FILTER(CrowdfundingTable[percent_funded],CrowdfundingTable[subcategory]=$A9)),2),"")</f>
        <v>1.56</v>
      </c>
    </row>
    <row r="10" spans="1:6" x14ac:dyDescent="0.2">
      <c r="A10" s="100" t="s">
        <v>2033</v>
      </c>
      <c r="B10" s="101" cm="1">
        <f t="array" ref="B10">IFERROR(ROUND(MEDIAN(_xlfn._xlws.FILTER(CrowdfundingTable[percent_funded],(CrowdfundingTable[primary_category]=$A10)*(CrowdfundingTable[outcome]=$B$2))),2),"")</f>
        <v>0.6</v>
      </c>
      <c r="C10" s="101" cm="1">
        <f t="array" ref="C10">IFERROR(ROUND(MEDIAN(_xlfn._xlws.FILTER(CrowdfundingTable[percent_funded],(CrowdfundingTable[primary_category]=$A10)*(CrowdfundingTable[outcome]=$C$2))),2),"")</f>
        <v>0.59</v>
      </c>
      <c r="D10" s="101" t="str" cm="1">
        <f t="array" ref="D10">IFERROR(ROUND(MEDIAN(_xlfn._xlws.FILTER(CrowdfundingTable[percent_funded],(CrowdfundingTable[primary_category]=$A10)*(CrowdfundingTable[outcome]=$D$2))),2),"")</f>
        <v/>
      </c>
      <c r="E10" s="101" cm="1">
        <f t="array" ref="E10">IFERROR(ROUND(MEDIAN(_xlfn._xlws.FILTER(CrowdfundingTable[percent_funded],(CrowdfundingTable[primary_category]=$A10)*(CrowdfundingTable[outcome]=$E$2))),2),"")</f>
        <v>3.29</v>
      </c>
      <c r="F10" s="101" cm="1">
        <f t="array" ref="F10">IFERROR(ROUND(MEDIAN(_xlfn._xlws.FILTER(CrowdfundingTable[percent_funded],CrowdfundingTable[primary_category]=$A10)),2),"")</f>
        <v>0.97</v>
      </c>
    </row>
    <row r="11" spans="1:6" outlineLevel="1" x14ac:dyDescent="0.2">
      <c r="A11" s="104" t="s">
        <v>2048</v>
      </c>
      <c r="B11" s="105" cm="1">
        <f t="array" ref="B11">IFERROR(ROUND(MEDIAN(_xlfn._xlws.FILTER(CrowdfundingTable[percent_funded],(CrowdfundingTable[subcategory]=$A11)*(CrowdfundingTable[outcome]=$B$2))),2),"")</f>
        <v>0.6</v>
      </c>
      <c r="C11" s="105" cm="1">
        <f t="array" ref="C11">IFERROR(ROUND(MEDIAN(_xlfn._xlws.FILTER(CrowdfundingTable[percent_funded],(CrowdfundingTable[subcategory]=$A11)*(CrowdfundingTable[outcome]=$C$2))),2),"")</f>
        <v>0.59</v>
      </c>
      <c r="D11" s="105" t="str" cm="1">
        <f t="array" ref="D11">IFERROR(ROUND(MEDIAN(_xlfn._xlws.FILTER(CrowdfundingTable[percent_funded],(CrowdfundingTable[subcategory]=$A11)*(CrowdfundingTable[outcome]=$D$2))),2),"")</f>
        <v/>
      </c>
      <c r="E11" s="105" cm="1">
        <f t="array" ref="E11">IFERROR(ROUND(MEDIAN(_xlfn._xlws.FILTER(CrowdfundingTable[percent_funded],(CrowdfundingTable[subcategory]=$A11)*(CrowdfundingTable[outcome]=$E$2))),2),"")</f>
        <v>3.29</v>
      </c>
      <c r="F11" s="105" cm="1">
        <f t="array" ref="F11">IFERROR(ROUND(MEDIAN(_xlfn._xlws.FILTER(CrowdfundingTable[percent_funded],CrowdfundingTable[subcategory]=$A11)),2),"")</f>
        <v>0.97</v>
      </c>
    </row>
    <row r="12" spans="1:6" x14ac:dyDescent="0.2">
      <c r="A12" s="100" t="s">
        <v>2034</v>
      </c>
      <c r="B12" s="101" cm="1">
        <f t="array" ref="B12">IFERROR(ROUND(MEDIAN(_xlfn._xlws.FILTER(CrowdfundingTable[percent_funded],(CrowdfundingTable[primary_category]=$A12)*(CrowdfundingTable[outcome]=$B$2))),2),"")</f>
        <v>0.27</v>
      </c>
      <c r="C12" s="101" cm="1">
        <f t="array" ref="C12">IFERROR(ROUND(MEDIAN(_xlfn._xlws.FILTER(CrowdfundingTable[percent_funded],(CrowdfundingTable[primary_category]=$A12)*(CrowdfundingTable[outcome]=$C$2))),2),"")</f>
        <v>0.5</v>
      </c>
      <c r="D12" s="101" cm="1">
        <f t="array" ref="D12">IFERROR(ROUND(MEDIAN(_xlfn._xlws.FILTER(CrowdfundingTable[percent_funded],(CrowdfundingTable[primary_category]=$A12)*(CrowdfundingTable[outcome]=$D$2))),2),"")</f>
        <v>0.36</v>
      </c>
      <c r="E12" s="101" cm="1">
        <f t="array" ref="E12">IFERROR(ROUND(MEDIAN(_xlfn._xlws.FILTER(CrowdfundingTable[percent_funded],(CrowdfundingTable[primary_category]=$A12)*(CrowdfundingTable[outcome]=$E$2))),2),"")</f>
        <v>2.39</v>
      </c>
      <c r="F12" s="101" cm="1">
        <f t="array" ref="F12">IFERROR(ROUND(MEDIAN(_xlfn._xlws.FILTER(CrowdfundingTable[percent_funded],CrowdfundingTable[primary_category]=$A12)),2),"")</f>
        <v>0.96</v>
      </c>
    </row>
    <row r="13" spans="1:6" outlineLevel="1" x14ac:dyDescent="0.2">
      <c r="A13" s="104" t="s">
        <v>2052</v>
      </c>
      <c r="B13" s="105" t="str" cm="1">
        <f t="array" ref="B13">IFERROR(ROUND(MEDIAN(_xlfn._xlws.FILTER(CrowdfundingTable[percent_funded],(CrowdfundingTable[subcategory]=$A13)*(CrowdfundingTable[outcome]=$B$2))),2),"")</f>
        <v/>
      </c>
      <c r="C13" s="105" cm="1">
        <f t="array" ref="C13">IFERROR(ROUND(MEDIAN(_xlfn._xlws.FILTER(CrowdfundingTable[percent_funded],(CrowdfundingTable[subcategory]=$A13)*(CrowdfundingTable[outcome]=$C$2))),2),"")</f>
        <v>0.44</v>
      </c>
      <c r="D13" s="105" cm="1">
        <f t="array" ref="D13">IFERROR(ROUND(MEDIAN(_xlfn._xlws.FILTER(CrowdfundingTable[percent_funded],(CrowdfundingTable[subcategory]=$A13)*(CrowdfundingTable[outcome]=$D$2))),2),"")</f>
        <v>0.36</v>
      </c>
      <c r="E13" s="105" cm="1">
        <f t="array" ref="E13">IFERROR(ROUND(MEDIAN(_xlfn._xlws.FILTER(CrowdfundingTable[percent_funded],(CrowdfundingTable[subcategory]=$A13)*(CrowdfundingTable[outcome]=$E$2))),2),"")</f>
        <v>1.81</v>
      </c>
      <c r="F13" s="105" cm="1">
        <f t="array" ref="F13">IFERROR(ROUND(MEDIAN(_xlfn._xlws.FILTER(CrowdfundingTable[percent_funded],CrowdfundingTable[subcategory]=$A13)),2),"")</f>
        <v>0.55000000000000004</v>
      </c>
    </row>
    <row r="14" spans="1:6" outlineLevel="1" x14ac:dyDescent="0.2">
      <c r="A14" s="104" t="s">
        <v>2062</v>
      </c>
      <c r="B14" s="105" cm="1">
        <f t="array" ref="B14">IFERROR(ROUND(MEDIAN(_xlfn._xlws.FILTER(CrowdfundingTable[percent_funded],(CrowdfundingTable[subcategory]=$A14)*(CrowdfundingTable[outcome]=$B$2))),2),"")</f>
        <v>0.27</v>
      </c>
      <c r="C14" s="105" cm="1">
        <f t="array" ref="C14">IFERROR(ROUND(MEDIAN(_xlfn._xlws.FILTER(CrowdfundingTable[percent_funded],(CrowdfundingTable[subcategory]=$A14)*(CrowdfundingTable[outcome]=$C$2))),2),"")</f>
        <v>0.5</v>
      </c>
      <c r="D14" s="105" cm="1">
        <f t="array" ref="D14">IFERROR(ROUND(MEDIAN(_xlfn._xlws.FILTER(CrowdfundingTable[percent_funded],(CrowdfundingTable[subcategory]=$A14)*(CrowdfundingTable[outcome]=$D$2))),2),"")</f>
        <v>0.59</v>
      </c>
      <c r="E14" s="105" cm="1">
        <f t="array" ref="E14">IFERROR(ROUND(MEDIAN(_xlfn._xlws.FILTER(CrowdfundingTable[percent_funded],(CrowdfundingTable[subcategory]=$A14)*(CrowdfundingTable[outcome]=$E$2))),2),"")</f>
        <v>3.1</v>
      </c>
      <c r="F14" s="105" cm="1">
        <f t="array" ref="F14">IFERROR(ROUND(MEDIAN(_xlfn._xlws.FILTER(CrowdfundingTable[percent_funded],CrowdfundingTable[subcategory]=$A14)),2),"")</f>
        <v>0.97</v>
      </c>
    </row>
    <row r="15" spans="1:6" x14ac:dyDescent="0.2">
      <c r="A15" s="100" t="s">
        <v>2035</v>
      </c>
      <c r="B15" s="101" t="str" cm="1">
        <f t="array" ref="B15">IFERROR(ROUND(MEDIAN(_xlfn._xlws.FILTER(CrowdfundingTable[percent_funded],(CrowdfundingTable[primary_category]=$A15)*(CrowdfundingTable[outcome]=$B$2))),2),"")</f>
        <v/>
      </c>
      <c r="C15" s="101" t="str" cm="1">
        <f t="array" ref="C15">IFERROR(ROUND(MEDIAN(_xlfn._xlws.FILTER(CrowdfundingTable[percent_funded],(CrowdfundingTable[primary_category]=$A15)*(CrowdfundingTable[outcome]=$C$2))),2),"")</f>
        <v/>
      </c>
      <c r="D15" s="101" t="str" cm="1">
        <f t="array" ref="D15">IFERROR(ROUND(MEDIAN(_xlfn._xlws.FILTER(CrowdfundingTable[percent_funded],(CrowdfundingTable[primary_category]=$A15)*(CrowdfundingTable[outcome]=$D$2))),2),"")</f>
        <v/>
      </c>
      <c r="E15" s="101" cm="1">
        <f t="array" ref="E15">IFERROR(ROUND(MEDIAN(_xlfn._xlws.FILTER(CrowdfundingTable[percent_funded],(CrowdfundingTable[primary_category]=$A15)*(CrowdfundingTable[outcome]=$E$2))),2),"")</f>
        <v>1.5</v>
      </c>
      <c r="F15" s="101" cm="1">
        <f t="array" ref="F15">IFERROR(ROUND(MEDIAN(_xlfn._xlws.FILTER(CrowdfundingTable[percent_funded],CrowdfundingTable[primary_category]=$A15)),2),"")</f>
        <v>1.5</v>
      </c>
    </row>
    <row r="16" spans="1:6" outlineLevel="1" x14ac:dyDescent="0.2">
      <c r="A16" s="104" t="s">
        <v>2043</v>
      </c>
      <c r="B16" s="105" t="str" cm="1">
        <f t="array" ref="B16">IFERROR(ROUND(MEDIAN(_xlfn._xlws.FILTER(CrowdfundingTable[percent_funded],(CrowdfundingTable[subcategory]=$A16)*(CrowdfundingTable[outcome]=$B$2))),2),"")</f>
        <v/>
      </c>
      <c r="C16" s="105" t="str" cm="1">
        <f t="array" ref="C16">IFERROR(ROUND(MEDIAN(_xlfn._xlws.FILTER(CrowdfundingTable[percent_funded],(CrowdfundingTable[subcategory]=$A16)*(CrowdfundingTable[outcome]=$C$2))),2),"")</f>
        <v/>
      </c>
      <c r="D16" s="105" t="str" cm="1">
        <f t="array" ref="D16">IFERROR(ROUND(MEDIAN(_xlfn._xlws.FILTER(CrowdfundingTable[percent_funded],(CrowdfundingTable[subcategory]=$A16)*(CrowdfundingTable[outcome]=$D$2))),2),"")</f>
        <v/>
      </c>
      <c r="E16" s="105" cm="1">
        <f t="array" ref="E16">IFERROR(ROUND(MEDIAN(_xlfn._xlws.FILTER(CrowdfundingTable[percent_funded],(CrowdfundingTable[subcategory]=$A16)*(CrowdfundingTable[outcome]=$E$2))),2),"")</f>
        <v>1.5</v>
      </c>
      <c r="F16" s="105" cm="1">
        <f t="array" ref="F16">IFERROR(ROUND(MEDIAN(_xlfn._xlws.FILTER(CrowdfundingTable[percent_funded],CrowdfundingTable[subcategory]=$A16)),2),"")</f>
        <v>1.5</v>
      </c>
    </row>
    <row r="17" spans="1:6" x14ac:dyDescent="0.2">
      <c r="A17" s="100" t="s">
        <v>2036</v>
      </c>
      <c r="B17" s="101" cm="1">
        <f t="array" ref="B17">IFERROR(ROUND(MEDIAN(_xlfn._xlws.FILTER(CrowdfundingTable[percent_funded],(CrowdfundingTable[primary_category]=$A17)*(CrowdfundingTable[outcome]=$B$2))),2),"")</f>
        <v>0.38</v>
      </c>
      <c r="C17" s="101" cm="1">
        <f t="array" ref="C17">IFERROR(ROUND(MEDIAN(_xlfn._xlws.FILTER(CrowdfundingTable[percent_funded],(CrowdfundingTable[primary_category]=$A17)*(CrowdfundingTable[outcome]=$C$2))),2),"")</f>
        <v>0.45</v>
      </c>
      <c r="D17" s="101" t="str" cm="1">
        <f t="array" ref="D17">IFERROR(ROUND(MEDIAN(_xlfn._xlws.FILTER(CrowdfundingTable[percent_funded],(CrowdfundingTable[primary_category]=$A17)*(CrowdfundingTable[outcome]=$D$2))),2),"")</f>
        <v/>
      </c>
      <c r="E17" s="101" cm="1">
        <f t="array" ref="E17">IFERROR(ROUND(MEDIAN(_xlfn._xlws.FILTER(CrowdfundingTable[percent_funded],(CrowdfundingTable[primary_category]=$A17)*(CrowdfundingTable[outcome]=$E$2))),2),"")</f>
        <v>2.08</v>
      </c>
      <c r="F17" s="101" cm="1">
        <f t="array" ref="F17">IFERROR(ROUND(MEDIAN(_xlfn._xlws.FILTER(CrowdfundingTable[percent_funded],CrowdfundingTable[primary_category]=$A17)),2),"")</f>
        <v>1.23</v>
      </c>
    </row>
    <row r="18" spans="1:6" outlineLevel="1" x14ac:dyDescent="0.2">
      <c r="A18" s="104" t="s">
        <v>2046</v>
      </c>
      <c r="B18" s="105" t="str" cm="1">
        <f t="array" ref="B18">IFERROR(ROUND(MEDIAN(_xlfn._xlws.FILTER(CrowdfundingTable[percent_funded],(CrowdfundingTable[subcategory]=$A18)*(CrowdfundingTable[outcome]=$B$2))),2),"")</f>
        <v/>
      </c>
      <c r="C18" s="105" cm="1">
        <f t="array" ref="C18">IFERROR(ROUND(MEDIAN(_xlfn._xlws.FILTER(CrowdfundingTable[percent_funded],(CrowdfundingTable[subcategory]=$A18)*(CrowdfundingTable[outcome]=$C$2))),2),"")</f>
        <v>0.41</v>
      </c>
      <c r="D18" s="105" t="str" cm="1">
        <f t="array" ref="D18">IFERROR(ROUND(MEDIAN(_xlfn._xlws.FILTER(CrowdfundingTable[percent_funded],(CrowdfundingTable[subcategory]=$A18)*(CrowdfundingTable[outcome]=$D$2))),2),"")</f>
        <v/>
      </c>
      <c r="E18" s="105" cm="1">
        <f t="array" ref="E18">IFERROR(ROUND(MEDIAN(_xlfn._xlws.FILTER(CrowdfundingTable[percent_funded],(CrowdfundingTable[subcategory]=$A18)*(CrowdfundingTable[outcome]=$E$2))),2),"")</f>
        <v>2.09</v>
      </c>
      <c r="F18" s="105" cm="1">
        <f t="array" ref="F18">IFERROR(ROUND(MEDIAN(_xlfn._xlws.FILTER(CrowdfundingTable[percent_funded],CrowdfundingTable[subcategory]=$A18)),2),"")</f>
        <v>1.46</v>
      </c>
    </row>
    <row r="19" spans="1:6" outlineLevel="1" x14ac:dyDescent="0.2">
      <c r="A19" s="104" t="s">
        <v>2049</v>
      </c>
      <c r="B19" s="105" cm="1">
        <f t="array" ref="B19">IFERROR(ROUND(MEDIAN(_xlfn._xlws.FILTER(CrowdfundingTable[percent_funded],(CrowdfundingTable[subcategory]=$A19)*(CrowdfundingTable[outcome]=$B$2))),2),"")</f>
        <v>0.11</v>
      </c>
      <c r="C19" s="105" cm="1">
        <f t="array" ref="C19">IFERROR(ROUND(MEDIAN(_xlfn._xlws.FILTER(CrowdfundingTable[percent_funded],(CrowdfundingTable[subcategory]=$A19)*(CrowdfundingTable[outcome]=$C$2))),2),"")</f>
        <v>0.56999999999999995</v>
      </c>
      <c r="D19" s="105" t="str" cm="1">
        <f t="array" ref="D19">IFERROR(ROUND(MEDIAN(_xlfn._xlws.FILTER(CrowdfundingTable[percent_funded],(CrowdfundingTable[subcategory]=$A19)*(CrowdfundingTable[outcome]=$D$2))),2),"")</f>
        <v/>
      </c>
      <c r="E19" s="105" cm="1">
        <f t="array" ref="E19">IFERROR(ROUND(MEDIAN(_xlfn._xlws.FILTER(CrowdfundingTable[percent_funded],(CrowdfundingTable[subcategory]=$A19)*(CrowdfundingTable[outcome]=$E$2))),2),"")</f>
        <v>1.76</v>
      </c>
      <c r="F19" s="105" cm="1">
        <f t="array" ref="F19">IFERROR(ROUND(MEDIAN(_xlfn._xlws.FILTER(CrowdfundingTable[percent_funded],CrowdfundingTable[subcategory]=$A19)),2),"")</f>
        <v>1.04</v>
      </c>
    </row>
    <row r="20" spans="1:6" outlineLevel="1" x14ac:dyDescent="0.2">
      <c r="A20" s="104" t="s">
        <v>2050</v>
      </c>
      <c r="B20" s="105" cm="1">
        <f t="array" ref="B20">IFERROR(ROUND(MEDIAN(_xlfn._xlws.FILTER(CrowdfundingTable[percent_funded],(CrowdfundingTable[subcategory]=$A20)*(CrowdfundingTable[outcome]=$B$2))),2),"")</f>
        <v>0.19</v>
      </c>
      <c r="C20" s="105" cm="1">
        <f t="array" ref="C20">IFERROR(ROUND(MEDIAN(_xlfn._xlws.FILTER(CrowdfundingTable[percent_funded],(CrowdfundingTable[subcategory]=$A20)*(CrowdfundingTable[outcome]=$C$2))),2),"")</f>
        <v>0.19</v>
      </c>
      <c r="D20" s="105" t="str" cm="1">
        <f t="array" ref="D20">IFERROR(ROUND(MEDIAN(_xlfn._xlws.FILTER(CrowdfundingTable[percent_funded],(CrowdfundingTable[subcategory]=$A20)*(CrowdfundingTable[outcome]=$D$2))),2),"")</f>
        <v/>
      </c>
      <c r="E20" s="105" cm="1">
        <f t="array" ref="E20">IFERROR(ROUND(MEDIAN(_xlfn._xlws.FILTER(CrowdfundingTable[percent_funded],(CrowdfundingTable[subcategory]=$A20)*(CrowdfundingTable[outcome]=$E$2))),2),"")</f>
        <v>3.46</v>
      </c>
      <c r="F20" s="105" cm="1">
        <f t="array" ref="F20">IFERROR(ROUND(MEDIAN(_xlfn._xlws.FILTER(CrowdfundingTable[percent_funded],CrowdfundingTable[subcategory]=$A20)),2),"")</f>
        <v>1.77</v>
      </c>
    </row>
    <row r="21" spans="1:6" outlineLevel="1" x14ac:dyDescent="0.2">
      <c r="A21" s="104" t="s">
        <v>2051</v>
      </c>
      <c r="B21" s="105" t="str" cm="1">
        <f t="array" ref="B21">IFERROR(ROUND(MEDIAN(_xlfn._xlws.FILTER(CrowdfundingTable[percent_funded],(CrowdfundingTable[subcategory]=$A21)*(CrowdfundingTable[outcome]=$B$2))),2),"")</f>
        <v/>
      </c>
      <c r="C21" s="105" cm="1">
        <f t="array" ref="C21">IFERROR(ROUND(MEDIAN(_xlfn._xlws.FILTER(CrowdfundingTable[percent_funded],(CrowdfundingTable[subcategory]=$A21)*(CrowdfundingTable[outcome]=$C$2))),2),"")</f>
        <v>0.37</v>
      </c>
      <c r="D21" s="105" t="str" cm="1">
        <f t="array" ref="D21">IFERROR(ROUND(MEDIAN(_xlfn._xlws.FILTER(CrowdfundingTable[percent_funded],(CrowdfundingTable[subcategory]=$A21)*(CrowdfundingTable[outcome]=$D$2))),2),"")</f>
        <v/>
      </c>
      <c r="E21" s="105" cm="1">
        <f t="array" ref="E21">IFERROR(ROUND(MEDIAN(_xlfn._xlws.FILTER(CrowdfundingTable[percent_funded],(CrowdfundingTable[subcategory]=$A21)*(CrowdfundingTable[outcome]=$E$2))),2),"")</f>
        <v>3.16</v>
      </c>
      <c r="F21" s="105" cm="1">
        <f t="array" ref="F21">IFERROR(ROUND(MEDIAN(_xlfn._xlws.FILTER(CrowdfundingTable[percent_funded],CrowdfundingTable[subcategory]=$A21)),2),"")</f>
        <v>1.22</v>
      </c>
    </row>
    <row r="22" spans="1:6" outlineLevel="1" x14ac:dyDescent="0.2">
      <c r="A22" s="104" t="s">
        <v>2057</v>
      </c>
      <c r="B22" s="105" cm="1">
        <f t="array" ref="B22">IFERROR(ROUND(MEDIAN(_xlfn._xlws.FILTER(CrowdfundingTable[percent_funded],(CrowdfundingTable[subcategory]=$A22)*(CrowdfundingTable[outcome]=$B$2))),2),"")</f>
        <v>0.56999999999999995</v>
      </c>
      <c r="C22" s="105" cm="1">
        <f t="array" ref="C22">IFERROR(ROUND(MEDIAN(_xlfn._xlws.FILTER(CrowdfundingTable[percent_funded],(CrowdfundingTable[subcategory]=$A22)*(CrowdfundingTable[outcome]=$C$2))),2),"")</f>
        <v>0.45</v>
      </c>
      <c r="D22" s="105" t="str" cm="1">
        <f t="array" ref="D22">IFERROR(ROUND(MEDIAN(_xlfn._xlws.FILTER(CrowdfundingTable[percent_funded],(CrowdfundingTable[subcategory]=$A22)*(CrowdfundingTable[outcome]=$D$2))),2),"")</f>
        <v/>
      </c>
      <c r="E22" s="105" cm="1">
        <f t="array" ref="E22">IFERROR(ROUND(MEDIAN(_xlfn._xlws.FILTER(CrowdfundingTable[percent_funded],(CrowdfundingTable[subcategory]=$A22)*(CrowdfundingTable[outcome]=$E$2))),2),"")</f>
        <v>2.13</v>
      </c>
      <c r="F22" s="105" cm="1">
        <f t="array" ref="F22">IFERROR(ROUND(MEDIAN(_xlfn._xlws.FILTER(CrowdfundingTable[percent_funded],CrowdfundingTable[subcategory]=$A22)),2),"")</f>
        <v>1.25</v>
      </c>
    </row>
    <row r="23" spans="1:6" outlineLevel="1" x14ac:dyDescent="0.2">
      <c r="A23" s="104" t="s">
        <v>2065</v>
      </c>
      <c r="B23" s="105" t="str" cm="1">
        <f t="array" ref="B23">IFERROR(ROUND(MEDIAN(_xlfn._xlws.FILTER(CrowdfundingTable[percent_funded],(CrowdfundingTable[subcategory]=$A23)*(CrowdfundingTable[outcome]=$B$2))),2),"")</f>
        <v/>
      </c>
      <c r="C23" s="105" t="str" cm="1">
        <f t="array" ref="C23">IFERROR(ROUND(MEDIAN(_xlfn._xlws.FILTER(CrowdfundingTable[percent_funded],(CrowdfundingTable[subcategory]=$A23)*(CrowdfundingTable[outcome]=$C$2))),2),"")</f>
        <v/>
      </c>
      <c r="D23" s="105" t="str" cm="1">
        <f t="array" ref="D23">IFERROR(ROUND(MEDIAN(_xlfn._xlws.FILTER(CrowdfundingTable[percent_funded],(CrowdfundingTable[subcategory]=$A23)*(CrowdfundingTable[outcome]=$D$2))),2),"")</f>
        <v/>
      </c>
      <c r="E23" s="105" cm="1">
        <f t="array" ref="E23">IFERROR(ROUND(MEDIAN(_xlfn._xlws.FILTER(CrowdfundingTable[percent_funded],(CrowdfundingTable[subcategory]=$A23)*(CrowdfundingTable[outcome]=$E$2))),2),"")</f>
        <v>1.76</v>
      </c>
      <c r="F23" s="105" cm="1">
        <f t="array" ref="F23">IFERROR(ROUND(MEDIAN(_xlfn._xlws.FILTER(CrowdfundingTable[percent_funded],CrowdfundingTable[subcategory]=$A23)),2),"")</f>
        <v>1.76</v>
      </c>
    </row>
    <row r="24" spans="1:6" x14ac:dyDescent="0.2">
      <c r="A24" s="100" t="s">
        <v>2037</v>
      </c>
      <c r="B24" s="101" cm="1">
        <f t="array" ref="B24">IFERROR(ROUND(MEDIAN(_xlfn._xlws.FILTER(CrowdfundingTable[percent_funded],(CrowdfundingTable[primary_category]=$A24)*(CrowdfundingTable[outcome]=$B$2))),2),"")</f>
        <v>0.6</v>
      </c>
      <c r="C24" s="101" cm="1">
        <f t="array" ref="C24">IFERROR(ROUND(MEDIAN(_xlfn._xlws.FILTER(CrowdfundingTable[percent_funded],(CrowdfundingTable[primary_category]=$A24)*(CrowdfundingTable[outcome]=$C$2))),2),"")</f>
        <v>0.36</v>
      </c>
      <c r="D24" s="101" cm="1">
        <f t="array" ref="D24">IFERROR(ROUND(MEDIAN(_xlfn._xlws.FILTER(CrowdfundingTable[percent_funded],(CrowdfundingTable[primary_category]=$A24)*(CrowdfundingTable[outcome]=$D$2))),2),"")</f>
        <v>0.01</v>
      </c>
      <c r="E24" s="101" cm="1">
        <f t="array" ref="E24">IFERROR(ROUND(MEDIAN(_xlfn._xlws.FILTER(CrowdfundingTable[percent_funded],(CrowdfundingTable[primary_category]=$A24)*(CrowdfundingTable[outcome]=$E$2))),2),"")</f>
        <v>2.5499999999999998</v>
      </c>
      <c r="F24" s="101" cm="1">
        <f t="array" ref="F24">IFERROR(ROUND(MEDIAN(_xlfn._xlws.FILTER(CrowdfundingTable[percent_funded],CrowdfundingTable[primary_category]=$A24)),2),"")</f>
        <v>1.44</v>
      </c>
    </row>
    <row r="25" spans="1:6" outlineLevel="1" x14ac:dyDescent="0.2">
      <c r="A25" s="104" t="s">
        <v>2054</v>
      </c>
      <c r="B25" s="105" cm="1">
        <f t="array" ref="B25">IFERROR(ROUND(MEDIAN(_xlfn._xlws.FILTER(CrowdfundingTable[percent_funded],(CrowdfundingTable[subcategory]=$A25)*(CrowdfundingTable[outcome]=$B$2))),2),"")</f>
        <v>0.6</v>
      </c>
      <c r="C25" s="105" cm="1">
        <f t="array" ref="C25">IFERROR(ROUND(MEDIAN(_xlfn._xlws.FILTER(CrowdfundingTable[percent_funded],(CrowdfundingTable[subcategory]=$A25)*(CrowdfundingTable[outcome]=$C$2))),2),"")</f>
        <v>0.36</v>
      </c>
      <c r="D25" s="105" cm="1">
        <f t="array" ref="D25">IFERROR(ROUND(MEDIAN(_xlfn._xlws.FILTER(CrowdfundingTable[percent_funded],(CrowdfundingTable[subcategory]=$A25)*(CrowdfundingTable[outcome]=$D$2))),2),"")</f>
        <v>0.01</v>
      </c>
      <c r="E25" s="105" cm="1">
        <f t="array" ref="E25">IFERROR(ROUND(MEDIAN(_xlfn._xlws.FILTER(CrowdfundingTable[percent_funded],(CrowdfundingTable[subcategory]=$A25)*(CrowdfundingTable[outcome]=$E$2))),2),"")</f>
        <v>2.5499999999999998</v>
      </c>
      <c r="F25" s="105" cm="1">
        <f t="array" ref="F25">IFERROR(ROUND(MEDIAN(_xlfn._xlws.FILTER(CrowdfundingTable[percent_funded],CrowdfundingTable[subcategory]=$A25)),2),"")</f>
        <v>1.44</v>
      </c>
    </row>
    <row r="26" spans="1:6" x14ac:dyDescent="0.2">
      <c r="A26" s="100" t="s">
        <v>2038</v>
      </c>
      <c r="B26" s="101" cm="1">
        <f t="array" ref="B26">IFERROR(ROUND(MEDIAN(_xlfn._xlws.FILTER(CrowdfundingTable[percent_funded],(CrowdfundingTable[primary_category]=$A26)*(CrowdfundingTable[outcome]=$B$2))),2),"")</f>
        <v>0.36</v>
      </c>
      <c r="C26" s="101" cm="1">
        <f t="array" ref="C26">IFERROR(ROUND(MEDIAN(_xlfn._xlws.FILTER(CrowdfundingTable[percent_funded],(CrowdfundingTable[primary_category]=$A26)*(CrowdfundingTable[outcome]=$C$2))),2),"")</f>
        <v>0.42</v>
      </c>
      <c r="D26" s="101" cm="1">
        <f t="array" ref="D26">IFERROR(ROUND(MEDIAN(_xlfn._xlws.FILTER(CrowdfundingTable[percent_funded],(CrowdfundingTable[primary_category]=$A26)*(CrowdfundingTable[outcome]=$D$2))),2),"")</f>
        <v>0.02</v>
      </c>
      <c r="E26" s="101" cm="1">
        <f t="array" ref="E26">IFERROR(ROUND(MEDIAN(_xlfn._xlws.FILTER(CrowdfundingTable[percent_funded],(CrowdfundingTable[primary_category]=$A26)*(CrowdfundingTable[outcome]=$E$2))),2),"")</f>
        <v>2.2799999999999998</v>
      </c>
      <c r="F26" s="101" cm="1">
        <f t="array" ref="F26">IFERROR(ROUND(MEDIAN(_xlfn._xlws.FILTER(CrowdfundingTable[percent_funded],CrowdfundingTable[primary_category]=$A26)),2),"")</f>
        <v>1.26</v>
      </c>
    </row>
    <row r="27" spans="1:6" outlineLevel="1" x14ac:dyDescent="0.2">
      <c r="A27" s="104" t="s">
        <v>2047</v>
      </c>
      <c r="B27" s="105" cm="1">
        <f t="array" ref="B27">IFERROR(ROUND(MEDIAN(_xlfn._xlws.FILTER(CrowdfundingTable[percent_funded],(CrowdfundingTable[subcategory]=$A27)*(CrowdfundingTable[outcome]=$B$2))),2),"")</f>
        <v>0.39</v>
      </c>
      <c r="C27" s="105" cm="1">
        <f t="array" ref="C27">IFERROR(ROUND(MEDIAN(_xlfn._xlws.FILTER(CrowdfundingTable[percent_funded],(CrowdfundingTable[subcategory]=$A27)*(CrowdfundingTable[outcome]=$C$2))),2),"")</f>
        <v>0.64</v>
      </c>
      <c r="D27" s="105" t="str" cm="1">
        <f t="array" ref="D27">IFERROR(ROUND(MEDIAN(_xlfn._xlws.FILTER(CrowdfundingTable[percent_funded],(CrowdfundingTable[subcategory]=$A27)*(CrowdfundingTable[outcome]=$D$2))),2),"")</f>
        <v/>
      </c>
      <c r="E27" s="105" cm="1">
        <f t="array" ref="E27">IFERROR(ROUND(MEDIAN(_xlfn._xlws.FILTER(CrowdfundingTable[percent_funded],(CrowdfundingTable[subcategory]=$A27)*(CrowdfundingTable[outcome]=$E$2))),2),"")</f>
        <v>1.5</v>
      </c>
      <c r="F27" s="105" cm="1">
        <f t="array" ref="F27">IFERROR(ROUND(MEDIAN(_xlfn._xlws.FILTER(CrowdfundingTable[percent_funded],CrowdfundingTable[subcategory]=$A27)),2),"")</f>
        <v>1.1000000000000001</v>
      </c>
    </row>
    <row r="28" spans="1:6" outlineLevel="1" x14ac:dyDescent="0.2">
      <c r="A28" s="104" t="s">
        <v>2053</v>
      </c>
      <c r="B28" s="105" cm="1">
        <f t="array" ref="B28">IFERROR(ROUND(MEDIAN(_xlfn._xlws.FILTER(CrowdfundingTable[percent_funded],(CrowdfundingTable[subcategory]=$A28)*(CrowdfundingTable[outcome]=$B$2))),2),"")</f>
        <v>0.33</v>
      </c>
      <c r="C28" s="105" cm="1">
        <f t="array" ref="C28">IFERROR(ROUND(MEDIAN(_xlfn._xlws.FILTER(CrowdfundingTable[percent_funded],(CrowdfundingTable[subcategory]=$A28)*(CrowdfundingTable[outcome]=$C$2))),2),"")</f>
        <v>0.41</v>
      </c>
      <c r="D28" s="105" cm="1">
        <f t="array" ref="D28">IFERROR(ROUND(MEDIAN(_xlfn._xlws.FILTER(CrowdfundingTable[percent_funded],(CrowdfundingTable[subcategory]=$A28)*(CrowdfundingTable[outcome]=$D$2))),2),"")</f>
        <v>0.02</v>
      </c>
      <c r="E28" s="105" cm="1">
        <f t="array" ref="E28">IFERROR(ROUND(MEDIAN(_xlfn._xlws.FILTER(CrowdfundingTable[percent_funded],(CrowdfundingTable[subcategory]=$A28)*(CrowdfundingTable[outcome]=$E$2))),2),"")</f>
        <v>2.3199999999999998</v>
      </c>
      <c r="F28" s="105" cm="1">
        <f t="array" ref="F28">IFERROR(ROUND(MEDIAN(_xlfn._xlws.FILTER(CrowdfundingTable[percent_funded],CrowdfundingTable[subcategory]=$A28)),2),"")</f>
        <v>1.46</v>
      </c>
    </row>
    <row r="29" spans="1:6" outlineLevel="1" x14ac:dyDescent="0.2">
      <c r="A29" s="104" t="s">
        <v>2056</v>
      </c>
      <c r="B29" s="105" t="str" cm="1">
        <f t="array" ref="B29">IFERROR(ROUND(MEDIAN(_xlfn._xlws.FILTER(CrowdfundingTable[percent_funded],(CrowdfundingTable[subcategory]=$A29)*(CrowdfundingTable[outcome]=$B$2))),2),"")</f>
        <v/>
      </c>
      <c r="C29" s="105" cm="1">
        <f t="array" ref="C29">IFERROR(ROUND(MEDIAN(_xlfn._xlws.FILTER(CrowdfundingTable[percent_funded],(CrowdfundingTable[subcategory]=$A29)*(CrowdfundingTable[outcome]=$C$2))),2),"")</f>
        <v>0.33</v>
      </c>
      <c r="D29" s="105" t="str" cm="1">
        <f t="array" ref="D29">IFERROR(ROUND(MEDIAN(_xlfn._xlws.FILTER(CrowdfundingTable[percent_funded],(CrowdfundingTable[subcategory]=$A29)*(CrowdfundingTable[outcome]=$D$2))),2),"")</f>
        <v/>
      </c>
      <c r="E29" s="105" cm="1">
        <f t="array" ref="E29">IFERROR(ROUND(MEDIAN(_xlfn._xlws.FILTER(CrowdfundingTable[percent_funded],(CrowdfundingTable[subcategory]=$A29)*(CrowdfundingTable[outcome]=$E$2))),2),"")</f>
        <v>1.74</v>
      </c>
      <c r="F29" s="105" cm="1">
        <f t="array" ref="F29">IFERROR(ROUND(MEDIAN(_xlfn._xlws.FILTER(CrowdfundingTable[percent_funded],CrowdfundingTable[subcategory]=$A29)),2),"")</f>
        <v>1.01</v>
      </c>
    </row>
    <row r="30" spans="1:6" outlineLevel="1" x14ac:dyDescent="0.2">
      <c r="A30" s="104" t="s">
        <v>2061</v>
      </c>
      <c r="B30" s="105" t="str" cm="1">
        <f t="array" ref="B30">IFERROR(ROUND(MEDIAN(_xlfn._xlws.FILTER(CrowdfundingTable[percent_funded],(CrowdfundingTable[subcategory]=$A30)*(CrowdfundingTable[outcome]=$B$2))),2),"")</f>
        <v/>
      </c>
      <c r="C30" s="105" cm="1">
        <f t="array" ref="C30">IFERROR(ROUND(MEDIAN(_xlfn._xlws.FILTER(CrowdfundingTable[percent_funded],(CrowdfundingTable[subcategory]=$A30)*(CrowdfundingTable[outcome]=$C$2))),2),"")</f>
        <v>0.41</v>
      </c>
      <c r="D30" s="105" t="str" cm="1">
        <f t="array" ref="D30">IFERROR(ROUND(MEDIAN(_xlfn._xlws.FILTER(CrowdfundingTable[percent_funded],(CrowdfundingTable[subcategory]=$A30)*(CrowdfundingTable[outcome]=$D$2))),2),"")</f>
        <v/>
      </c>
      <c r="E30" s="105" cm="1">
        <f t="array" ref="E30">IFERROR(ROUND(MEDIAN(_xlfn._xlws.FILTER(CrowdfundingTable[percent_funded],(CrowdfundingTable[subcategory]=$A30)*(CrowdfundingTable[outcome]=$E$2))),2),"")</f>
        <v>2.41</v>
      </c>
      <c r="F30" s="105" cm="1">
        <f t="array" ref="F30">IFERROR(ROUND(MEDIAN(_xlfn._xlws.FILTER(CrowdfundingTable[percent_funded],CrowdfundingTable[subcategory]=$A30)),2),"")</f>
        <v>1.58</v>
      </c>
    </row>
    <row r="31" spans="1:6" x14ac:dyDescent="0.2">
      <c r="A31" s="100" t="s">
        <v>2039</v>
      </c>
      <c r="B31" s="101" cm="1">
        <f t="array" ref="B31">IFERROR(ROUND(MEDIAN(_xlfn._xlws.FILTER(CrowdfundingTable[percent_funded],(CrowdfundingTable[primary_category]=$A31)*(CrowdfundingTable[outcome]=$B$2))),2),"")</f>
        <v>0.64</v>
      </c>
      <c r="C31" s="101" cm="1">
        <f t="array" ref="C31">IFERROR(ROUND(MEDIAN(_xlfn._xlws.FILTER(CrowdfundingTable[percent_funded],(CrowdfundingTable[primary_category]=$A31)*(CrowdfundingTable[outcome]=$C$2))),2),"")</f>
        <v>0.62</v>
      </c>
      <c r="D31" s="101" cm="1">
        <f t="array" ref="D31">IFERROR(ROUND(MEDIAN(_xlfn._xlws.FILTER(CrowdfundingTable[percent_funded],(CrowdfundingTable[primary_category]=$A31)*(CrowdfundingTable[outcome]=$D$2))),2),"")</f>
        <v>0.61</v>
      </c>
      <c r="E31" s="101" cm="1">
        <f t="array" ref="E31">IFERROR(ROUND(MEDIAN(_xlfn._xlws.FILTER(CrowdfundingTable[percent_funded],(CrowdfundingTable[primary_category]=$A31)*(CrowdfundingTable[outcome]=$E$2))),2),"")</f>
        <v>1.99</v>
      </c>
      <c r="F31" s="101" cm="1">
        <f t="array" ref="F31">IFERROR(ROUND(MEDIAN(_xlfn._xlws.FILTER(CrowdfundingTable[percent_funded],CrowdfundingTable[primary_category]=$A31)),2),"")</f>
        <v>1.32</v>
      </c>
    </row>
    <row r="32" spans="1:6" outlineLevel="1" x14ac:dyDescent="0.2">
      <c r="A32" s="104" t="s">
        <v>2063</v>
      </c>
      <c r="B32" s="105" t="str" cm="1">
        <f t="array" ref="B32">IFERROR(ROUND(MEDIAN(_xlfn._xlws.FILTER(CrowdfundingTable[percent_funded],(CrowdfundingTable[subcategory]=$A32)*(CrowdfundingTable[outcome]=$B$2))),2),"")</f>
        <v/>
      </c>
      <c r="C32" s="105" cm="1">
        <f t="array" ref="C32">IFERROR(ROUND(MEDIAN(_xlfn._xlws.FILTER(CrowdfundingTable[percent_funded],(CrowdfundingTable[subcategory]=$A32)*(CrowdfundingTable[outcome]=$C$2))),2),"")</f>
        <v>0.59</v>
      </c>
      <c r="D32" s="105" cm="1">
        <f t="array" ref="D32">IFERROR(ROUND(MEDIAN(_xlfn._xlws.FILTER(CrowdfundingTable[percent_funded],(CrowdfundingTable[subcategory]=$A32)*(CrowdfundingTable[outcome]=$D$2))),2),"")</f>
        <v>0.59</v>
      </c>
      <c r="E32" s="105" cm="1">
        <f t="array" ref="E32">IFERROR(ROUND(MEDIAN(_xlfn._xlws.FILTER(CrowdfundingTable[percent_funded],(CrowdfundingTable[subcategory]=$A32)*(CrowdfundingTable[outcome]=$E$2))),2),"")</f>
        <v>2.21</v>
      </c>
      <c r="F32" s="105" cm="1">
        <f t="array" ref="F32">IFERROR(ROUND(MEDIAN(_xlfn._xlws.FILTER(CrowdfundingTable[percent_funded],CrowdfundingTable[subcategory]=$A32)),2),"")</f>
        <v>1.44</v>
      </c>
    </row>
    <row r="33" spans="1:6" outlineLevel="1" x14ac:dyDescent="0.2">
      <c r="A33" s="104" t="s">
        <v>2064</v>
      </c>
      <c r="B33" s="105" cm="1">
        <f t="array" ref="B33">IFERROR(ROUND(MEDIAN(_xlfn._xlws.FILTER(CrowdfundingTable[percent_funded],(CrowdfundingTable[subcategory]=$A33)*(CrowdfundingTable[outcome]=$B$2))),2),"")</f>
        <v>0.64</v>
      </c>
      <c r="C33" s="105" cm="1">
        <f t="array" ref="C33">IFERROR(ROUND(MEDIAN(_xlfn._xlws.FILTER(CrowdfundingTable[percent_funded],(CrowdfundingTable[subcategory]=$A33)*(CrowdfundingTable[outcome]=$C$2))),2),"")</f>
        <v>0.63</v>
      </c>
      <c r="D33" s="105" cm="1">
        <f t="array" ref="D33">IFERROR(ROUND(MEDIAN(_xlfn._xlws.FILTER(CrowdfundingTable[percent_funded],(CrowdfundingTable[subcategory]=$A33)*(CrowdfundingTable[outcome]=$D$2))),2),"")</f>
        <v>0.62</v>
      </c>
      <c r="E33" s="105" cm="1">
        <f t="array" ref="E33">IFERROR(ROUND(MEDIAN(_xlfn._xlws.FILTER(CrowdfundingTable[percent_funded],(CrowdfundingTable[subcategory]=$A33)*(CrowdfundingTable[outcome]=$E$2))),2),"")</f>
        <v>1.88</v>
      </c>
      <c r="F33" s="105" cm="1">
        <f t="array" ref="F33">IFERROR(ROUND(MEDIAN(_xlfn._xlws.FILTER(CrowdfundingTable[percent_funded],CrowdfundingTable[subcategory]=$A33)),2),"")</f>
        <v>1.28</v>
      </c>
    </row>
    <row r="34" spans="1:6" x14ac:dyDescent="0.2">
      <c r="A34" s="100" t="s">
        <v>2040</v>
      </c>
      <c r="B34" s="101" cm="1">
        <f t="array" ref="B34">IFERROR(ROUND(MEDIAN(_xlfn._xlws.FILTER(CrowdfundingTable[percent_funded],(CrowdfundingTable[primary_category]=$A34)*(CrowdfundingTable[outcome]=$B$2))),2),"")</f>
        <v>0.48</v>
      </c>
      <c r="C34" s="101" cm="1">
        <f t="array" ref="C34">IFERROR(ROUND(MEDIAN(_xlfn._xlws.FILTER(CrowdfundingTable[percent_funded],(CrowdfundingTable[primary_category]=$A34)*(CrowdfundingTable[outcome]=$C$2))),2),"")</f>
        <v>0.51</v>
      </c>
      <c r="D34" s="101" cm="1">
        <f t="array" ref="D34">IFERROR(ROUND(MEDIAN(_xlfn._xlws.FILTER(CrowdfundingTable[percent_funded],(CrowdfundingTable[primary_category]=$A34)*(CrowdfundingTable[outcome]=$D$2))),2),"")</f>
        <v>0.31</v>
      </c>
      <c r="E34" s="101" cm="1">
        <f t="array" ref="E34">IFERROR(ROUND(MEDIAN(_xlfn._xlws.FILTER(CrowdfundingTable[percent_funded],(CrowdfundingTable[primary_category]=$A34)*(CrowdfundingTable[outcome]=$E$2))),2),"")</f>
        <v>2.02</v>
      </c>
      <c r="F34" s="101" cm="1">
        <f t="array" ref="F34">IFERROR(ROUND(MEDIAN(_xlfn._xlws.FILTER(CrowdfundingTable[percent_funded],CrowdfundingTable[primary_category]=$A34)),2),"")</f>
        <v>1.1299999999999999</v>
      </c>
    </row>
    <row r="35" spans="1:6" outlineLevel="1" x14ac:dyDescent="0.2">
      <c r="A35" s="104" t="s">
        <v>2055</v>
      </c>
      <c r="B35" s="105" cm="1">
        <f t="array" ref="B35">IFERROR(ROUND(MEDIAN(_xlfn._xlws.FILTER(CrowdfundingTable[percent_funded],(CrowdfundingTable[subcategory]=$A35)*(CrowdfundingTable[outcome]=$B$2))),2),"")</f>
        <v>0.48</v>
      </c>
      <c r="C35" s="105" cm="1">
        <f t="array" ref="C35">IFERROR(ROUND(MEDIAN(_xlfn._xlws.FILTER(CrowdfundingTable[percent_funded],(CrowdfundingTable[subcategory]=$A35)*(CrowdfundingTable[outcome]=$C$2))),2),"")</f>
        <v>0.51</v>
      </c>
      <c r="D35" s="105" cm="1">
        <f t="array" ref="D35">IFERROR(ROUND(MEDIAN(_xlfn._xlws.FILTER(CrowdfundingTable[percent_funded],(CrowdfundingTable[subcategory]=$A35)*(CrowdfundingTable[outcome]=$D$2))),2),"")</f>
        <v>0.31</v>
      </c>
      <c r="E35" s="105" cm="1">
        <f t="array" ref="E35">IFERROR(ROUND(MEDIAN(_xlfn._xlws.FILTER(CrowdfundingTable[percent_funded],(CrowdfundingTable[subcategory]=$A35)*(CrowdfundingTable[outcome]=$E$2))),2),"")</f>
        <v>2.02</v>
      </c>
      <c r="F35" s="105" cm="1">
        <f t="array" ref="F35">IFERROR(ROUND(MEDIAN(_xlfn._xlws.FILTER(CrowdfundingTable[percent_funded],CrowdfundingTable[subcategory]=$A35)),2),"")</f>
        <v>1.1299999999999999</v>
      </c>
    </row>
    <row r="36" spans="1:6" x14ac:dyDescent="0.2">
      <c r="A36" s="102" t="s">
        <v>2030</v>
      </c>
      <c r="B36" s="103" cm="1">
        <f t="array" ref="B36">IFERROR(ROUND(MEDIAN(_xlfn._xlws.FILTER(CrowdfundingTable[percent_funded],CrowdfundingTable[outcome]=$B$2)),2),"")</f>
        <v>0.43</v>
      </c>
      <c r="C36" s="103" cm="1">
        <f t="array" ref="C36">IFERROR(ROUND(MEDIAN(_xlfn._xlws.FILTER(CrowdfundingTable[percent_funded],CrowdfundingTable[outcome]=$C$2)),2),"")</f>
        <v>0.51</v>
      </c>
      <c r="D36" s="103" cm="1">
        <f t="array" ref="D36">IFERROR(ROUND(MEDIAN(_xlfn._xlws.FILTER(CrowdfundingTable[percent_funded],CrowdfundingTable[outcome]=$D$2)),2),"")</f>
        <v>0.5</v>
      </c>
      <c r="E36" s="103" cm="1">
        <f t="array" ref="E36">IFERROR(ROUND(MEDIAN(_xlfn._xlws.FILTER(CrowdfundingTable[percent_funded],CrowdfundingTable[outcome]=$E$2)),2),"")</f>
        <v>2.12</v>
      </c>
      <c r="F36" s="103">
        <f>IFERROR(ROUND(MEDIAN(CrowdfundingTable[percent_funded]),2),"")</f>
        <v>1.22</v>
      </c>
    </row>
  </sheetData>
  <pageMargins left="0.7" right="0.7" top="0.75" bottom="0.75" header="0.3" footer="0.3"/>
  <ignoredErrors>
    <ignoredError sqref="B10:F20 B32:F34 B31:D31 E31:F31 B22:F30 B21:D21 F21" formula="1"/>
  </ignoredErrors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7A5AE-6B12-264F-8C6A-F009B8D1F9B9}">
  <dimension ref="A1:O18"/>
  <sheetViews>
    <sheetView zoomScale="120" zoomScaleNormal="120" workbookViewId="0">
      <selection activeCell="A3" sqref="A3"/>
    </sheetView>
  </sheetViews>
  <sheetFormatPr baseColWidth="10" defaultRowHeight="16" x14ac:dyDescent="0.2"/>
  <cols>
    <col min="1" max="2" width="15.83203125" style="5" customWidth="1"/>
    <col min="3" max="5" width="10.83203125" style="5" customWidth="1"/>
    <col min="6" max="8" width="10.83203125" style="33" customWidth="1"/>
    <col min="9" max="9" width="16.83203125" style="5" bestFit="1" customWidth="1"/>
    <col min="10" max="10" width="19.33203125" style="5" bestFit="1" customWidth="1"/>
    <col min="11" max="11" width="6.33203125" style="5" bestFit="1" customWidth="1"/>
    <col min="12" max="12" width="10.1640625" style="5" bestFit="1" customWidth="1"/>
    <col min="13" max="13" width="11.6640625" style="5" bestFit="1" customWidth="1"/>
    <col min="14" max="15" width="10.83203125" style="21"/>
    <col min="16" max="16384" width="10.83203125" style="5"/>
  </cols>
  <sheetData>
    <row r="1" spans="1:15" x14ac:dyDescent="0.2">
      <c r="A1" s="9" t="s">
        <v>6</v>
      </c>
      <c r="B1" s="5" t="s">
        <v>2041</v>
      </c>
      <c r="I1" s="9" t="s">
        <v>6</v>
      </c>
      <c r="J1" s="5" t="s">
        <v>2041</v>
      </c>
    </row>
    <row r="2" spans="1:15" x14ac:dyDescent="0.2">
      <c r="A2" s="9" t="s">
        <v>2078</v>
      </c>
      <c r="B2" s="5" t="s">
        <v>2041</v>
      </c>
      <c r="I2" s="9" t="s">
        <v>2078</v>
      </c>
      <c r="J2" s="5" t="s">
        <v>2041</v>
      </c>
    </row>
    <row r="3" spans="1:15" x14ac:dyDescent="0.2">
      <c r="F3" s="5"/>
    </row>
    <row r="4" spans="1:15" x14ac:dyDescent="0.2">
      <c r="A4" s="9" t="s">
        <v>2028</v>
      </c>
      <c r="B4" s="22" t="s">
        <v>2029</v>
      </c>
      <c r="C4" s="21"/>
      <c r="D4" s="21"/>
      <c r="E4" s="21"/>
      <c r="F4" s="5"/>
      <c r="I4" s="9" t="s">
        <v>2028</v>
      </c>
      <c r="J4" s="22" t="s">
        <v>2029</v>
      </c>
      <c r="K4" s="21"/>
      <c r="L4" s="21"/>
      <c r="M4" s="21"/>
      <c r="N4" s="113" t="s">
        <v>2235</v>
      </c>
      <c r="O4" s="113"/>
    </row>
    <row r="5" spans="1:15" x14ac:dyDescent="0.2">
      <c r="A5" s="9" t="s">
        <v>2031</v>
      </c>
      <c r="B5" s="21" t="s">
        <v>74</v>
      </c>
      <c r="C5" s="21" t="s">
        <v>14</v>
      </c>
      <c r="D5" s="21" t="s">
        <v>20</v>
      </c>
      <c r="E5" s="5" t="s">
        <v>2030</v>
      </c>
      <c r="F5" s="5"/>
      <c r="I5" s="9" t="s">
        <v>2031</v>
      </c>
      <c r="J5" s="5" t="s">
        <v>74</v>
      </c>
      <c r="K5" s="5" t="s">
        <v>14</v>
      </c>
      <c r="L5" s="5" t="s">
        <v>20</v>
      </c>
      <c r="M5" s="21" t="s">
        <v>2030</v>
      </c>
      <c r="N5" s="113" t="s">
        <v>2236</v>
      </c>
      <c r="O5" s="113"/>
    </row>
    <row r="6" spans="1:15" x14ac:dyDescent="0.2">
      <c r="A6" s="10" t="s">
        <v>2113</v>
      </c>
      <c r="B6" s="21">
        <v>8</v>
      </c>
      <c r="C6" s="21">
        <v>47</v>
      </c>
      <c r="D6" s="21">
        <v>78</v>
      </c>
      <c r="E6" s="21">
        <v>133</v>
      </c>
      <c r="F6" s="5"/>
      <c r="I6" s="10" t="s">
        <v>2113</v>
      </c>
      <c r="J6" s="26">
        <v>6.0150375939849621E-2</v>
      </c>
      <c r="K6" s="26">
        <v>0.35338345864661652</v>
      </c>
      <c r="L6" s="26">
        <v>0.5864661654135338</v>
      </c>
      <c r="M6" s="26">
        <v>1</v>
      </c>
      <c r="N6" s="112">
        <f>GETPIVOTDATA("outcome",$I$4,"outcome","successful","weekday_created","Sun")-1.96*GETPIVOTDATA("outcome",$I$4,"outcome","successful","weekday_created","Sun")*(1-GETPIVOTDATA("outcome",$I$4,"outcome","successful","weekday_created","Sun"))/GETPIVOTDATA("outcome",$A$4,"weekday_created","Sun")</f>
        <v>0.58289213338054269</v>
      </c>
      <c r="O6" s="112">
        <f>GETPIVOTDATA("outcome",$I$4,"outcome","successful","weekday_created","Sun")+1.96*GETPIVOTDATA("outcome",$I$4,"outcome","successful","weekday_created","Sun")*(1-GETPIVOTDATA("outcome",$I$4,"outcome","successful","weekday_created","Sun"))/GETPIVOTDATA("outcome",$A$4,"weekday_created","Sun")</f>
        <v>0.59004019744652492</v>
      </c>
    </row>
    <row r="7" spans="1:15" x14ac:dyDescent="0.2">
      <c r="A7" s="10" t="s">
        <v>2114</v>
      </c>
      <c r="B7" s="21">
        <v>6</v>
      </c>
      <c r="C7" s="21">
        <v>46</v>
      </c>
      <c r="D7" s="21">
        <v>100</v>
      </c>
      <c r="E7" s="21">
        <v>152</v>
      </c>
      <c r="F7" s="5"/>
      <c r="I7" s="10" t="s">
        <v>2114</v>
      </c>
      <c r="J7" s="26">
        <v>3.9473684210526314E-2</v>
      </c>
      <c r="K7" s="26">
        <v>0.30263157894736842</v>
      </c>
      <c r="L7" s="26">
        <v>0.65789473684210531</v>
      </c>
      <c r="M7" s="26">
        <v>1</v>
      </c>
      <c r="N7" s="112">
        <f>GETPIVOTDATA("outcome",$I$4,"outcome","successful","weekday_created","Mon")-1.96*GETPIVOTDATA("outcome",$I$4,"outcome","successful","weekday_created","Mon")*(1-GETPIVOTDATA("outcome",$I$4,"outcome","successful","weekday_created","Mon"))/GETPIVOTDATA("outcome",$A$4,"weekday_created","Mon")</f>
        <v>0.65499252806531572</v>
      </c>
      <c r="O7" s="112">
        <f>GETPIVOTDATA("outcome",$I$4,"outcome","successful","weekday_created","Mon")+1.96*GETPIVOTDATA("outcome",$I$4,"outcome","successful","weekday_created","Mon")*(1-GETPIVOTDATA("outcome",$I$4,"outcome","successful","weekday_created","Mon"))/GETPIVOTDATA("outcome",$A$4,"weekday_created","Mon")</f>
        <v>0.6607969456188949</v>
      </c>
    </row>
    <row r="8" spans="1:15" x14ac:dyDescent="0.2">
      <c r="A8" s="10" t="s">
        <v>2115</v>
      </c>
      <c r="B8" s="21">
        <v>7</v>
      </c>
      <c r="C8" s="21">
        <v>58</v>
      </c>
      <c r="D8" s="21">
        <v>84</v>
      </c>
      <c r="E8" s="21">
        <v>149</v>
      </c>
      <c r="F8" s="5"/>
      <c r="I8" s="10" t="s">
        <v>2115</v>
      </c>
      <c r="J8" s="26">
        <v>4.6979865771812082E-2</v>
      </c>
      <c r="K8" s="26">
        <v>0.38926174496644295</v>
      </c>
      <c r="L8" s="26">
        <v>0.56375838926174493</v>
      </c>
      <c r="M8" s="26">
        <v>1</v>
      </c>
      <c r="N8" s="112">
        <f>GETPIVOTDATA("outcome",$I$4,"outcome","successful","weekday_created","Tue")-1.96*GETPIVOTDATA("outcome",$I$4,"outcome","successful","weekday_created","Tue")*(1-GETPIVOTDATA("outcome",$I$4,"outcome","successful","weekday_created","Tue"))/GETPIVOTDATA("outcome",$A$4,"weekday_created","Tue")</f>
        <v>0.56052327287996273</v>
      </c>
      <c r="O8" s="112">
        <f>GETPIVOTDATA("outcome",$I$4,"outcome","successful","weekday_created","Tue")+1.96*GETPIVOTDATA("outcome",$I$4,"outcome","successful","weekday_created","Tue")*(1-GETPIVOTDATA("outcome",$I$4,"outcome","successful","weekday_created","Tue"))/GETPIVOTDATA("outcome",$A$4,"weekday_created","Tue")</f>
        <v>0.56699350564352713</v>
      </c>
    </row>
    <row r="9" spans="1:15" x14ac:dyDescent="0.2">
      <c r="A9" s="10" t="s">
        <v>2116</v>
      </c>
      <c r="B9" s="21">
        <v>9</v>
      </c>
      <c r="C9" s="21">
        <v>51</v>
      </c>
      <c r="D9" s="21">
        <v>76</v>
      </c>
      <c r="E9" s="21">
        <v>136</v>
      </c>
      <c r="F9" s="5"/>
      <c r="I9" s="10" t="s">
        <v>2116</v>
      </c>
      <c r="J9" s="26">
        <v>6.6176470588235295E-2</v>
      </c>
      <c r="K9" s="26">
        <v>0.375</v>
      </c>
      <c r="L9" s="26">
        <v>0.55882352941176472</v>
      </c>
      <c r="M9" s="26">
        <v>1</v>
      </c>
      <c r="N9" s="112">
        <f>GETPIVOTDATA("outcome",$I$4,"outcome","successful","weekday_created","Wed")-1.96*GETPIVOTDATA("outcome",$I$4,"outcome","successful","weekday_created","Wed")*(1-GETPIVOTDATA("outcome",$I$4,"outcome","successful","weekday_created","Wed"))/GETPIVOTDATA("outcome",$A$4,"weekday_created","Wed")</f>
        <v>0.55527045593323832</v>
      </c>
      <c r="O9" s="112">
        <f>GETPIVOTDATA("outcome",$I$4,"outcome","successful","weekday_created","Wed")+1.96*GETPIVOTDATA("outcome",$I$4,"outcome","successful","weekday_created","Wed")*(1-GETPIVOTDATA("outcome",$I$4,"outcome","successful","weekday_created","Wed"))/GETPIVOTDATA("outcome",$A$4,"weekday_created","Wed")</f>
        <v>0.56237660289029112</v>
      </c>
    </row>
    <row r="10" spans="1:15" x14ac:dyDescent="0.2">
      <c r="A10" s="10" t="s">
        <v>2117</v>
      </c>
      <c r="B10" s="21">
        <v>11</v>
      </c>
      <c r="C10" s="21">
        <v>53</v>
      </c>
      <c r="D10" s="21">
        <v>78</v>
      </c>
      <c r="E10" s="21">
        <v>142</v>
      </c>
      <c r="F10" s="5"/>
      <c r="I10" s="10" t="s">
        <v>2117</v>
      </c>
      <c r="J10" s="26">
        <v>7.746478873239436E-2</v>
      </c>
      <c r="K10" s="26">
        <v>0.37323943661971831</v>
      </c>
      <c r="L10" s="26">
        <v>0.54929577464788737</v>
      </c>
      <c r="M10" s="26">
        <v>1</v>
      </c>
      <c r="N10" s="112">
        <f>GETPIVOTDATA("outcome",$I$4,"outcome","successful","weekday_created","Thu")-1.96*GETPIVOTDATA("outcome",$I$4,"outcome","successful","weekday_created","Thu")*(1-GETPIVOTDATA("outcome",$I$4,"outcome","successful","weekday_created","Thu"))/GETPIVOTDATA("outcome",$A$4,"weekday_created","Thu")</f>
        <v>0.54587861228070667</v>
      </c>
      <c r="O10" s="112">
        <f>GETPIVOTDATA("outcome",$I$4,"outcome","successful","weekday_created","Thu")+1.96*GETPIVOTDATA("outcome",$I$4,"outcome","successful","weekday_created","Thu")*(1-GETPIVOTDATA("outcome",$I$4,"outcome","successful","weekday_created","Thu"))/GETPIVOTDATA("outcome",$A$4,"weekday_created","Thu")</f>
        <v>0.55271293701506807</v>
      </c>
    </row>
    <row r="11" spans="1:15" x14ac:dyDescent="0.2">
      <c r="A11" s="10" t="s">
        <v>2118</v>
      </c>
      <c r="B11" s="21">
        <v>8</v>
      </c>
      <c r="C11" s="21">
        <v>64</v>
      </c>
      <c r="D11" s="21">
        <v>75</v>
      </c>
      <c r="E11" s="21">
        <v>147</v>
      </c>
      <c r="F11" s="5"/>
      <c r="I11" s="10" t="s">
        <v>2118</v>
      </c>
      <c r="J11" s="26">
        <v>5.4421768707482991E-2</v>
      </c>
      <c r="K11" s="26">
        <v>0.43537414965986393</v>
      </c>
      <c r="L11" s="26">
        <v>0.51020408163265307</v>
      </c>
      <c r="M11" s="26">
        <v>1</v>
      </c>
      <c r="N11" s="112">
        <f>GETPIVOTDATA("outcome",$I$4,"outcome","successful","weekday_created","Fri")-1.96*GETPIVOTDATA("outcome",$I$4,"outcome","successful","weekday_created","Fri")*(1-GETPIVOTDATA("outcome",$I$4,"outcome","successful","weekday_created","Fri"))/GETPIVOTDATA("outcome",$A$4,"weekday_created","Fri")</f>
        <v>0.50687213660974595</v>
      </c>
      <c r="O11" s="112">
        <f>GETPIVOTDATA("outcome",$I$4,"outcome","successful","weekday_created","Fri")+1.96*GETPIVOTDATA("outcome",$I$4,"outcome","successful","weekday_created","Fri")*(1-GETPIVOTDATA("outcome",$I$4,"outcome","successful","weekday_created","Fri"))/GETPIVOTDATA("outcome",$A$4,"weekday_created","Fri")</f>
        <v>0.5135360266555602</v>
      </c>
    </row>
    <row r="12" spans="1:15" x14ac:dyDescent="0.2">
      <c r="A12" s="10" t="s">
        <v>2119</v>
      </c>
      <c r="B12" s="21">
        <v>8</v>
      </c>
      <c r="C12" s="21">
        <v>45</v>
      </c>
      <c r="D12" s="21">
        <v>74</v>
      </c>
      <c r="E12" s="21">
        <v>127</v>
      </c>
      <c r="F12" s="5"/>
      <c r="I12" s="10" t="s">
        <v>2119</v>
      </c>
      <c r="J12" s="26">
        <v>6.2992125984251968E-2</v>
      </c>
      <c r="K12" s="26">
        <v>0.3543307086614173</v>
      </c>
      <c r="L12" s="26">
        <v>0.58267716535433067</v>
      </c>
      <c r="M12" s="26">
        <v>1</v>
      </c>
      <c r="N12" s="112">
        <f>GETPIVOTDATA("outcome",$I$4,"outcome","successful","weekday_created","Sat")-1.96*GETPIVOTDATA("outcome",$I$4,"outcome","successful","weekday_created","Sat")*(1-GETPIVOTDATA("outcome",$I$4,"outcome","successful","weekday_created","Sat"))/GETPIVOTDATA("outcome",$A$4,"weekday_created","Sat")</f>
        <v>0.5789243906046867</v>
      </c>
      <c r="O12" s="112">
        <f>GETPIVOTDATA("outcome",$I$4,"outcome","successful","weekday_created","Sat")+1.96*GETPIVOTDATA("outcome",$I$4,"outcome","successful","weekday_created","Sat")*(1-GETPIVOTDATA("outcome",$I$4,"outcome","successful","weekday_created","Sat"))/GETPIVOTDATA("outcome",$A$4,"weekday_created","Sat")</f>
        <v>0.58642994010397465</v>
      </c>
    </row>
    <row r="13" spans="1:15" x14ac:dyDescent="0.2">
      <c r="A13" s="10" t="s">
        <v>2030</v>
      </c>
      <c r="B13" s="21">
        <v>57</v>
      </c>
      <c r="C13" s="21">
        <v>364</v>
      </c>
      <c r="D13" s="21">
        <v>565</v>
      </c>
      <c r="E13" s="21">
        <v>986</v>
      </c>
      <c r="F13" s="5"/>
      <c r="I13" s="10" t="s">
        <v>2030</v>
      </c>
      <c r="J13" s="26">
        <v>5.7809330628803245E-2</v>
      </c>
      <c r="K13" s="26">
        <v>0.36916835699797163</v>
      </c>
      <c r="L13" s="26">
        <v>0.57302231237322521</v>
      </c>
      <c r="M13" s="26">
        <v>1</v>
      </c>
      <c r="N13" s="114">
        <f>GETPIVOTDATA("outcome",$I$4,"outcome","successful")-1.96*GETPIVOTDATA("outcome",$I$4,"outcome","successful")*(1-GETPIVOTDATA("outcome",$I$4,"outcome","successful"))/GETPIVOTDATA("outcome",$A$4)</f>
        <v>0.57253595459014661</v>
      </c>
      <c r="O13" s="114">
        <f>GETPIVOTDATA("outcome",$I$4,"outcome","successful")+1.96*GETPIVOTDATA("outcome",$I$4,"outcome","successful")*(1-GETPIVOTDATA("outcome",$I$4,"outcome","successful"))/GETPIVOTDATA("outcome",$A$4)</f>
        <v>0.5735086701563038</v>
      </c>
    </row>
    <row r="14" spans="1:15" x14ac:dyDescent="0.2">
      <c r="F14" s="5"/>
      <c r="G14" s="5"/>
      <c r="H14" s="5"/>
    </row>
    <row r="15" spans="1:15" x14ac:dyDescent="0.2">
      <c r="F15" s="5"/>
      <c r="G15" s="5"/>
      <c r="H15" s="5"/>
    </row>
    <row r="16" spans="1:15" x14ac:dyDescent="0.2">
      <c r="F16" s="5"/>
      <c r="G16" s="5"/>
      <c r="H16" s="5"/>
    </row>
    <row r="17" spans="14:15" s="5" customFormat="1" x14ac:dyDescent="0.2">
      <c r="N17" s="21"/>
      <c r="O17" s="21"/>
    </row>
    <row r="18" spans="14:15" s="5" customFormat="1" x14ac:dyDescent="0.2">
      <c r="N18" s="21"/>
      <c r="O18" s="21"/>
    </row>
  </sheetData>
  <mergeCells count="2">
    <mergeCell ref="N4:O4"/>
    <mergeCell ref="N5:O5"/>
  </mergeCells>
  <pageMargins left="0.7" right="0.7" top="0.75" bottom="0.75" header="0.3" footer="0.3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0E1CC-783A-FD49-9216-2756F64478D3}">
  <dimension ref="A1:P18"/>
  <sheetViews>
    <sheetView zoomScale="120" zoomScaleNormal="120" workbookViewId="0">
      <selection activeCell="A3" sqref="A3"/>
    </sheetView>
  </sheetViews>
  <sheetFormatPr baseColWidth="10" defaultRowHeight="16" x14ac:dyDescent="0.2"/>
  <cols>
    <col min="1" max="1" width="16.83203125" style="5" bestFit="1" customWidth="1"/>
    <col min="2" max="2" width="19.33203125" style="5" bestFit="1" customWidth="1"/>
    <col min="3" max="3" width="6" style="5" bestFit="1" customWidth="1"/>
    <col min="4" max="4" width="10.1640625" style="5" bestFit="1" customWidth="1"/>
    <col min="5" max="5" width="11.6640625" style="5" bestFit="1" customWidth="1"/>
    <col min="6" max="9" width="10.83203125" style="5"/>
    <col min="10" max="10" width="16.83203125" style="5" bestFit="1" customWidth="1"/>
    <col min="11" max="11" width="19.33203125" style="5" bestFit="1" customWidth="1"/>
    <col min="12" max="12" width="6.33203125" style="5" bestFit="1" customWidth="1"/>
    <col min="13" max="13" width="10.1640625" style="5" bestFit="1" customWidth="1"/>
    <col min="14" max="14" width="11.6640625" style="5" bestFit="1" customWidth="1"/>
    <col min="15" max="16384" width="10.83203125" style="5"/>
  </cols>
  <sheetData>
    <row r="1" spans="1:16" x14ac:dyDescent="0.2">
      <c r="A1" s="9" t="s">
        <v>6</v>
      </c>
      <c r="B1" s="5" t="s">
        <v>2041</v>
      </c>
      <c r="J1" s="9" t="s">
        <v>6</v>
      </c>
      <c r="K1" s="5" t="s">
        <v>2041</v>
      </c>
    </row>
    <row r="2" spans="1:16" x14ac:dyDescent="0.2">
      <c r="A2" s="9" t="s">
        <v>2078</v>
      </c>
      <c r="B2" s="5" t="s">
        <v>2041</v>
      </c>
      <c r="J2" s="9" t="s">
        <v>2078</v>
      </c>
      <c r="K2" s="5" t="s">
        <v>2041</v>
      </c>
    </row>
    <row r="3" spans="1:16" x14ac:dyDescent="0.2">
      <c r="A3"/>
      <c r="B3"/>
      <c r="C3"/>
      <c r="D3"/>
      <c r="E3"/>
      <c r="J3"/>
      <c r="K3"/>
      <c r="L3"/>
      <c r="M3"/>
      <c r="N3"/>
    </row>
    <row r="4" spans="1:16" x14ac:dyDescent="0.2">
      <c r="A4" s="9" t="s">
        <v>2028</v>
      </c>
      <c r="B4" s="22" t="s">
        <v>2029</v>
      </c>
      <c r="C4" s="21"/>
      <c r="D4" s="21"/>
      <c r="E4" s="21"/>
      <c r="J4" s="9" t="s">
        <v>2028</v>
      </c>
      <c r="K4" s="22" t="s">
        <v>2029</v>
      </c>
      <c r="L4" s="21"/>
      <c r="M4" s="21"/>
      <c r="N4" s="21"/>
      <c r="O4" s="113" t="s">
        <v>2235</v>
      </c>
      <c r="P4" s="113"/>
    </row>
    <row r="5" spans="1:16" x14ac:dyDescent="0.2">
      <c r="A5" s="9" t="s">
        <v>2031</v>
      </c>
      <c r="B5" s="5" t="s">
        <v>74</v>
      </c>
      <c r="C5" s="5" t="s">
        <v>14</v>
      </c>
      <c r="D5" s="5" t="s">
        <v>20</v>
      </c>
      <c r="E5" s="21" t="s">
        <v>2030</v>
      </c>
      <c r="J5" s="9" t="s">
        <v>2031</v>
      </c>
      <c r="K5" s="21" t="s">
        <v>74</v>
      </c>
      <c r="L5" s="21" t="s">
        <v>14</v>
      </c>
      <c r="M5" s="21" t="s">
        <v>20</v>
      </c>
      <c r="N5" s="5" t="s">
        <v>2030</v>
      </c>
      <c r="O5" s="113" t="s">
        <v>2236</v>
      </c>
      <c r="P5" s="113"/>
    </row>
    <row r="6" spans="1:16" x14ac:dyDescent="0.2">
      <c r="A6" s="11" t="s">
        <v>2066</v>
      </c>
      <c r="B6" s="21">
        <v>6</v>
      </c>
      <c r="C6" s="21">
        <v>36</v>
      </c>
      <c r="D6" s="21">
        <v>49</v>
      </c>
      <c r="E6" s="21">
        <v>91</v>
      </c>
      <c r="J6" s="11" t="s">
        <v>2066</v>
      </c>
      <c r="K6" s="26">
        <v>6.5934065934065936E-2</v>
      </c>
      <c r="L6" s="26">
        <v>0.39560439560439559</v>
      </c>
      <c r="M6" s="26">
        <v>0.53846153846153844</v>
      </c>
      <c r="N6" s="26">
        <v>1</v>
      </c>
      <c r="O6" s="112">
        <f>GETPIVOTDATA("outcome",$J$4,"outcome","successful","Date Created Conversion",1)-1.96*GETPIVOTDATA("outcome",$J$4,"outcome","successful","Date Created Conversion",1)*(1-GETPIVOTDATA("outcome",$J$4,"outcome","successful","Date Created Conversion",1))/GETPIVOTDATA("outcome",$A$4,"Date Created Conversion",1)</f>
        <v>0.53310878470641787</v>
      </c>
      <c r="P6" s="112">
        <f>GETPIVOTDATA("outcome",$J$4,"outcome","successful","Date Created Conversion",1)+1.96*GETPIVOTDATA("outcome",$J$4,"outcome","successful","Date Created Conversion",1)*(1-GETPIVOTDATA("outcome",$J$4,"outcome","successful","Date Created Conversion",1))/GETPIVOTDATA("outcome",$A$4,"Date Created Conversion",1)</f>
        <v>0.543814292216659</v>
      </c>
    </row>
    <row r="7" spans="1:16" x14ac:dyDescent="0.2">
      <c r="A7" s="11" t="s">
        <v>2067</v>
      </c>
      <c r="B7" s="21">
        <v>7</v>
      </c>
      <c r="C7" s="21">
        <v>28</v>
      </c>
      <c r="D7" s="21">
        <v>44</v>
      </c>
      <c r="E7" s="21">
        <v>79</v>
      </c>
      <c r="J7" s="11" t="s">
        <v>2067</v>
      </c>
      <c r="K7" s="26">
        <v>8.8607594936708861E-2</v>
      </c>
      <c r="L7" s="26">
        <v>0.35443037974683544</v>
      </c>
      <c r="M7" s="26">
        <v>0.55696202531645567</v>
      </c>
      <c r="N7" s="26">
        <v>1</v>
      </c>
      <c r="O7" s="112">
        <f>GETPIVOTDATA("outcome",$J$4,"outcome","successful","Date Created Conversion",2)-1.96*GETPIVOTDATA("outcome",$J$4,"outcome","successful","Date Created Conversion",2)*(1-GETPIVOTDATA("outcome",$J$4,"outcome","successful","Date Created Conversion",2))/GETPIVOTDATA("outcome",$A$4,"Date Created Conversion",2)</f>
        <v>0.55083999440206555</v>
      </c>
      <c r="P7" s="112">
        <f>GETPIVOTDATA("outcome",$J$4,"outcome","successful","Date Created Conversion",2)+1.96*GETPIVOTDATA("outcome",$J$4,"outcome","successful","Date Created Conversion",2)*(1-GETPIVOTDATA("outcome",$J$4,"outcome","successful","Date Created Conversion",2))/GETPIVOTDATA("outcome",$A$4,"Date Created Conversion",2)</f>
        <v>0.56308405623084579</v>
      </c>
    </row>
    <row r="8" spans="1:16" x14ac:dyDescent="0.2">
      <c r="A8" s="11" t="s">
        <v>2068</v>
      </c>
      <c r="B8" s="21">
        <v>4</v>
      </c>
      <c r="C8" s="21">
        <v>33</v>
      </c>
      <c r="D8" s="21">
        <v>49</v>
      </c>
      <c r="E8" s="21">
        <v>86</v>
      </c>
      <c r="J8" s="11" t="s">
        <v>2068</v>
      </c>
      <c r="K8" s="26">
        <v>4.6511627906976744E-2</v>
      </c>
      <c r="L8" s="26">
        <v>0.38372093023255816</v>
      </c>
      <c r="M8" s="26">
        <v>0.56976744186046513</v>
      </c>
      <c r="N8" s="26">
        <v>1</v>
      </c>
      <c r="O8" s="112">
        <f>GETPIVOTDATA("outcome",$J$4,"outcome","successful","Date Created Conversion",3)-1.96*GETPIVOTDATA("outcome",$J$4,"outcome","successful","Date Created Conversion",3)*(1-GETPIVOTDATA("outcome",$J$4,"outcome","successful","Date Created Conversion",3))/GETPIVOTDATA("outcome",$A$4,"Date Created Conversion",3)</f>
        <v>0.56418070107034601</v>
      </c>
      <c r="P8" s="112">
        <f>GETPIVOTDATA("outcome",$J$4,"outcome","successful","Date Created Conversion",3)+1.96*GETPIVOTDATA("outcome",$J$4,"outcome","successful","Date Created Conversion",3)*(1-GETPIVOTDATA("outcome",$J$4,"outcome","successful","Date Created Conversion",3))/GETPIVOTDATA("outcome",$A$4,"Date Created Conversion",3)</f>
        <v>0.57535418265058424</v>
      </c>
    </row>
    <row r="9" spans="1:16" x14ac:dyDescent="0.2">
      <c r="A9" s="11" t="s">
        <v>2069</v>
      </c>
      <c r="B9" s="21">
        <v>1</v>
      </c>
      <c r="C9" s="21">
        <v>30</v>
      </c>
      <c r="D9" s="21">
        <v>46</v>
      </c>
      <c r="E9" s="21">
        <v>77</v>
      </c>
      <c r="J9" s="11" t="s">
        <v>2069</v>
      </c>
      <c r="K9" s="26">
        <v>1.2987012987012988E-2</v>
      </c>
      <c r="L9" s="26">
        <v>0.38961038961038963</v>
      </c>
      <c r="M9" s="26">
        <v>0.59740259740259738</v>
      </c>
      <c r="N9" s="26">
        <v>1</v>
      </c>
      <c r="O9" s="112">
        <f>GETPIVOTDATA("outcome",$J$4,"outcome","successful","Date Created Conversion",4)-1.96*GETPIVOTDATA("outcome",$J$4,"outcome","successful","Date Created Conversion",4)*(1-GETPIVOTDATA("outcome",$J$4,"outcome","successful","Date Created Conversion",4))/GETPIVOTDATA("outcome",$A$4,"Date Created Conversion",4)</f>
        <v>0.59128045508210791</v>
      </c>
      <c r="P9" s="112">
        <f>GETPIVOTDATA("outcome",$J$4,"outcome","successful","Date Created Conversion",4)+1.96*GETPIVOTDATA("outcome",$J$4,"outcome","successful","Date Created Conversion",4)*(1-GETPIVOTDATA("outcome",$J$4,"outcome","successful","Date Created Conversion",4))/GETPIVOTDATA("outcome",$A$4,"Date Created Conversion",4)</f>
        <v>0.60352473972308684</v>
      </c>
    </row>
    <row r="10" spans="1:16" x14ac:dyDescent="0.2">
      <c r="A10" s="11" t="s">
        <v>2070</v>
      </c>
      <c r="B10" s="21">
        <v>3</v>
      </c>
      <c r="C10" s="21">
        <v>35</v>
      </c>
      <c r="D10" s="21">
        <v>46</v>
      </c>
      <c r="E10" s="21">
        <v>84</v>
      </c>
      <c r="J10" s="11" t="s">
        <v>2070</v>
      </c>
      <c r="K10" s="26">
        <v>3.5714285714285712E-2</v>
      </c>
      <c r="L10" s="26">
        <v>0.41666666666666669</v>
      </c>
      <c r="M10" s="26">
        <v>0.54761904761904767</v>
      </c>
      <c r="N10" s="26">
        <v>1</v>
      </c>
      <c r="O10" s="112">
        <f>GETPIVOTDATA("outcome",$J$4,"outcome","successful","Date Created Conversion",5)-1.96*GETPIVOTDATA("outcome",$J$4,"outcome","successful","Date Created Conversion",5)*(1-GETPIVOTDATA("outcome",$J$4,"outcome","successful","Date Created Conversion",5))/GETPIVOTDATA("outcome",$A$4,"Date Created Conversion",5)</f>
        <v>0.5418386243386244</v>
      </c>
      <c r="P10" s="112">
        <f>GETPIVOTDATA("outcome",$J$4,"outcome","successful","Date Created Conversion",5)+1.96*GETPIVOTDATA("outcome",$J$4,"outcome","successful","Date Created Conversion",5)*(1-GETPIVOTDATA("outcome",$J$4,"outcome","successful","Date Created Conversion",5))/GETPIVOTDATA("outcome",$A$4,"Date Created Conversion",5)</f>
        <v>0.55339947089947095</v>
      </c>
    </row>
    <row r="11" spans="1:16" x14ac:dyDescent="0.2">
      <c r="A11" s="11" t="s">
        <v>2071</v>
      </c>
      <c r="B11" s="21">
        <v>3</v>
      </c>
      <c r="C11" s="21">
        <v>28</v>
      </c>
      <c r="D11" s="21">
        <v>55</v>
      </c>
      <c r="E11" s="21">
        <v>86</v>
      </c>
      <c r="J11" s="11" t="s">
        <v>2071</v>
      </c>
      <c r="K11" s="26">
        <v>3.4883720930232558E-2</v>
      </c>
      <c r="L11" s="26">
        <v>0.32558139534883723</v>
      </c>
      <c r="M11" s="26">
        <v>0.63953488372093026</v>
      </c>
      <c r="N11" s="26">
        <v>1</v>
      </c>
      <c r="O11" s="112">
        <f>GETPIVOTDATA("outcome",$J$4,"outcome","successful","Date Created Conversion",6)-1.96*GETPIVOTDATA("outcome",$J$4,"outcome","successful","Date Created Conversion",6)*(1-GETPIVOTDATA("outcome",$J$4,"outcome","successful","Date Created Conversion",6))/GETPIVOTDATA("outcome",$A$4,"Date Created Conversion",6)</f>
        <v>0.63428094381626776</v>
      </c>
      <c r="P11" s="112">
        <f>GETPIVOTDATA("outcome",$J$4,"outcome","successful","Date Created Conversion",6)+1.96*GETPIVOTDATA("outcome",$J$4,"outcome","successful","Date Created Conversion",6)*(1-GETPIVOTDATA("outcome",$J$4,"outcome","successful","Date Created Conversion",6))/GETPIVOTDATA("outcome",$A$4,"Date Created Conversion",6)</f>
        <v>0.64478882362559276</v>
      </c>
    </row>
    <row r="12" spans="1:16" x14ac:dyDescent="0.2">
      <c r="A12" s="11" t="s">
        <v>2072</v>
      </c>
      <c r="B12" s="21">
        <v>4</v>
      </c>
      <c r="C12" s="21">
        <v>31</v>
      </c>
      <c r="D12" s="21">
        <v>58</v>
      </c>
      <c r="E12" s="21">
        <v>93</v>
      </c>
      <c r="J12" s="11" t="s">
        <v>2072</v>
      </c>
      <c r="K12" s="26">
        <v>4.3010752688172046E-2</v>
      </c>
      <c r="L12" s="26">
        <v>0.33333333333333331</v>
      </c>
      <c r="M12" s="26">
        <v>0.62365591397849462</v>
      </c>
      <c r="N12" s="26">
        <v>1</v>
      </c>
      <c r="O12" s="112">
        <f>GETPIVOTDATA("outcome",$J$4,"outcome","successful","Date Created Conversion",7)-1.96*GETPIVOTDATA("outcome",$J$4,"outcome","successful","Date Created Conversion",7)*(1-GETPIVOTDATA("outcome",$J$4,"outcome","successful","Date Created Conversion",7))/GETPIVOTDATA("outcome",$A$4,"Date Created Conversion",7)</f>
        <v>0.61870935417979822</v>
      </c>
      <c r="P12" s="112">
        <f>GETPIVOTDATA("outcome",$J$4,"outcome","successful","Date Created Conversion",7)+1.96*GETPIVOTDATA("outcome",$J$4,"outcome","successful","Date Created Conversion",7)*(1-GETPIVOTDATA("outcome",$J$4,"outcome","successful","Date Created Conversion",7))/GETPIVOTDATA("outcome",$A$4,"Date Created Conversion",7)</f>
        <v>0.62860247377719103</v>
      </c>
    </row>
    <row r="13" spans="1:16" x14ac:dyDescent="0.2">
      <c r="A13" s="11" t="s">
        <v>2073</v>
      </c>
      <c r="B13" s="21">
        <v>8</v>
      </c>
      <c r="C13" s="21">
        <v>35</v>
      </c>
      <c r="D13" s="21">
        <v>41</v>
      </c>
      <c r="E13" s="21">
        <v>84</v>
      </c>
      <c r="J13" s="11" t="s">
        <v>2073</v>
      </c>
      <c r="K13" s="26">
        <v>9.5238095238095233E-2</v>
      </c>
      <c r="L13" s="26">
        <v>0.41666666666666669</v>
      </c>
      <c r="M13" s="26">
        <v>0.48809523809523808</v>
      </c>
      <c r="N13" s="26">
        <v>1</v>
      </c>
      <c r="O13" s="112">
        <f>GETPIVOTDATA("outcome",$J$4,"outcome","successful","Date Created Conversion",8)-1.96*GETPIVOTDATA("outcome",$J$4,"outcome","successful","Date Created Conversion",8)*(1-GETPIVOTDATA("outcome",$J$4,"outcome","successful","Date Created Conversion",8))/GETPIVOTDATA("outcome",$A$4,"Date Created Conversion",8)</f>
        <v>0.48226521164021163</v>
      </c>
      <c r="P13" s="112">
        <f>GETPIVOTDATA("outcome",$J$4,"outcome","successful","Date Created Conversion",8)+1.96*GETPIVOTDATA("outcome",$J$4,"outcome","successful","Date Created Conversion",8)*(1-GETPIVOTDATA("outcome",$J$4,"outcome","successful","Date Created Conversion",8))/GETPIVOTDATA("outcome",$A$4,"Date Created Conversion",8)</f>
        <v>0.49392526455026453</v>
      </c>
    </row>
    <row r="14" spans="1:16" x14ac:dyDescent="0.2">
      <c r="A14" s="11" t="s">
        <v>2074</v>
      </c>
      <c r="B14" s="21">
        <v>5</v>
      </c>
      <c r="C14" s="21">
        <v>23</v>
      </c>
      <c r="D14" s="21">
        <v>45</v>
      </c>
      <c r="E14" s="21">
        <v>73</v>
      </c>
      <c r="J14" s="11" t="s">
        <v>2074</v>
      </c>
      <c r="K14" s="26">
        <v>6.8493150684931503E-2</v>
      </c>
      <c r="L14" s="26">
        <v>0.31506849315068491</v>
      </c>
      <c r="M14" s="26">
        <v>0.61643835616438358</v>
      </c>
      <c r="N14" s="26">
        <v>1</v>
      </c>
      <c r="O14" s="112">
        <f>GETPIVOTDATA("outcome",$J$4,"outcome","successful","Date Created Conversion",9)-1.96*GETPIVOTDATA("outcome",$J$4,"outcome","successful","Date Created Conversion",9)*(1-GETPIVOTDATA("outcome",$J$4,"outcome","successful","Date Created Conversion",9))/GETPIVOTDATA("outcome",$A$4,"Date Created Conversion",9)</f>
        <v>0.61009004747864493</v>
      </c>
      <c r="P14" s="112">
        <f>GETPIVOTDATA("outcome",$J$4,"outcome","successful","Date Created Conversion",9)+1.96*GETPIVOTDATA("outcome",$J$4,"outcome","successful","Date Created Conversion",9)*(1-GETPIVOTDATA("outcome",$J$4,"outcome","successful","Date Created Conversion",9))/GETPIVOTDATA("outcome",$A$4,"Date Created Conversion",9)</f>
        <v>0.62278666485012224</v>
      </c>
    </row>
    <row r="15" spans="1:16" x14ac:dyDescent="0.2">
      <c r="A15" s="11" t="s">
        <v>2075</v>
      </c>
      <c r="B15" s="21">
        <v>6</v>
      </c>
      <c r="C15" s="21">
        <v>26</v>
      </c>
      <c r="D15" s="21">
        <v>45</v>
      </c>
      <c r="E15" s="21">
        <v>77</v>
      </c>
      <c r="J15" s="11" t="s">
        <v>2075</v>
      </c>
      <c r="K15" s="26">
        <v>7.792207792207792E-2</v>
      </c>
      <c r="L15" s="26">
        <v>0.33766233766233766</v>
      </c>
      <c r="M15" s="26">
        <v>0.58441558441558439</v>
      </c>
      <c r="N15" s="26">
        <v>1</v>
      </c>
      <c r="O15" s="112">
        <f>GETPIVOTDATA("outcome",$J$4,"outcome","successful","Date Created Conversion",10)-1.96*GETPIVOTDATA("outcome",$J$4,"outcome","successful","Date Created Conversion",10)*(1-GETPIVOTDATA("outcome",$J$4,"outcome","successful","Date Created Conversion",10))/GETPIVOTDATA("outcome",$A$4,"Date Created Conversion",10)</f>
        <v>0.57823333691102285</v>
      </c>
      <c r="P15" s="112">
        <f>GETPIVOTDATA("outcome",$J$4,"outcome","successful","Date Created Conversion",10)+1.96*GETPIVOTDATA("outcome",$J$4,"outcome","successful","Date Created Conversion",10)*(1-GETPIVOTDATA("outcome",$J$4,"outcome","successful","Date Created Conversion",10))/GETPIVOTDATA("outcome",$A$4,"Date Created Conversion",10)</f>
        <v>0.59059783192014592</v>
      </c>
    </row>
    <row r="16" spans="1:16" x14ac:dyDescent="0.2">
      <c r="A16" s="11" t="s">
        <v>2076</v>
      </c>
      <c r="B16" s="21">
        <v>3</v>
      </c>
      <c r="C16" s="21">
        <v>27</v>
      </c>
      <c r="D16" s="21">
        <v>45</v>
      </c>
      <c r="E16" s="21">
        <v>75</v>
      </c>
      <c r="J16" s="11" t="s">
        <v>2076</v>
      </c>
      <c r="K16" s="26">
        <v>0.04</v>
      </c>
      <c r="L16" s="26">
        <v>0.36</v>
      </c>
      <c r="M16" s="26">
        <v>0.6</v>
      </c>
      <c r="N16" s="26">
        <v>1</v>
      </c>
      <c r="O16" s="112">
        <f>GETPIVOTDATA("outcome",$J$4,"outcome","successful","Date Created Conversion",11)-1.96*GETPIVOTDATA("outcome",$J$4,"outcome","successful","Date Created Conversion",11)*(1-GETPIVOTDATA("outcome",$J$4,"outcome","successful","Date Created Conversion",11))/GETPIVOTDATA("outcome",$A$4,"Date Created Conversion",11)</f>
        <v>0.59372800000000003</v>
      </c>
      <c r="P16" s="112">
        <f>GETPIVOTDATA("outcome",$J$4,"outcome","successful","Date Created Conversion",11)+1.96*GETPIVOTDATA("outcome",$J$4,"outcome","successful","Date Created Conversion",11)*(1-GETPIVOTDATA("outcome",$J$4,"outcome","successful","Date Created Conversion",11))/GETPIVOTDATA("outcome",$A$4,"Date Created Conversion",11)</f>
        <v>0.60627199999999992</v>
      </c>
    </row>
    <row r="17" spans="1:16" x14ac:dyDescent="0.2">
      <c r="A17" s="11" t="s">
        <v>2077</v>
      </c>
      <c r="B17" s="21">
        <v>7</v>
      </c>
      <c r="C17" s="21">
        <v>32</v>
      </c>
      <c r="D17" s="21">
        <v>42</v>
      </c>
      <c r="E17" s="21">
        <v>81</v>
      </c>
      <c r="J17" s="11" t="s">
        <v>2077</v>
      </c>
      <c r="K17" s="26">
        <v>8.6419753086419748E-2</v>
      </c>
      <c r="L17" s="26">
        <v>0.39506172839506171</v>
      </c>
      <c r="M17" s="26">
        <v>0.51851851851851849</v>
      </c>
      <c r="N17" s="26">
        <v>1</v>
      </c>
      <c r="O17" s="112">
        <f>GETPIVOTDATA("outcome",$J$4,"outcome","successful","Date Created Conversion",12)-1.96*GETPIVOTDATA("outcome",$J$4,"outcome","successful","Date Created Conversion",12)*(1-GETPIVOTDATA("outcome",$J$4,"outcome","successful","Date Created Conversion",12))/GETPIVOTDATA("outcome",$A$4,"Date Created Conversion",12)</f>
        <v>0.51247743399549528</v>
      </c>
      <c r="P17" s="112">
        <f>GETPIVOTDATA("outcome",$J$4,"outcome","successful","Date Created Conversion",12)+1.96*GETPIVOTDATA("outcome",$J$4,"outcome","successful","Date Created Conversion",12)*(1-GETPIVOTDATA("outcome",$J$4,"outcome","successful","Date Created Conversion",12))/GETPIVOTDATA("outcome",$A$4,"Date Created Conversion",12)</f>
        <v>0.5245596030415417</v>
      </c>
    </row>
    <row r="18" spans="1:16" x14ac:dyDescent="0.2">
      <c r="A18" s="11" t="s">
        <v>2030</v>
      </c>
      <c r="B18" s="21">
        <v>57</v>
      </c>
      <c r="C18" s="21">
        <v>364</v>
      </c>
      <c r="D18" s="21">
        <v>565</v>
      </c>
      <c r="E18" s="21">
        <v>986</v>
      </c>
      <c r="J18" s="11" t="s">
        <v>2030</v>
      </c>
      <c r="K18" s="26">
        <v>5.7809330628803245E-2</v>
      </c>
      <c r="L18" s="26">
        <v>0.36916835699797163</v>
      </c>
      <c r="M18" s="26">
        <v>0.57302231237322521</v>
      </c>
      <c r="N18" s="26">
        <v>1</v>
      </c>
      <c r="O18" s="114">
        <f>GETPIVOTDATA("outcome",$J$4,"outcome","successful")-1.96*GETPIVOTDATA("outcome",$J$4,"outcome","successful")*(1-GETPIVOTDATA("outcome",$J$4,"outcome","successful"))/GETPIVOTDATA("outcome",$A$4)</f>
        <v>0.57253595459014661</v>
      </c>
      <c r="P18" s="114">
        <f>GETPIVOTDATA("outcome",$J$4,"outcome","successful")+1.96*GETPIVOTDATA("outcome",$J$4,"outcome","successful")*(1-GETPIVOTDATA("outcome",$J$4,"outcome","successful"))/GETPIVOTDATA("outcome",$A$4)</f>
        <v>0.5735086701563038</v>
      </c>
    </row>
  </sheetData>
  <mergeCells count="2">
    <mergeCell ref="O5:P5"/>
    <mergeCell ref="O4:P4"/>
  </mergeCells>
  <pageMargins left="0.7" right="0.7" top="0.75" bottom="0.75" header="0.3" footer="0.3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A467F-7867-7244-A292-8BEC6858000C}">
  <dimension ref="A1:P16"/>
  <sheetViews>
    <sheetView zoomScale="120" zoomScaleNormal="120" workbookViewId="0">
      <selection activeCell="A2" sqref="A2"/>
    </sheetView>
  </sheetViews>
  <sheetFormatPr baseColWidth="10" defaultRowHeight="16" x14ac:dyDescent="0.2"/>
  <cols>
    <col min="1" max="2" width="15.83203125" style="5" customWidth="1"/>
    <col min="3" max="5" width="10.83203125" style="5" customWidth="1"/>
    <col min="6" max="9" width="10.83203125" style="5"/>
    <col min="10" max="11" width="15.83203125" style="5" customWidth="1"/>
    <col min="12" max="16384" width="10.83203125" style="5"/>
  </cols>
  <sheetData>
    <row r="1" spans="1:16" x14ac:dyDescent="0.2">
      <c r="A1" s="9" t="s">
        <v>6</v>
      </c>
      <c r="B1" s="5" t="s">
        <v>2041</v>
      </c>
      <c r="J1" s="9" t="s">
        <v>6</v>
      </c>
      <c r="K1" s="5" t="s">
        <v>2041</v>
      </c>
    </row>
    <row r="3" spans="1:16" x14ac:dyDescent="0.2">
      <c r="A3" s="9" t="s">
        <v>2028</v>
      </c>
      <c r="B3" s="22" t="s">
        <v>2029</v>
      </c>
      <c r="C3" s="21"/>
      <c r="D3" s="21"/>
      <c r="E3" s="21"/>
      <c r="J3" s="9" t="s">
        <v>2028</v>
      </c>
      <c r="K3" s="22" t="s">
        <v>2029</v>
      </c>
      <c r="L3" s="21"/>
      <c r="M3" s="21"/>
      <c r="N3" s="21"/>
      <c r="O3" s="113" t="s">
        <v>2235</v>
      </c>
      <c r="P3" s="113"/>
    </row>
    <row r="4" spans="1:16" x14ac:dyDescent="0.2">
      <c r="A4" s="9" t="s">
        <v>2031</v>
      </c>
      <c r="B4" s="21" t="s">
        <v>74</v>
      </c>
      <c r="C4" s="21" t="s">
        <v>14</v>
      </c>
      <c r="D4" s="21" t="s">
        <v>20</v>
      </c>
      <c r="E4" s="21" t="s">
        <v>2030</v>
      </c>
      <c r="J4" s="9" t="s">
        <v>2031</v>
      </c>
      <c r="K4" s="21" t="s">
        <v>74</v>
      </c>
      <c r="L4" s="21" t="s">
        <v>14</v>
      </c>
      <c r="M4" s="21" t="s">
        <v>20</v>
      </c>
      <c r="N4" s="21" t="s">
        <v>2030</v>
      </c>
      <c r="O4" s="113" t="s">
        <v>2236</v>
      </c>
      <c r="P4" s="113"/>
    </row>
    <row r="5" spans="1:16" x14ac:dyDescent="0.2">
      <c r="A5" s="10" t="s">
        <v>2083</v>
      </c>
      <c r="B5" s="21">
        <v>14</v>
      </c>
      <c r="C5" s="21">
        <v>35</v>
      </c>
      <c r="D5" s="21">
        <v>58</v>
      </c>
      <c r="E5" s="21">
        <v>107</v>
      </c>
      <c r="J5" s="10" t="s">
        <v>2083</v>
      </c>
      <c r="K5" s="26">
        <v>0.13084112149532709</v>
      </c>
      <c r="L5" s="26">
        <v>0.32710280373831774</v>
      </c>
      <c r="M5" s="26">
        <v>0.54205607476635509</v>
      </c>
      <c r="N5" s="26">
        <v>1</v>
      </c>
      <c r="O5" s="112">
        <f>GETPIVOTDATA("outcome",$J$3,"outcome","successful","Years",2010)-1.96*GETPIVOTDATA("outcome",$J$3,"outcome","successful","Years",2010)*(1-GETPIVOTDATA("outcome",$J$3,"outcome","successful","Years",2010))/GETPIVOTDATA("outcome",$A$3,"Years",2010)</f>
        <v>0.53750903437675246</v>
      </c>
      <c r="P5" s="112">
        <f>GETPIVOTDATA("outcome",$J$3,"outcome","successful","Years",2010)+1.96*GETPIVOTDATA("outcome",$J$3,"outcome","successful","Years",2010)*(1-GETPIVOTDATA("outcome",$J$3,"outcome","successful","Years",2010))/GETPIVOTDATA("outcome",$A$3,"Years",2010)</f>
        <v>0.54660311515595772</v>
      </c>
    </row>
    <row r="6" spans="1:16" x14ac:dyDescent="0.2">
      <c r="A6" s="10" t="s">
        <v>2084</v>
      </c>
      <c r="B6" s="21">
        <v>6</v>
      </c>
      <c r="C6" s="21">
        <v>40</v>
      </c>
      <c r="D6" s="21">
        <v>56</v>
      </c>
      <c r="E6" s="21">
        <v>102</v>
      </c>
      <c r="J6" s="10" t="s">
        <v>2084</v>
      </c>
      <c r="K6" s="26">
        <v>5.8823529411764705E-2</v>
      </c>
      <c r="L6" s="26">
        <v>0.39215686274509803</v>
      </c>
      <c r="M6" s="26">
        <v>0.5490196078431373</v>
      </c>
      <c r="N6" s="26">
        <v>1</v>
      </c>
      <c r="O6" s="112">
        <f>GETPIVOTDATA("outcome",$J$3,"outcome","successful","Years",2011)-1.96*GETPIVOTDATA("outcome",$J$3,"outcome","successful","Years",2011)*(1-GETPIVOTDATA("outcome",$J$3,"outcome","successful","Years",2011))/GETPIVOTDATA("outcome",$A$3,"Years",2011)</f>
        <v>0.54426186006890265</v>
      </c>
      <c r="P6" s="112">
        <f>GETPIVOTDATA("outcome",$J$3,"outcome","successful","Years",2011)+1.96*GETPIVOTDATA("outcome",$J$3,"outcome","successful","Years",2011)*(1-GETPIVOTDATA("outcome",$J$3,"outcome","successful","Years",2011))/GETPIVOTDATA("outcome",$A$3,"Years",2011)</f>
        <v>0.55377735561737196</v>
      </c>
    </row>
    <row r="7" spans="1:16" x14ac:dyDescent="0.2">
      <c r="A7" s="10" t="s">
        <v>2085</v>
      </c>
      <c r="B7" s="21">
        <v>4</v>
      </c>
      <c r="C7" s="21">
        <v>32</v>
      </c>
      <c r="D7" s="21">
        <v>45</v>
      </c>
      <c r="E7" s="21">
        <v>81</v>
      </c>
      <c r="J7" s="10" t="s">
        <v>2085</v>
      </c>
      <c r="K7" s="26">
        <v>4.9382716049382713E-2</v>
      </c>
      <c r="L7" s="26">
        <v>0.39506172839506171</v>
      </c>
      <c r="M7" s="26">
        <v>0.55555555555555558</v>
      </c>
      <c r="N7" s="26">
        <v>1</v>
      </c>
      <c r="O7" s="112">
        <f>GETPIVOTDATA("outcome",$J$3,"outcome","successful","Years",2012)-1.96*GETPIVOTDATA("outcome",$J$3,"outcome","successful","Years",2012)*(1-GETPIVOTDATA("outcome",$J$3,"outcome","successful","Years",2012))/GETPIVOTDATA("outcome",$A$3,"Years",2012)</f>
        <v>0.54958085657674138</v>
      </c>
      <c r="P7" s="112">
        <f>GETPIVOTDATA("outcome",$J$3,"outcome","successful","Years",2012)+1.96*GETPIVOTDATA("outcome",$J$3,"outcome","successful","Years",2012)*(1-GETPIVOTDATA("outcome",$J$3,"outcome","successful","Years",2012))/GETPIVOTDATA("outcome",$A$3,"Years",2012)</f>
        <v>0.56153025453436978</v>
      </c>
    </row>
    <row r="8" spans="1:16" x14ac:dyDescent="0.2">
      <c r="A8" s="10" t="s">
        <v>2086</v>
      </c>
      <c r="B8" s="21">
        <v>4</v>
      </c>
      <c r="C8" s="21">
        <v>35</v>
      </c>
      <c r="D8" s="21">
        <v>48</v>
      </c>
      <c r="E8" s="21">
        <v>87</v>
      </c>
      <c r="J8" s="10" t="s">
        <v>2086</v>
      </c>
      <c r="K8" s="26">
        <v>4.5977011494252873E-2</v>
      </c>
      <c r="L8" s="26">
        <v>0.40229885057471265</v>
      </c>
      <c r="M8" s="26">
        <v>0.55172413793103448</v>
      </c>
      <c r="N8" s="26">
        <v>1</v>
      </c>
      <c r="O8" s="112">
        <f>GETPIVOTDATA("outcome",$J$3,"outcome","successful","Years",2013)-1.96*GETPIVOTDATA("outcome",$J$3,"outcome","successful","Years",2013)*(1-GETPIVOTDATA("outcome",$J$3,"outcome","successful","Years",2013))/GETPIVOTDATA("outcome",$A$3,"Years",2013)</f>
        <v>0.54615222709691524</v>
      </c>
      <c r="P8" s="112">
        <f>GETPIVOTDATA("outcome",$J$3,"outcome","successful","Years",2013)+1.96*GETPIVOTDATA("outcome",$J$3,"outcome","successful","Years",2013)*(1-GETPIVOTDATA("outcome",$J$3,"outcome","successful","Years",2013))/GETPIVOTDATA("outcome",$A$3,"Years",2013)</f>
        <v>0.55729604876515371</v>
      </c>
    </row>
    <row r="9" spans="1:16" x14ac:dyDescent="0.2">
      <c r="A9" s="10" t="s">
        <v>2087</v>
      </c>
      <c r="B9" s="21">
        <v>4</v>
      </c>
      <c r="C9" s="21">
        <v>37</v>
      </c>
      <c r="D9" s="21">
        <v>60</v>
      </c>
      <c r="E9" s="21">
        <v>101</v>
      </c>
      <c r="J9" s="10" t="s">
        <v>2087</v>
      </c>
      <c r="K9" s="26">
        <v>3.9603960396039604E-2</v>
      </c>
      <c r="L9" s="26">
        <v>0.36633663366336633</v>
      </c>
      <c r="M9" s="26">
        <v>0.59405940594059403</v>
      </c>
      <c r="N9" s="26">
        <v>1</v>
      </c>
      <c r="O9" s="112">
        <f>GETPIVOTDATA("outcome",$J$3,"outcome","successful","Years",2014)-1.96*GETPIVOTDATA("outcome",$J$3,"outcome","successful","Years",2014)*(1-GETPIVOTDATA("outcome",$J$3,"outcome","successful","Years",2014))/GETPIVOTDATA("outcome",$A$3,"Years",2014)</f>
        <v>0.58937960848334614</v>
      </c>
      <c r="P9" s="112">
        <f>GETPIVOTDATA("outcome",$J$3,"outcome","successful","Years",2014)+1.96*GETPIVOTDATA("outcome",$J$3,"outcome","successful","Years",2014)*(1-GETPIVOTDATA("outcome",$J$3,"outcome","successful","Years",2014))/GETPIVOTDATA("outcome",$A$3,"Years",2014)</f>
        <v>0.59873920339784192</v>
      </c>
    </row>
    <row r="10" spans="1:16" x14ac:dyDescent="0.2">
      <c r="A10" s="10" t="s">
        <v>2088</v>
      </c>
      <c r="B10" s="21">
        <v>7</v>
      </c>
      <c r="C10" s="21">
        <v>42</v>
      </c>
      <c r="D10" s="21">
        <v>54</v>
      </c>
      <c r="E10" s="21">
        <v>103</v>
      </c>
      <c r="J10" s="10" t="s">
        <v>2088</v>
      </c>
      <c r="K10" s="26">
        <v>6.7961165048543687E-2</v>
      </c>
      <c r="L10" s="26">
        <v>0.40776699029126212</v>
      </c>
      <c r="M10" s="26">
        <v>0.52427184466019416</v>
      </c>
      <c r="N10" s="26">
        <v>1</v>
      </c>
      <c r="O10" s="112">
        <f>GETPIVOTDATA("outcome",$J$3,"outcome","successful","Years",2015)-1.96*GETPIVOTDATA("outcome",$J$3,"outcome","successful","Years",2015)*(1-GETPIVOTDATA("outcome",$J$3,"outcome","successful","Years",2015))/GETPIVOTDATA("outcome",$A$3,"Years",2015)</f>
        <v>0.51952577359212315</v>
      </c>
      <c r="P10" s="112">
        <f>GETPIVOTDATA("outcome",$J$3,"outcome","successful","Years",2015)+1.96*GETPIVOTDATA("outcome",$J$3,"outcome","successful","Years",2015)*(1-GETPIVOTDATA("outcome",$J$3,"outcome","successful","Years",2015))/GETPIVOTDATA("outcome",$A$3,"Years",2015)</f>
        <v>0.52901791572826518</v>
      </c>
    </row>
    <row r="11" spans="1:16" x14ac:dyDescent="0.2">
      <c r="A11" s="10" t="s">
        <v>2089</v>
      </c>
      <c r="B11" s="21">
        <v>5</v>
      </c>
      <c r="C11" s="21">
        <v>42</v>
      </c>
      <c r="D11" s="21">
        <v>49</v>
      </c>
      <c r="E11" s="21">
        <v>96</v>
      </c>
      <c r="J11" s="10" t="s">
        <v>2089</v>
      </c>
      <c r="K11" s="26">
        <v>5.2083333333333336E-2</v>
      </c>
      <c r="L11" s="26">
        <v>0.4375</v>
      </c>
      <c r="M11" s="26">
        <v>0.51041666666666663</v>
      </c>
      <c r="N11" s="26">
        <v>1</v>
      </c>
      <c r="O11" s="112">
        <f>GETPIVOTDATA("outcome",$J$3,"outcome","successful","Years",2016)-1.96*GETPIVOTDATA("outcome",$J$3,"outcome","successful","Years",2016)*(1-GETPIVOTDATA("outcome",$J$3,"outcome","successful","Years",2016))/GETPIVOTDATA("outcome",$A$3,"Years",2016)</f>
        <v>0.50531471535011574</v>
      </c>
      <c r="P11" s="112">
        <f>GETPIVOTDATA("outcome",$J$3,"outcome","successful","Years",2016)+1.96*GETPIVOTDATA("outcome",$J$3,"outcome","successful","Years",2016)*(1-GETPIVOTDATA("outcome",$J$3,"outcome","successful","Years",2016))/GETPIVOTDATA("outcome",$A$3,"Years",2016)</f>
        <v>0.51551861798321752</v>
      </c>
    </row>
    <row r="12" spans="1:16" x14ac:dyDescent="0.2">
      <c r="A12" s="10" t="s">
        <v>2090</v>
      </c>
      <c r="B12" s="21">
        <v>5</v>
      </c>
      <c r="C12" s="21">
        <v>28</v>
      </c>
      <c r="D12" s="21">
        <v>67</v>
      </c>
      <c r="E12" s="21">
        <v>100</v>
      </c>
      <c r="J12" s="10" t="s">
        <v>2090</v>
      </c>
      <c r="K12" s="26">
        <v>0.05</v>
      </c>
      <c r="L12" s="26">
        <v>0.28000000000000003</v>
      </c>
      <c r="M12" s="26">
        <v>0.67</v>
      </c>
      <c r="N12" s="26">
        <v>1</v>
      </c>
      <c r="O12" s="112">
        <f>GETPIVOTDATA("outcome",$J$3,"outcome","successful","Years",2017)-1.96*GETPIVOTDATA("outcome",$J$3,"outcome","successful","Years",2017)*(1-GETPIVOTDATA("outcome",$J$3,"outcome","successful","Years",2017))/GETPIVOTDATA("outcome",$A$3,"Years",2017)</f>
        <v>0.66566644000000008</v>
      </c>
      <c r="P12" s="112">
        <f>GETPIVOTDATA("outcome",$J$3,"outcome","successful","Years",2017)+1.96*GETPIVOTDATA("outcome",$J$3,"outcome","successful","Years",2017)*(1-GETPIVOTDATA("outcome",$J$3,"outcome","successful","Years",2017))/GETPIVOTDATA("outcome",$A$3,"Years",2017)</f>
        <v>0.67433356</v>
      </c>
    </row>
    <row r="13" spans="1:16" x14ac:dyDescent="0.2">
      <c r="A13" s="10" t="s">
        <v>2091</v>
      </c>
      <c r="B13" s="21">
        <v>4</v>
      </c>
      <c r="C13" s="21">
        <v>35</v>
      </c>
      <c r="D13" s="21">
        <v>61</v>
      </c>
      <c r="E13" s="21">
        <v>100</v>
      </c>
      <c r="J13" s="10" t="s">
        <v>2091</v>
      </c>
      <c r="K13" s="26">
        <v>0.04</v>
      </c>
      <c r="L13" s="26">
        <v>0.35</v>
      </c>
      <c r="M13" s="26">
        <v>0.61</v>
      </c>
      <c r="N13" s="26">
        <v>1</v>
      </c>
      <c r="O13" s="112">
        <f>GETPIVOTDATA("outcome",$J$3,"outcome","successful","Years",2018)-1.96*GETPIVOTDATA("outcome",$J$3,"outcome","successful","Years",2018)*(1-GETPIVOTDATA("outcome",$J$3,"outcome","successful","Years",2018))/GETPIVOTDATA("outcome",$A$3,"Years",2018)</f>
        <v>0.60533716000000004</v>
      </c>
      <c r="P13" s="112">
        <f>GETPIVOTDATA("outcome",$J$3,"outcome","successful","Years",2018)+1.96*GETPIVOTDATA("outcome",$J$3,"outcome","successful","Years",2018)*(1-GETPIVOTDATA("outcome",$J$3,"outcome","successful","Years",2018))/GETPIVOTDATA("outcome",$A$3,"Years",2018)</f>
        <v>0.61466283999999993</v>
      </c>
    </row>
    <row r="14" spans="1:16" x14ac:dyDescent="0.2">
      <c r="A14" s="10" t="s">
        <v>2092</v>
      </c>
      <c r="B14" s="21">
        <v>4</v>
      </c>
      <c r="C14" s="21">
        <v>36</v>
      </c>
      <c r="D14" s="21">
        <v>67</v>
      </c>
      <c r="E14" s="21">
        <v>107</v>
      </c>
      <c r="J14" s="10" t="s">
        <v>2092</v>
      </c>
      <c r="K14" s="26">
        <v>3.7383177570093455E-2</v>
      </c>
      <c r="L14" s="26">
        <v>0.3364485981308411</v>
      </c>
      <c r="M14" s="26">
        <v>0.62616822429906538</v>
      </c>
      <c r="N14" s="26">
        <v>1</v>
      </c>
      <c r="O14" s="112">
        <f>GETPIVOTDATA("outcome",$J$3,"outcome","successful","Years",2019)-1.96*GETPIVOTDATA("outcome",$J$3,"outcome","successful","Years",2019)*(1-GETPIVOTDATA("outcome",$J$3,"outcome","successful","Years",2019))/GETPIVOTDATA("outcome",$A$3,"Years",2019)</f>
        <v>0.62188037481133307</v>
      </c>
      <c r="P14" s="112">
        <f>GETPIVOTDATA("outcome",$J$3,"outcome","successful","Years",2019)+1.96*GETPIVOTDATA("outcome",$J$3,"outcome","successful","Years",2019)*(1-GETPIVOTDATA("outcome",$J$3,"outcome","successful","Years",2019))/GETPIVOTDATA("outcome",$A$3,"Years",2019)</f>
        <v>0.63045607378679769</v>
      </c>
    </row>
    <row r="15" spans="1:16" x14ac:dyDescent="0.2">
      <c r="A15" s="10" t="s">
        <v>2030</v>
      </c>
      <c r="B15" s="21">
        <v>57</v>
      </c>
      <c r="C15" s="21">
        <v>362</v>
      </c>
      <c r="D15" s="21">
        <v>565</v>
      </c>
      <c r="E15" s="21">
        <v>984</v>
      </c>
      <c r="J15" s="10" t="s">
        <v>2030</v>
      </c>
      <c r="K15" s="26">
        <v>5.7926829268292686E-2</v>
      </c>
      <c r="L15" s="26">
        <v>0.36788617886178859</v>
      </c>
      <c r="M15" s="26">
        <v>0.57418699186991873</v>
      </c>
      <c r="N15" s="26">
        <v>1</v>
      </c>
      <c r="O15" s="114">
        <f>GETPIVOTDATA("outcome",$J$3,"outcome","successful")-1.96*GETPIVOTDATA("outcome",$J$3,"outcome","successful")*(1-GETPIVOTDATA("outcome",$J$3,"outcome","successful"))/GETPIVOTDATA("outcome",$A$3)</f>
        <v>0.57369998706416148</v>
      </c>
      <c r="P15" s="114">
        <f>GETPIVOTDATA("outcome",$J$3,"outcome","successful")+1.96*GETPIVOTDATA("outcome",$J$3,"outcome","successful")*(1-GETPIVOTDATA("outcome",$J$3,"outcome","successful"))/GETPIVOTDATA("outcome",$A$3)</f>
        <v>0.57467399667567598</v>
      </c>
    </row>
    <row r="16" spans="1:16" x14ac:dyDescent="0.2">
      <c r="A16"/>
      <c r="B16"/>
      <c r="C16"/>
      <c r="D16"/>
      <c r="E16"/>
    </row>
  </sheetData>
  <mergeCells count="2">
    <mergeCell ref="O3:P3"/>
    <mergeCell ref="O4:P4"/>
  </mergeCells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3A049-1797-9540-84ED-0F64B80047BE}">
  <dimension ref="A1:D7"/>
  <sheetViews>
    <sheetView zoomScale="120" zoomScaleNormal="120" workbookViewId="0">
      <selection activeCell="A2" sqref="A2"/>
    </sheetView>
  </sheetViews>
  <sheetFormatPr baseColWidth="10" defaultRowHeight="16" x14ac:dyDescent="0.2"/>
  <cols>
    <col min="1" max="1" width="20.83203125" style="5" customWidth="1"/>
    <col min="2" max="4" width="20.83203125" style="21" customWidth="1"/>
    <col min="5" max="16384" width="10.83203125" style="5"/>
  </cols>
  <sheetData>
    <row r="1" spans="1:4" ht="21" x14ac:dyDescent="0.25">
      <c r="A1" s="106" t="s">
        <v>2233</v>
      </c>
      <c r="B1" s="106"/>
    </row>
    <row r="3" spans="1:4" ht="19" x14ac:dyDescent="0.25">
      <c r="A3" s="67" t="s">
        <v>2230</v>
      </c>
      <c r="B3" s="76" t="s">
        <v>2231</v>
      </c>
      <c r="C3" s="76" t="s">
        <v>2232</v>
      </c>
      <c r="D3" s="76" t="s">
        <v>2234</v>
      </c>
    </row>
    <row r="4" spans="1:4" ht="19" x14ac:dyDescent="0.25">
      <c r="A4" s="67" t="s">
        <v>2153</v>
      </c>
      <c r="B4" s="76" cm="1">
        <f t="array" ref="B4">ROUND(MEDIAN(_xlfn._xlws.FILTER(CrowdfundingTable[backers_count],CrowdfundingTable[outcome]="successful")),2)</f>
        <v>201</v>
      </c>
      <c r="C4" s="76" cm="1">
        <f t="array" ref="C4">ROUND(AVERAGE(_xlfn._xlws.FILTER(CrowdfundingTable[backers_count],CrowdfundingTable[outcome]="successful")),2)</f>
        <v>851.15</v>
      </c>
      <c r="D4" s="76" cm="1">
        <f t="array" ref="D4">ROUND(STDEV(_xlfn._xlws.FILTER(CrowdfundingTable[backers_count],CrowdfundingTable[outcome]="successful")),2)</f>
        <v>1267.3699999999999</v>
      </c>
    </row>
    <row r="5" spans="1:4" ht="19" x14ac:dyDescent="0.25">
      <c r="A5" s="67" t="s">
        <v>2154</v>
      </c>
      <c r="B5" s="76" cm="1">
        <f t="array" ref="B5">ROUND(MEDIAN(_xlfn._xlws.FILTER(CrowdfundingTable[backers_count],CrowdfundingTable[outcome]="failed")),2)</f>
        <v>114.5</v>
      </c>
      <c r="C5" s="76" cm="1">
        <f t="array" ref="C5">ROUND(AVERAGE(_xlfn._xlws.FILTER(CrowdfundingTable[backers_count],CrowdfundingTable[outcome]="failed")),2)</f>
        <v>585.62</v>
      </c>
      <c r="D5" s="76" cm="1">
        <f t="array" ref="D5">ROUND(STDEV(_xlfn._xlws.FILTER(CrowdfundingTable[backers_count],CrowdfundingTable[outcome]="failed")),2)</f>
        <v>961.31</v>
      </c>
    </row>
    <row r="6" spans="1:4" ht="19" x14ac:dyDescent="0.25">
      <c r="A6" s="67" t="s">
        <v>2155</v>
      </c>
      <c r="B6" s="76" cm="1">
        <f t="array" ref="B6">ROUND(MEDIAN(_xlfn._xlws.FILTER(CrowdfundingTable[backers_count],CrowdfundingTable[outcome]="canceled")),2)</f>
        <v>139</v>
      </c>
      <c r="C6" s="76" cm="1">
        <f t="array" ref="C6">ROUND(AVERAGE(_xlfn._xlws.FILTER(CrowdfundingTable[backers_count],CrowdfundingTable[outcome]="canceled")),2)</f>
        <v>434.53</v>
      </c>
      <c r="D6" s="76" cm="1">
        <f t="array" ref="D6">ROUND(STDEV(_xlfn._xlws.FILTER(CrowdfundingTable[backers_count],CrowdfundingTable[outcome]="canceled")),2)</f>
        <v>573.54999999999995</v>
      </c>
    </row>
    <row r="7" spans="1:4" ht="19" x14ac:dyDescent="0.25">
      <c r="A7" s="67" t="s">
        <v>2156</v>
      </c>
      <c r="B7" s="76" cm="1">
        <f t="array" ref="B7">ROUND(MEDIAN(_xlfn._xlws.FILTER(CrowdfundingTable[backers_count],CrowdfundingTable[outcome]="live")),2)</f>
        <v>148.5</v>
      </c>
      <c r="C7" s="76" cm="1">
        <f t="array" ref="C7">ROUND(AVERAGE(_xlfn._xlws.FILTER(CrowdfundingTable[backers_count],CrowdfundingTable[outcome]="live")),2)</f>
        <v>583.92999999999995</v>
      </c>
      <c r="D7" s="76" cm="1">
        <f t="array" ref="D7">ROUND(STDEV(_xlfn._xlws.FILTER(CrowdfundingTable[backers_count],CrowdfundingTable[outcome]="live")),2)</f>
        <v>968.41</v>
      </c>
    </row>
  </sheetData>
  <mergeCells count="1">
    <mergeCell ref="A1:B1"/>
  </mergeCells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0C1BA-5E49-0A4F-AAB5-AE9D2E5CCDE2}">
  <dimension ref="A1:J7"/>
  <sheetViews>
    <sheetView zoomScaleNormal="100" workbookViewId="0">
      <selection activeCell="A8" sqref="A8"/>
    </sheetView>
  </sheetViews>
  <sheetFormatPr baseColWidth="10" defaultRowHeight="16" x14ac:dyDescent="0.2"/>
  <cols>
    <col min="1" max="1" width="25.83203125" style="5" customWidth="1"/>
    <col min="2" max="6" width="15.83203125" style="5" customWidth="1"/>
    <col min="7" max="9" width="20.83203125" style="15" customWidth="1"/>
    <col min="10" max="10" width="20.83203125" style="5" customWidth="1"/>
    <col min="11" max="16384" width="10.83203125" style="5"/>
  </cols>
  <sheetData>
    <row r="1" spans="1:10" s="13" customFormat="1" x14ac:dyDescent="0.2">
      <c r="A1" s="12" t="s">
        <v>2079</v>
      </c>
      <c r="B1" s="23" t="s">
        <v>2153</v>
      </c>
      <c r="C1" s="23" t="s">
        <v>2154</v>
      </c>
      <c r="D1" s="23" t="s">
        <v>2155</v>
      </c>
      <c r="E1" s="23" t="s">
        <v>2156</v>
      </c>
      <c r="F1" s="23" t="s">
        <v>2152</v>
      </c>
      <c r="G1" s="63" t="s">
        <v>2200</v>
      </c>
      <c r="H1" s="24" t="s">
        <v>2201</v>
      </c>
      <c r="I1" s="24" t="s">
        <v>2227</v>
      </c>
      <c r="J1" s="24" t="s">
        <v>2203</v>
      </c>
    </row>
    <row r="2" spans="1:10" x14ac:dyDescent="0.2">
      <c r="A2" s="14" t="s">
        <v>2219</v>
      </c>
      <c r="B2" s="21">
        <f>COUNTIFS(Crowdfunding!$D$2:$D$1001,"&lt;5000",Crowdfunding!$G$2:$G$1001,"=successful")</f>
        <v>221</v>
      </c>
      <c r="C2" s="21">
        <f>COUNTIFS(Crowdfunding!$D$2:$D$1001,"&lt;5000",Crowdfunding!$G$2:$G$1001,"=failed")</f>
        <v>58</v>
      </c>
      <c r="D2" s="21">
        <f>COUNTIFS(Crowdfunding!$D$2:$D$1001,"&lt;5000",Crowdfunding!$G$2:$G$1001,"=canceled")</f>
        <v>3</v>
      </c>
      <c r="E2" s="21">
        <f>COUNTIFS(Crowdfunding!$D$2:$D$1001,"&lt;5000",Crowdfunding!$G$2:$G$1001,"=live")</f>
        <v>3</v>
      </c>
      <c r="F2" s="21">
        <f t="shared" ref="F2:F7" si="0">SUM(B2:E2)</f>
        <v>285</v>
      </c>
      <c r="G2" s="64">
        <f>B2/$F2</f>
        <v>0.77543859649122804</v>
      </c>
      <c r="H2" s="34">
        <f>C2/$F2</f>
        <v>0.20350877192982456</v>
      </c>
      <c r="I2" s="34">
        <f>D2/$F2</f>
        <v>1.0526315789473684E-2</v>
      </c>
      <c r="J2" s="34">
        <f>E2/$F2</f>
        <v>1.0526315789473684E-2</v>
      </c>
    </row>
    <row r="3" spans="1:10" x14ac:dyDescent="0.2">
      <c r="A3" s="14" t="s">
        <v>2220</v>
      </c>
      <c r="B3" s="21">
        <f>COUNTIFS(Crowdfunding!$D$2:$D$1001,"&gt;=5000",Crowdfunding!$D$2:$D$1001,"&lt;10000",Crowdfunding!$G$2:$G$1001,"=successful")</f>
        <v>164</v>
      </c>
      <c r="C3" s="21">
        <f>COUNTIFS(Crowdfunding!$D$2:$D$1001,"&gt;=5000",Crowdfunding!$D$2:$D$1001,"&lt;10000",Crowdfunding!$G$2:$G$1001,"=failed")</f>
        <v>126</v>
      </c>
      <c r="D3" s="21">
        <f>COUNTIFS(Crowdfunding!$D$2:$D$1001,"&gt;=5000",Crowdfunding!$D$2:$D$1001,"&lt;10000",Crowdfunding!$G$2:$G$1001,"=canceled")</f>
        <v>25</v>
      </c>
      <c r="E3" s="21">
        <f>COUNTIFS(Crowdfunding!$D$2:$D$1001,"&gt;=5000",Crowdfunding!$D$2:$D$1001,"&lt;10000",Crowdfunding!$G$2:$G$1001,"=live")</f>
        <v>2</v>
      </c>
      <c r="F3" s="21">
        <f t="shared" si="0"/>
        <v>317</v>
      </c>
      <c r="G3" s="64">
        <f t="shared" ref="G3:G7" si="1">B3/$F3</f>
        <v>0.51735015772870663</v>
      </c>
      <c r="H3" s="34">
        <f t="shared" ref="H3:H7" si="2">C3/$F3</f>
        <v>0.39747634069400634</v>
      </c>
      <c r="I3" s="34">
        <f t="shared" ref="I3:I7" si="3">D3/$F3</f>
        <v>7.8864353312302835E-2</v>
      </c>
      <c r="J3" s="34">
        <f t="shared" ref="J3:J7" si="4">E3/$F3</f>
        <v>6.3091482649842269E-3</v>
      </c>
    </row>
    <row r="4" spans="1:10" x14ac:dyDescent="0.2">
      <c r="A4" s="14" t="s">
        <v>2221</v>
      </c>
      <c r="B4" s="21">
        <f>COUNTIFS(Crowdfunding!$D$2:$D$1001,"&gt;=10000",Crowdfunding!$D$2:$D$1001,"&lt;15000",Crowdfunding!$G$2:$G$1001,"=successful")</f>
        <v>4</v>
      </c>
      <c r="C4" s="21">
        <f>COUNTIFS(Crowdfunding!$D$2:$D$1001,"&gt;=10000",Crowdfunding!$D$2:$D$1001,"&lt;15000",Crowdfunding!$G$2:$G$1001,"=failed")</f>
        <v>5</v>
      </c>
      <c r="D4" s="21">
        <f>COUNTIFS(Crowdfunding!$D$2:$D$1001,"&gt;=10000",Crowdfunding!$D$2:$D$1001,"&lt;15000",Crowdfunding!$G$2:$G$1001,"=canceled")</f>
        <v>0</v>
      </c>
      <c r="E4" s="21">
        <f>COUNTIFS(Crowdfunding!$D$2:$D$1001,"&gt;=10000",Crowdfunding!$D$2:$D$1001,"&lt;15000",Crowdfunding!$G$2:$G$1001,"=live")</f>
        <v>0</v>
      </c>
      <c r="F4" s="21">
        <f t="shared" si="0"/>
        <v>9</v>
      </c>
      <c r="G4" s="64">
        <f t="shared" si="1"/>
        <v>0.44444444444444442</v>
      </c>
      <c r="H4" s="34">
        <f t="shared" si="2"/>
        <v>0.55555555555555558</v>
      </c>
      <c r="I4" s="34">
        <f t="shared" si="3"/>
        <v>0</v>
      </c>
      <c r="J4" s="34">
        <f t="shared" si="4"/>
        <v>0</v>
      </c>
    </row>
    <row r="5" spans="1:10" x14ac:dyDescent="0.2">
      <c r="A5" s="14" t="s">
        <v>2222</v>
      </c>
      <c r="B5" s="21">
        <f>COUNTIFS(Crowdfunding!$D$2:$D$1001,"&gt;=15000",Crowdfunding!$D$2:$D$1001,"&lt;35000",Crowdfunding!$G$2:$G$1001,"=successful")</f>
        <v>35</v>
      </c>
      <c r="C5" s="21">
        <f>COUNTIFS(Crowdfunding!$D$2:$D$1001,"&gt;=15000",Crowdfunding!$D$2:$D$1001,"&lt;35000",Crowdfunding!$G$2:$G$1001,"=failed")</f>
        <v>3</v>
      </c>
      <c r="D5" s="21">
        <f>COUNTIFS(Crowdfunding!$D$2:$D$1001,"&gt;=15000",Crowdfunding!$D$2:$D$1001,"&lt;35000",Crowdfunding!$G$2:$G$1001,"=canceled")</f>
        <v>0</v>
      </c>
      <c r="E5" s="21">
        <f>COUNTIFS(Crowdfunding!$D$2:$D$1001,"&gt;=15000",Crowdfunding!$D$2:$D$1001,"&lt;35000",Crowdfunding!$G$2:$G$1001,"=live")</f>
        <v>0</v>
      </c>
      <c r="F5" s="21">
        <f t="shared" si="0"/>
        <v>38</v>
      </c>
      <c r="G5" s="64">
        <f t="shared" si="1"/>
        <v>0.92105263157894735</v>
      </c>
      <c r="H5" s="34">
        <f t="shared" si="2"/>
        <v>7.8947368421052627E-2</v>
      </c>
      <c r="I5" s="34">
        <f t="shared" si="3"/>
        <v>0</v>
      </c>
      <c r="J5" s="34">
        <f t="shared" si="4"/>
        <v>0</v>
      </c>
    </row>
    <row r="6" spans="1:10" x14ac:dyDescent="0.2">
      <c r="A6" s="14" t="s">
        <v>2223</v>
      </c>
      <c r="B6" s="21">
        <f>COUNTIFS(Crowdfunding!$D$2:$D$1001,"&gt;=35000",Crowdfunding!$D$2:$D$1001,"&lt;100000",Crowdfunding!$G$2:$G$1001,"=successful")</f>
        <v>97</v>
      </c>
      <c r="C6" s="21">
        <f>COUNTIFS(Crowdfunding!$D$2:$D$1001,"&gt;=35000",Crowdfunding!$D$2:$D$1001,"&lt;100000",Crowdfunding!$G$2:$G$1001,"=failed")</f>
        <v>52</v>
      </c>
      <c r="D6" s="21">
        <f>COUNTIFS(Crowdfunding!$D$2:$D$1001,"&gt;=35000",Crowdfunding!$D$2:$D$1001,"&lt;100000",Crowdfunding!$G$2:$G$1001,"=canceled")</f>
        <v>7</v>
      </c>
      <c r="E6" s="21">
        <f>COUNTIFS(Crowdfunding!$D$2:$D$1001,"&gt;=35000",Crowdfunding!$D$2:$D$1001,"&lt;=100000",Crowdfunding!$G$2:$G$1001,"=live")</f>
        <v>3</v>
      </c>
      <c r="F6" s="21">
        <f t="shared" si="0"/>
        <v>159</v>
      </c>
      <c r="G6" s="64">
        <f t="shared" si="1"/>
        <v>0.61006289308176098</v>
      </c>
      <c r="H6" s="34">
        <f t="shared" si="2"/>
        <v>0.32704402515723269</v>
      </c>
      <c r="I6" s="34">
        <f t="shared" si="3"/>
        <v>4.40251572327044E-2</v>
      </c>
      <c r="J6" s="34">
        <f t="shared" si="4"/>
        <v>1.8867924528301886E-2</v>
      </c>
    </row>
    <row r="7" spans="1:10" x14ac:dyDescent="0.2">
      <c r="A7" s="14" t="s">
        <v>2224</v>
      </c>
      <c r="B7" s="21">
        <f>COUNTIFS(Crowdfunding!$D$2:$D$1001,"&gt;=100000",Crowdfunding!$G$2:$G$1001,"=successful")</f>
        <v>44</v>
      </c>
      <c r="C7" s="21">
        <f>COUNTIFS(Crowdfunding!$D$2:$D$1001,"&gt;=100000",Crowdfunding!$G$2:$G$1001,"=failed")</f>
        <v>120</v>
      </c>
      <c r="D7" s="21">
        <f>COUNTIFS(Crowdfunding!$D$2:$D$1001,"&gt;=100000",Crowdfunding!$G$2:$G$1001,"=canceled")</f>
        <v>22</v>
      </c>
      <c r="E7" s="21">
        <f>COUNTIFS(Crowdfunding!$D$2:$D$1001,"&gt;=100000",Crowdfunding!$G$2:$G$1001,"=live")</f>
        <v>6</v>
      </c>
      <c r="F7" s="21">
        <f t="shared" si="0"/>
        <v>192</v>
      </c>
      <c r="G7" s="64">
        <f t="shared" si="1"/>
        <v>0.22916666666666666</v>
      </c>
      <c r="H7" s="34">
        <f t="shared" si="2"/>
        <v>0.625</v>
      </c>
      <c r="I7" s="34">
        <f t="shared" si="3"/>
        <v>0.11458333333333333</v>
      </c>
      <c r="J7" s="34">
        <f t="shared" si="4"/>
        <v>3.125E-2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21666-E825-D04C-96A9-F6C4751A1535}">
  <dimension ref="A1:Q565"/>
  <sheetViews>
    <sheetView zoomScaleNormal="100" workbookViewId="0">
      <selection activeCell="J1" sqref="J1"/>
    </sheetView>
  </sheetViews>
  <sheetFormatPr baseColWidth="10" defaultRowHeight="16" x14ac:dyDescent="0.2"/>
  <cols>
    <col min="1" max="12" width="10.83203125" style="5"/>
    <col min="13" max="13" width="20.83203125" style="5" customWidth="1"/>
    <col min="14" max="15" width="20.83203125" style="21" customWidth="1"/>
    <col min="16" max="17" width="20.83203125" style="5" customWidth="1"/>
    <col min="18" max="16384" width="10.83203125" style="5"/>
  </cols>
  <sheetData>
    <row r="1" spans="1:17" x14ac:dyDescent="0.2">
      <c r="A1" s="16" t="str" cm="1">
        <f t="array" ref="A1:A565">_xlfn._xlws.FILTER(CrowdfundingTable[outcome],CrowdfundingTable[outcome]="successful")</f>
        <v>successful</v>
      </c>
      <c r="B1" s="5" cm="1">
        <f t="array" ref="B1:B565">_xlfn._xlws.FILTER(CrowdfundingTable[goal],CrowdfundingTable[outcome]="successful")</f>
        <v>1400</v>
      </c>
      <c r="D1" s="17" t="str" cm="1">
        <f t="array" ref="D1:D364">_xlfn._xlws.FILTER(CrowdfundingTable[outcome],CrowdfundingTable[outcome]="failed")</f>
        <v>failed</v>
      </c>
      <c r="E1" s="5" cm="1">
        <f t="array" ref="E1:E364">_xlfn._xlws.FILTER(CrowdfundingTable[goal],CrowdfundingTable[outcome]="failed")</f>
        <v>100</v>
      </c>
      <c r="F1" s="88" t="str" cm="1">
        <f t="array" ref="F1:F57">_xlfn._xlws.FILTER(CrowdfundingTable[outcome],CrowdfundingTable[outcome]="canceled")</f>
        <v>canceled</v>
      </c>
      <c r="G1" s="5" cm="1">
        <f t="array" ref="G1:G57">_xlfn._xlws.FILTER(CrowdfundingTable[goal],CrowdfundingTable[outcome]="canceled")</f>
        <v>9100</v>
      </c>
      <c r="H1" s="89" t="str" cm="1">
        <f t="array" ref="H1:H14">_xlfn._xlws.FILTER(CrowdfundingTable[outcome],CrowdfundingTable[outcome]="live")</f>
        <v>live</v>
      </c>
      <c r="I1" s="5" cm="1">
        <f t="array" ref="I1:I14">_xlfn._xlws.FILTER(CrowdfundingTable[goal],CrowdfundingTable[outcome]="live")</f>
        <v>110100</v>
      </c>
      <c r="M1" s="5" t="s">
        <v>2105</v>
      </c>
      <c r="N1" s="21" t="s">
        <v>2096</v>
      </c>
      <c r="O1" s="21" t="s">
        <v>2097</v>
      </c>
      <c r="P1" s="21" t="s">
        <v>2225</v>
      </c>
      <c r="Q1" s="21" t="s">
        <v>2226</v>
      </c>
    </row>
    <row r="2" spans="1:17" x14ac:dyDescent="0.2">
      <c r="A2" s="16" t="str">
        <v>successful</v>
      </c>
      <c r="B2" s="5">
        <v>108400</v>
      </c>
      <c r="D2" s="17" t="str">
        <v>failed</v>
      </c>
      <c r="E2" s="5">
        <v>4200</v>
      </c>
      <c r="F2" s="88" t="str">
        <v>canceled</v>
      </c>
      <c r="G2" s="5">
        <v>107500</v>
      </c>
      <c r="H2" s="89" t="str">
        <v>live</v>
      </c>
      <c r="I2" s="5">
        <v>194500</v>
      </c>
      <c r="M2" s="5" t="s">
        <v>2125</v>
      </c>
      <c r="N2" s="32">
        <f>SUM($B$1:$B$565)</f>
        <v>14919000</v>
      </c>
      <c r="O2" s="32">
        <f>SUM($E$1:$E$565)</f>
        <v>23806900</v>
      </c>
      <c r="P2" s="31">
        <f>SUM(_xlfn.ANCHORARRAY(G1))</f>
        <v>4032600</v>
      </c>
      <c r="Q2" s="31">
        <f>SUM(_xlfn.ANCHORARRAY(I1))</f>
        <v>1224600</v>
      </c>
    </row>
    <row r="3" spans="1:17" x14ac:dyDescent="0.2">
      <c r="A3" s="16" t="str">
        <v>successful</v>
      </c>
      <c r="B3" s="5">
        <v>7600</v>
      </c>
      <c r="D3" s="17" t="str">
        <v>failed</v>
      </c>
      <c r="E3" s="5">
        <v>7600</v>
      </c>
      <c r="F3" s="88" t="str">
        <v>canceled</v>
      </c>
      <c r="G3" s="5">
        <v>7900</v>
      </c>
      <c r="H3" s="89" t="str">
        <v>live</v>
      </c>
      <c r="I3" s="5">
        <v>153700</v>
      </c>
      <c r="M3" s="5" t="s">
        <v>2098</v>
      </c>
      <c r="N3" s="31">
        <f>AVERAGE($B$1:$B$565)</f>
        <v>26405.309734513274</v>
      </c>
      <c r="O3" s="31">
        <f>AVERAGE($E$1:$E$565)</f>
        <v>65403.571428571428</v>
      </c>
      <c r="P3" s="31">
        <f>AVERAGE(_xlfn.ANCHORARRAY(G1))</f>
        <v>70747.368421052626</v>
      </c>
      <c r="Q3" s="31">
        <f>AVERAGE(_xlfn.ANCHORARRAY(I1))</f>
        <v>87471.428571428565</v>
      </c>
    </row>
    <row r="4" spans="1:17" x14ac:dyDescent="0.2">
      <c r="A4" s="16" t="str">
        <v>successful</v>
      </c>
      <c r="B4" s="5">
        <v>4500</v>
      </c>
      <c r="D4" s="17" t="str">
        <v>failed</v>
      </c>
      <c r="E4" s="5">
        <v>5200</v>
      </c>
      <c r="F4" s="88" t="str">
        <v>canceled</v>
      </c>
      <c r="G4" s="5">
        <v>108800</v>
      </c>
      <c r="H4" s="89" t="str">
        <v>live</v>
      </c>
      <c r="I4" s="5">
        <v>93800</v>
      </c>
      <c r="M4" s="5" t="s">
        <v>2102</v>
      </c>
      <c r="N4" s="32">
        <f>MODE($B$1:$B$565)</f>
        <v>1400</v>
      </c>
      <c r="O4" s="32">
        <f>MODE($E$1:$E$565)</f>
        <v>100</v>
      </c>
      <c r="P4" s="31">
        <f>MODE(_xlfn.ANCHORARRAY(G1))</f>
        <v>8800</v>
      </c>
      <c r="Q4" s="31">
        <f>MODE(_xlfn.ANCHORARRAY(I1))</f>
        <v>153700</v>
      </c>
    </row>
    <row r="5" spans="1:17" x14ac:dyDescent="0.2">
      <c r="A5" s="16" t="str">
        <v>successful</v>
      </c>
      <c r="B5" s="5">
        <v>5200</v>
      </c>
      <c r="D5" s="17" t="str">
        <v>failed</v>
      </c>
      <c r="E5" s="5">
        <v>6200</v>
      </c>
      <c r="F5" s="88" t="str">
        <v>canceled</v>
      </c>
      <c r="G5" s="5">
        <v>70600</v>
      </c>
      <c r="H5" s="89" t="str">
        <v>live</v>
      </c>
      <c r="I5" s="5">
        <v>3800</v>
      </c>
      <c r="M5" s="5" t="s">
        <v>2099</v>
      </c>
      <c r="N5" s="32">
        <f>MIN($B$1:$B$565)</f>
        <v>600</v>
      </c>
      <c r="O5" s="32">
        <f>MIN($E$1:$E$565)</f>
        <v>100</v>
      </c>
      <c r="P5" s="31">
        <f>MIN(_xlfn.ANCHORARRAY(G1))</f>
        <v>100</v>
      </c>
      <c r="Q5" s="31">
        <f>MIN(_xlfn.ANCHORARRAY(I1))</f>
        <v>3600</v>
      </c>
    </row>
    <row r="6" spans="1:17" x14ac:dyDescent="0.2">
      <c r="A6" s="16" t="str">
        <v>successful</v>
      </c>
      <c r="B6" s="5">
        <v>4200</v>
      </c>
      <c r="D6" s="17" t="str">
        <v>failed</v>
      </c>
      <c r="E6" s="5">
        <v>6300</v>
      </c>
      <c r="F6" s="88" t="str">
        <v>canceled</v>
      </c>
      <c r="G6" s="5">
        <v>148500</v>
      </c>
      <c r="H6" s="89" t="str">
        <v>live</v>
      </c>
      <c r="I6" s="5">
        <v>153700</v>
      </c>
      <c r="M6" s="5" t="s">
        <v>2108</v>
      </c>
      <c r="N6" s="32">
        <f>_xlfn.QUARTILE.EXC($B$1:$B$565,1)</f>
        <v>3000</v>
      </c>
      <c r="O6" s="32">
        <f>_xlfn.QUARTILE.EXC($E$1:$E$565,1)</f>
        <v>6600</v>
      </c>
      <c r="P6" s="31">
        <f>_xlfn.QUARTILE.EXC(_xlfn.ANCHORARRAY(G1),1)</f>
        <v>8250</v>
      </c>
      <c r="Q6" s="31">
        <f>_xlfn.QUARTILE.EXC(_xlfn.ANCHORARRAY(I1),1)</f>
        <v>7400</v>
      </c>
    </row>
    <row r="7" spans="1:17" x14ac:dyDescent="0.2">
      <c r="A7" s="16" t="str">
        <v>successful</v>
      </c>
      <c r="B7" s="5">
        <v>1700</v>
      </c>
      <c r="D7" s="17" t="str">
        <v>failed</v>
      </c>
      <c r="E7" s="5">
        <v>6300</v>
      </c>
      <c r="F7" s="88" t="str">
        <v>canceled</v>
      </c>
      <c r="G7" s="5">
        <v>82800</v>
      </c>
      <c r="H7" s="89" t="str">
        <v>live</v>
      </c>
      <c r="I7" s="5">
        <v>189500</v>
      </c>
      <c r="M7" s="30" t="s">
        <v>2109</v>
      </c>
      <c r="N7" s="31">
        <f>_xlfn.QUARTILE.EXC($B$1:$B$565,2)</f>
        <v>6200</v>
      </c>
      <c r="O7" s="31">
        <f>_xlfn.QUARTILE.EXC($E$1:$E$565,2)</f>
        <v>9900</v>
      </c>
      <c r="P7" s="31">
        <f>_xlfn.QUARTILE.EXC(_xlfn.ANCHORARRAY(G1),2)</f>
        <v>36400</v>
      </c>
      <c r="Q7" s="31">
        <f>_xlfn.QUARTILE.EXC(_xlfn.ANCHORARRAY(I1),2)</f>
        <v>82950</v>
      </c>
    </row>
    <row r="8" spans="1:17" x14ac:dyDescent="0.2">
      <c r="A8" s="16" t="str">
        <v>successful</v>
      </c>
      <c r="B8" s="5">
        <v>84600</v>
      </c>
      <c r="D8" s="17" t="str">
        <v>failed</v>
      </c>
      <c r="E8" s="5">
        <v>28200</v>
      </c>
      <c r="F8" s="88" t="str">
        <v>canceled</v>
      </c>
      <c r="G8" s="5">
        <v>8800</v>
      </c>
      <c r="H8" s="89" t="str">
        <v>live</v>
      </c>
      <c r="I8" s="5">
        <v>186700</v>
      </c>
      <c r="M8" s="30" t="s">
        <v>2110</v>
      </c>
      <c r="N8" s="32">
        <f>_xlfn.QUARTILE.EXC($B$1:$B$565,3)</f>
        <v>34400</v>
      </c>
      <c r="O8" s="32">
        <f>_xlfn.QUARTILE.EXC($E$1:$E$565,3)</f>
        <v>124775</v>
      </c>
      <c r="P8" s="31">
        <f>_xlfn.QUARTILE.EXC(_xlfn.ANCHORARRAY(G1),3)</f>
        <v>137500</v>
      </c>
      <c r="Q8" s="31">
        <f>_xlfn.QUARTILE.EXC(_xlfn.ANCHORARRAY(I1),3)</f>
        <v>161950</v>
      </c>
    </row>
    <row r="9" spans="1:17" x14ac:dyDescent="0.2">
      <c r="A9" s="16" t="str">
        <v>successful</v>
      </c>
      <c r="B9" s="5">
        <v>131800</v>
      </c>
      <c r="D9" s="17" t="str">
        <v>failed</v>
      </c>
      <c r="E9" s="5">
        <v>81200</v>
      </c>
      <c r="F9" s="88" t="str">
        <v>canceled</v>
      </c>
      <c r="G9" s="5">
        <v>36400</v>
      </c>
      <c r="H9" s="89" t="str">
        <v>live</v>
      </c>
      <c r="I9" s="5">
        <v>72100</v>
      </c>
      <c r="M9" s="5" t="s">
        <v>2100</v>
      </c>
      <c r="N9" s="32">
        <f>MAX($B$1:$B$565)</f>
        <v>196900</v>
      </c>
      <c r="O9" s="32">
        <f>MAX($E$1:$E$565)</f>
        <v>199200</v>
      </c>
      <c r="P9" s="31">
        <f>MAX(_xlfn.ANCHORARRAY(G1))</f>
        <v>194900</v>
      </c>
      <c r="Q9" s="31">
        <f>MAX(_xlfn.ANCHORARRAY(I1))</f>
        <v>194500</v>
      </c>
    </row>
    <row r="10" spans="1:17" x14ac:dyDescent="0.2">
      <c r="A10" s="16" t="str">
        <v>successful</v>
      </c>
      <c r="B10" s="5">
        <v>59100</v>
      </c>
      <c r="D10" s="17" t="str">
        <v>failed</v>
      </c>
      <c r="E10" s="5">
        <v>62500</v>
      </c>
      <c r="F10" s="88" t="str">
        <v>canceled</v>
      </c>
      <c r="G10" s="5">
        <v>191300</v>
      </c>
      <c r="H10" s="89" t="str">
        <v>live</v>
      </c>
      <c r="I10" s="5">
        <v>8600</v>
      </c>
      <c r="M10" s="5" t="s">
        <v>2106</v>
      </c>
      <c r="N10" s="31">
        <f>$N$8-$N$6</f>
        <v>31400</v>
      </c>
      <c r="O10" s="31">
        <f>$O$8-$O$6</f>
        <v>118175</v>
      </c>
      <c r="P10" s="31">
        <f>$P$8-$P$6</f>
        <v>129250</v>
      </c>
      <c r="Q10" s="31">
        <f>$Q$8-$Q$6</f>
        <v>154550</v>
      </c>
    </row>
    <row r="11" spans="1:17" x14ac:dyDescent="0.2">
      <c r="A11" s="16" t="str">
        <v>successful</v>
      </c>
      <c r="B11" s="5">
        <v>4500</v>
      </c>
      <c r="D11" s="17" t="str">
        <v>failed</v>
      </c>
      <c r="E11" s="5">
        <v>94000</v>
      </c>
      <c r="F11" s="88" t="str">
        <v>canceled</v>
      </c>
      <c r="G11" s="5">
        <v>8300</v>
      </c>
      <c r="H11" s="89" t="str">
        <v>live</v>
      </c>
      <c r="I11" s="5">
        <v>3600</v>
      </c>
      <c r="M11" s="5" t="s">
        <v>2111</v>
      </c>
      <c r="N11" s="31">
        <f>$N$8+(1.5*$N$10)</f>
        <v>81500</v>
      </c>
      <c r="O11" s="31">
        <f>$O$8+(1.5*$O$10)</f>
        <v>302037.5</v>
      </c>
      <c r="P11" s="31">
        <f>$P$8+(1.5*$P$10)</f>
        <v>331375</v>
      </c>
      <c r="Q11" s="31">
        <f>$Q$8+(1.5*$Q$10)</f>
        <v>393775</v>
      </c>
    </row>
    <row r="12" spans="1:17" x14ac:dyDescent="0.2">
      <c r="A12" s="16" t="str">
        <v>successful</v>
      </c>
      <c r="B12" s="5">
        <v>92400</v>
      </c>
      <c r="D12" s="17" t="str">
        <v>failed</v>
      </c>
      <c r="E12" s="5">
        <v>2000</v>
      </c>
      <c r="F12" s="88" t="str">
        <v>canceled</v>
      </c>
      <c r="G12" s="5">
        <v>9000</v>
      </c>
      <c r="H12" s="89" t="str">
        <v>live</v>
      </c>
      <c r="I12" s="5">
        <v>41000</v>
      </c>
      <c r="M12" s="5" t="s">
        <v>2112</v>
      </c>
      <c r="N12" s="31">
        <f>$N$6-(1.5*$N$10)</f>
        <v>-44100</v>
      </c>
      <c r="O12" s="31">
        <f>$O$6-(1.5*$O$10)</f>
        <v>-170662.5</v>
      </c>
      <c r="P12" s="31">
        <f>$P$6-(1.5*$P$10)</f>
        <v>-185625</v>
      </c>
      <c r="Q12" s="31">
        <f>$Q$6-(1.5*$Q$10)</f>
        <v>-224425</v>
      </c>
    </row>
    <row r="13" spans="1:17" x14ac:dyDescent="0.2">
      <c r="A13" s="16" t="str">
        <v>successful</v>
      </c>
      <c r="B13" s="5">
        <v>5500</v>
      </c>
      <c r="D13" s="17" t="str">
        <v>failed</v>
      </c>
      <c r="E13" s="5">
        <v>101000</v>
      </c>
      <c r="F13" s="88" t="str">
        <v>canceled</v>
      </c>
      <c r="G13" s="5">
        <v>7200</v>
      </c>
      <c r="H13" s="89" t="str">
        <v>live</v>
      </c>
      <c r="I13" s="5">
        <v>3600</v>
      </c>
      <c r="M13" s="5" t="s">
        <v>2107</v>
      </c>
      <c r="N13" s="32">
        <f>COUNTIF($B$1:$B$565, "&gt;"&amp;$N$11)</f>
        <v>68</v>
      </c>
      <c r="O13" s="32">
        <f>COUNTIF($E$1:$E$565, "&gt;"&amp;$O$11)</f>
        <v>0</v>
      </c>
      <c r="P13" s="31">
        <f>COUNTIF(_xlfn.ANCHORARRAY(G1), "&gt;"&amp;$P$11)</f>
        <v>0</v>
      </c>
      <c r="Q13" s="31">
        <f>COUNTIF(_xlfn.ANCHORARRAY(I1), "&gt;"&amp;$Q$11)</f>
        <v>0</v>
      </c>
    </row>
    <row r="14" spans="1:17" x14ac:dyDescent="0.2">
      <c r="A14" s="16" t="str">
        <v>successful</v>
      </c>
      <c r="B14" s="5">
        <v>130800</v>
      </c>
      <c r="D14" s="17" t="str">
        <v>failed</v>
      </c>
      <c r="E14" s="5">
        <v>9900</v>
      </c>
      <c r="F14" s="88" t="str">
        <v>canceled</v>
      </c>
      <c r="G14" s="5">
        <v>173900</v>
      </c>
      <c r="H14" s="89" t="str">
        <v>live</v>
      </c>
      <c r="I14" s="5">
        <v>9900</v>
      </c>
      <c r="M14" s="5" t="s">
        <v>2103</v>
      </c>
      <c r="N14" s="31">
        <f>_xlfn.STDEV.P($B$1:$B$565)</f>
        <v>40698.275149265275</v>
      </c>
      <c r="O14" s="31">
        <f>_xlfn.STDEV.P($E$1:$E$565)</f>
        <v>69788.377235289023</v>
      </c>
      <c r="P14" s="31">
        <f>_xlfn.STDEV.P(_xlfn.ANCHORARRAY(G1))</f>
        <v>69935.399026061481</v>
      </c>
      <c r="Q14" s="31">
        <f>_xlfn.STDEV.P(_xlfn.ANCHORARRAY(I1))</f>
        <v>74036.404448578338</v>
      </c>
    </row>
    <row r="15" spans="1:17" x14ac:dyDescent="0.2">
      <c r="A15" s="16" t="str">
        <v>successful</v>
      </c>
      <c r="B15" s="5">
        <v>45900</v>
      </c>
      <c r="D15" s="17" t="str">
        <v>failed</v>
      </c>
      <c r="E15" s="5">
        <v>9500</v>
      </c>
      <c r="F15" s="88" t="str">
        <v>canceled</v>
      </c>
      <c r="G15" s="5">
        <v>112100</v>
      </c>
      <c r="M15" s="5" t="s">
        <v>2104</v>
      </c>
      <c r="N15" s="31">
        <f>_xlfn.SKEW.P($B$1:$B$565)</f>
        <v>1.9625492352488187</v>
      </c>
      <c r="O15" s="31">
        <f>_xlfn.SKEW.P($E$1:$E$565)</f>
        <v>0.61404555468039079</v>
      </c>
      <c r="P15" s="31">
        <f>_xlfn.SKEW.P(_xlfn.ANCHORARRAY(G1))</f>
        <v>0.47844090297947223</v>
      </c>
      <c r="Q15" s="31">
        <f>_xlfn.SKEW.P(_xlfn.ANCHORARRAY(I1))</f>
        <v>0.1814372749429789</v>
      </c>
    </row>
    <row r="16" spans="1:17" x14ac:dyDescent="0.2">
      <c r="A16" s="16" t="str">
        <v>successful</v>
      </c>
      <c r="B16" s="5">
        <v>9000</v>
      </c>
      <c r="D16" s="17" t="str">
        <v>failed</v>
      </c>
      <c r="E16" s="5">
        <v>100</v>
      </c>
      <c r="F16" s="88" t="str">
        <v>canceled</v>
      </c>
      <c r="G16" s="5">
        <v>6500</v>
      </c>
      <c r="N16" s="31"/>
      <c r="O16" s="31"/>
    </row>
    <row r="17" spans="1:15" x14ac:dyDescent="0.2">
      <c r="A17" s="16" t="str">
        <v>successful</v>
      </c>
      <c r="B17" s="5">
        <v>3500</v>
      </c>
      <c r="D17" s="17" t="str">
        <v>failed</v>
      </c>
      <c r="E17" s="5">
        <v>158100</v>
      </c>
      <c r="F17" s="88" t="str">
        <v>canceled</v>
      </c>
      <c r="G17" s="5">
        <v>4100</v>
      </c>
      <c r="N17" s="31"/>
      <c r="O17" s="31"/>
    </row>
    <row r="18" spans="1:15" x14ac:dyDescent="0.2">
      <c r="A18" s="16" t="str">
        <v>successful</v>
      </c>
      <c r="B18" s="5">
        <v>50200</v>
      </c>
      <c r="D18" s="17" t="str">
        <v>failed</v>
      </c>
      <c r="E18" s="5">
        <v>7200</v>
      </c>
      <c r="F18" s="88" t="str">
        <v>canceled</v>
      </c>
      <c r="G18" s="5">
        <v>8400</v>
      </c>
      <c r="N18" s="31"/>
      <c r="O18" s="31"/>
    </row>
    <row r="19" spans="1:15" x14ac:dyDescent="0.2">
      <c r="A19" s="16" t="str">
        <v>successful</v>
      </c>
      <c r="B19" s="5">
        <v>9300</v>
      </c>
      <c r="D19" s="17" t="str">
        <v>failed</v>
      </c>
      <c r="E19" s="5">
        <v>6000</v>
      </c>
      <c r="F19" s="88" t="str">
        <v>canceled</v>
      </c>
      <c r="G19" s="5">
        <v>136300</v>
      </c>
    </row>
    <row r="20" spans="1:15" x14ac:dyDescent="0.2">
      <c r="A20" s="16" t="str">
        <v>successful</v>
      </c>
      <c r="B20" s="5">
        <v>125500</v>
      </c>
      <c r="D20" s="17" t="str">
        <v>failed</v>
      </c>
      <c r="E20" s="5">
        <v>199200</v>
      </c>
      <c r="F20" s="88" t="str">
        <v>canceled</v>
      </c>
      <c r="G20" s="5">
        <v>114800</v>
      </c>
    </row>
    <row r="21" spans="1:15" x14ac:dyDescent="0.2">
      <c r="A21" s="16" t="str">
        <v>successful</v>
      </c>
      <c r="B21" s="5">
        <v>700</v>
      </c>
      <c r="D21" s="17" t="str">
        <v>failed</v>
      </c>
      <c r="E21" s="5">
        <v>4700</v>
      </c>
      <c r="F21" s="88" t="str">
        <v>canceled</v>
      </c>
      <c r="G21" s="5">
        <v>191000</v>
      </c>
    </row>
    <row r="22" spans="1:15" x14ac:dyDescent="0.2">
      <c r="A22" s="16" t="str">
        <v>successful</v>
      </c>
      <c r="B22" s="5">
        <v>8100</v>
      </c>
      <c r="D22" s="17" t="str">
        <v>failed</v>
      </c>
      <c r="E22" s="5">
        <v>2800</v>
      </c>
      <c r="F22" s="88" t="str">
        <v>canceled</v>
      </c>
      <c r="G22" s="5">
        <v>5400</v>
      </c>
    </row>
    <row r="23" spans="1:15" x14ac:dyDescent="0.2">
      <c r="A23" s="16" t="str">
        <v>successful</v>
      </c>
      <c r="B23" s="5">
        <v>3100</v>
      </c>
      <c r="D23" s="17" t="str">
        <v>failed</v>
      </c>
      <c r="E23" s="5">
        <v>2900</v>
      </c>
      <c r="F23" s="88" t="str">
        <v>canceled</v>
      </c>
      <c r="G23" s="5">
        <v>9300</v>
      </c>
    </row>
    <row r="24" spans="1:15" x14ac:dyDescent="0.2">
      <c r="A24" s="16" t="str">
        <v>successful</v>
      </c>
      <c r="B24" s="5">
        <v>8800</v>
      </c>
      <c r="D24" s="17" t="str">
        <v>failed</v>
      </c>
      <c r="E24" s="5">
        <v>122900</v>
      </c>
      <c r="F24" s="88" t="str">
        <v>canceled</v>
      </c>
      <c r="G24" s="5">
        <v>155200</v>
      </c>
    </row>
    <row r="25" spans="1:15" x14ac:dyDescent="0.2">
      <c r="A25" s="16" t="str">
        <v>successful</v>
      </c>
      <c r="B25" s="5">
        <v>5600</v>
      </c>
      <c r="D25" s="17" t="str">
        <v>failed</v>
      </c>
      <c r="E25" s="5">
        <v>9500</v>
      </c>
      <c r="F25" s="88" t="str">
        <v>canceled</v>
      </c>
      <c r="G25" s="5">
        <v>191000</v>
      </c>
    </row>
    <row r="26" spans="1:15" x14ac:dyDescent="0.2">
      <c r="A26" s="16" t="str">
        <v>successful</v>
      </c>
      <c r="B26" s="5">
        <v>1800</v>
      </c>
      <c r="D26" s="17" t="str">
        <v>failed</v>
      </c>
      <c r="E26" s="5">
        <v>57800</v>
      </c>
      <c r="F26" s="88" t="str">
        <v>canceled</v>
      </c>
      <c r="G26" s="5">
        <v>8300</v>
      </c>
    </row>
    <row r="27" spans="1:15" x14ac:dyDescent="0.2">
      <c r="A27" s="16" t="str">
        <v>successful</v>
      </c>
      <c r="B27" s="5">
        <v>90200</v>
      </c>
      <c r="D27" s="17" t="str">
        <v>failed</v>
      </c>
      <c r="E27" s="5">
        <v>106400</v>
      </c>
      <c r="F27" s="88" t="str">
        <v>canceled</v>
      </c>
      <c r="G27" s="5">
        <v>138700</v>
      </c>
    </row>
    <row r="28" spans="1:15" x14ac:dyDescent="0.2">
      <c r="A28" s="16" t="str">
        <v>successful</v>
      </c>
      <c r="B28" s="5">
        <v>1600</v>
      </c>
      <c r="D28" s="17" t="str">
        <v>failed</v>
      </c>
      <c r="E28" s="5">
        <v>198500</v>
      </c>
      <c r="F28" s="88" t="str">
        <v>canceled</v>
      </c>
      <c r="G28" s="5">
        <v>100</v>
      </c>
    </row>
    <row r="29" spans="1:15" x14ac:dyDescent="0.2">
      <c r="A29" s="16" t="str">
        <v>successful</v>
      </c>
      <c r="B29" s="5">
        <v>3700</v>
      </c>
      <c r="D29" s="17" t="str">
        <v>failed</v>
      </c>
      <c r="E29" s="5">
        <v>7800</v>
      </c>
      <c r="F29" s="88" t="str">
        <v>canceled</v>
      </c>
      <c r="G29" s="5">
        <v>9000</v>
      </c>
    </row>
    <row r="30" spans="1:15" x14ac:dyDescent="0.2">
      <c r="A30" s="16" t="str">
        <v>successful</v>
      </c>
      <c r="B30" s="5">
        <v>1500</v>
      </c>
      <c r="D30" s="17" t="str">
        <v>failed</v>
      </c>
      <c r="E30" s="5">
        <v>154300</v>
      </c>
      <c r="F30" s="88" t="str">
        <v>canceled</v>
      </c>
      <c r="G30" s="5">
        <v>8200</v>
      </c>
    </row>
    <row r="31" spans="1:15" x14ac:dyDescent="0.2">
      <c r="A31" s="16" t="str">
        <v>successful</v>
      </c>
      <c r="B31" s="5">
        <v>33300</v>
      </c>
      <c r="D31" s="17" t="str">
        <v>failed</v>
      </c>
      <c r="E31" s="5">
        <v>97800</v>
      </c>
      <c r="F31" s="88" t="str">
        <v>canceled</v>
      </c>
      <c r="G31" s="5">
        <v>8200</v>
      </c>
    </row>
    <row r="32" spans="1:15" x14ac:dyDescent="0.2">
      <c r="A32" s="16" t="str">
        <v>successful</v>
      </c>
      <c r="B32" s="5">
        <v>7200</v>
      </c>
      <c r="D32" s="17" t="str">
        <v>failed</v>
      </c>
      <c r="E32" s="5">
        <v>100</v>
      </c>
      <c r="F32" s="88" t="str">
        <v>canceled</v>
      </c>
      <c r="G32" s="5">
        <v>9500</v>
      </c>
    </row>
    <row r="33" spans="1:7" x14ac:dyDescent="0.2">
      <c r="A33" s="16" t="str">
        <v>successful</v>
      </c>
      <c r="B33" s="5">
        <v>8800</v>
      </c>
      <c r="D33" s="17" t="str">
        <v>failed</v>
      </c>
      <c r="E33" s="5">
        <v>10000</v>
      </c>
      <c r="F33" s="88" t="str">
        <v>canceled</v>
      </c>
      <c r="G33" s="5">
        <v>118200</v>
      </c>
    </row>
    <row r="34" spans="1:7" x14ac:dyDescent="0.2">
      <c r="A34" s="16" t="str">
        <v>successful</v>
      </c>
      <c r="B34" s="5">
        <v>6600</v>
      </c>
      <c r="D34" s="17" t="str">
        <v>failed</v>
      </c>
      <c r="E34" s="5">
        <v>5200</v>
      </c>
      <c r="F34" s="88" t="str">
        <v>canceled</v>
      </c>
      <c r="G34" s="5">
        <v>98600</v>
      </c>
    </row>
    <row r="35" spans="1:7" x14ac:dyDescent="0.2">
      <c r="A35" s="16" t="str">
        <v>successful</v>
      </c>
      <c r="B35" s="5">
        <v>8000</v>
      </c>
      <c r="D35" s="17" t="str">
        <v>failed</v>
      </c>
      <c r="E35" s="5">
        <v>142400</v>
      </c>
      <c r="F35" s="88" t="str">
        <v>canceled</v>
      </c>
      <c r="G35" s="5">
        <v>52600</v>
      </c>
    </row>
    <row r="36" spans="1:7" x14ac:dyDescent="0.2">
      <c r="A36" s="16" t="str">
        <v>successful</v>
      </c>
      <c r="B36" s="5">
        <v>2900</v>
      </c>
      <c r="D36" s="17" t="str">
        <v>failed</v>
      </c>
      <c r="E36" s="5">
        <v>166700</v>
      </c>
      <c r="F36" s="88" t="str">
        <v>canceled</v>
      </c>
      <c r="G36" s="5">
        <v>3100</v>
      </c>
    </row>
    <row r="37" spans="1:7" x14ac:dyDescent="0.2">
      <c r="A37" s="16" t="str">
        <v>successful</v>
      </c>
      <c r="B37" s="5">
        <v>2700</v>
      </c>
      <c r="D37" s="17" t="str">
        <v>failed</v>
      </c>
      <c r="E37" s="5">
        <v>7200</v>
      </c>
      <c r="F37" s="88" t="str">
        <v>canceled</v>
      </c>
      <c r="G37" s="5">
        <v>170700</v>
      </c>
    </row>
    <row r="38" spans="1:7" x14ac:dyDescent="0.2">
      <c r="A38" s="16" t="str">
        <v>successful</v>
      </c>
      <c r="B38" s="5">
        <v>1400</v>
      </c>
      <c r="D38" s="17" t="str">
        <v>failed</v>
      </c>
      <c r="E38" s="5">
        <v>136800</v>
      </c>
      <c r="F38" s="88" t="str">
        <v>canceled</v>
      </c>
      <c r="G38" s="5">
        <v>99500</v>
      </c>
    </row>
    <row r="39" spans="1:7" x14ac:dyDescent="0.2">
      <c r="A39" s="16" t="str">
        <v>successful</v>
      </c>
      <c r="B39" s="5">
        <v>94200</v>
      </c>
      <c r="D39" s="17" t="str">
        <v>failed</v>
      </c>
      <c r="E39" s="5">
        <v>177700</v>
      </c>
      <c r="F39" s="88" t="str">
        <v>canceled</v>
      </c>
      <c r="G39" s="5">
        <v>8700</v>
      </c>
    </row>
    <row r="40" spans="1:7" x14ac:dyDescent="0.2">
      <c r="A40" s="16" t="str">
        <v>successful</v>
      </c>
      <c r="B40" s="5">
        <v>2000</v>
      </c>
      <c r="D40" s="17" t="str">
        <v>failed</v>
      </c>
      <c r="E40" s="5">
        <v>180200</v>
      </c>
      <c r="F40" s="88" t="str">
        <v>canceled</v>
      </c>
      <c r="G40" s="5">
        <v>123600</v>
      </c>
    </row>
    <row r="41" spans="1:7" x14ac:dyDescent="0.2">
      <c r="A41" s="16" t="str">
        <v>successful</v>
      </c>
      <c r="B41" s="5">
        <v>6100</v>
      </c>
      <c r="D41" s="17" t="str">
        <v>failed</v>
      </c>
      <c r="E41" s="5">
        <v>103200</v>
      </c>
      <c r="F41" s="88" t="str">
        <v>canceled</v>
      </c>
      <c r="G41" s="5">
        <v>54300</v>
      </c>
    </row>
    <row r="42" spans="1:7" x14ac:dyDescent="0.2">
      <c r="A42" s="16" t="str">
        <v>successful</v>
      </c>
      <c r="B42" s="5">
        <v>72600</v>
      </c>
      <c r="D42" s="17" t="str">
        <v>failed</v>
      </c>
      <c r="E42" s="5">
        <v>99500</v>
      </c>
      <c r="F42" s="88" t="str">
        <v>canceled</v>
      </c>
      <c r="G42" s="5">
        <v>8000</v>
      </c>
    </row>
    <row r="43" spans="1:7" x14ac:dyDescent="0.2">
      <c r="A43" s="16" t="str">
        <v>successful</v>
      </c>
      <c r="B43" s="5">
        <v>5700</v>
      </c>
      <c r="D43" s="17" t="str">
        <v>failed</v>
      </c>
      <c r="E43" s="5">
        <v>7700</v>
      </c>
      <c r="F43" s="88" t="str">
        <v>canceled</v>
      </c>
      <c r="G43" s="5">
        <v>7700</v>
      </c>
    </row>
    <row r="44" spans="1:7" x14ac:dyDescent="0.2">
      <c r="A44" s="16" t="str">
        <v>successful</v>
      </c>
      <c r="B44" s="5">
        <v>128000</v>
      </c>
      <c r="D44" s="17" t="str">
        <v>failed</v>
      </c>
      <c r="E44" s="5">
        <v>9600</v>
      </c>
      <c r="F44" s="88" t="str">
        <v>canceled</v>
      </c>
      <c r="G44" s="5">
        <v>194900</v>
      </c>
    </row>
    <row r="45" spans="1:7" x14ac:dyDescent="0.2">
      <c r="A45" s="16" t="str">
        <v>successful</v>
      </c>
      <c r="B45" s="5">
        <v>6000</v>
      </c>
      <c r="D45" s="17" t="str">
        <v>failed</v>
      </c>
      <c r="E45" s="5">
        <v>92100</v>
      </c>
      <c r="F45" s="88" t="str">
        <v>canceled</v>
      </c>
      <c r="G45" s="5">
        <v>5800</v>
      </c>
    </row>
    <row r="46" spans="1:7" x14ac:dyDescent="0.2">
      <c r="A46" s="16" t="str">
        <v>successful</v>
      </c>
      <c r="B46" s="5">
        <v>600</v>
      </c>
      <c r="D46" s="17" t="str">
        <v>failed</v>
      </c>
      <c r="E46" s="5">
        <v>100</v>
      </c>
      <c r="F46" s="88" t="str">
        <v>canceled</v>
      </c>
      <c r="G46" s="5">
        <v>5600</v>
      </c>
    </row>
    <row r="47" spans="1:7" x14ac:dyDescent="0.2">
      <c r="A47" s="16" t="str">
        <v>successful</v>
      </c>
      <c r="B47" s="5">
        <v>1400</v>
      </c>
      <c r="D47" s="17" t="str">
        <v>failed</v>
      </c>
      <c r="E47" s="5">
        <v>137200</v>
      </c>
      <c r="F47" s="88" t="str">
        <v>canceled</v>
      </c>
      <c r="G47" s="5">
        <v>8700</v>
      </c>
    </row>
    <row r="48" spans="1:7" x14ac:dyDescent="0.2">
      <c r="A48" s="16" t="str">
        <v>successful</v>
      </c>
      <c r="B48" s="5">
        <v>3900</v>
      </c>
      <c r="D48" s="17" t="str">
        <v>failed</v>
      </c>
      <c r="E48" s="5">
        <v>189400</v>
      </c>
      <c r="F48" s="88" t="str">
        <v>canceled</v>
      </c>
      <c r="G48" s="5">
        <v>185900</v>
      </c>
    </row>
    <row r="49" spans="1:7" x14ac:dyDescent="0.2">
      <c r="A49" s="16" t="str">
        <v>successful</v>
      </c>
      <c r="B49" s="5">
        <v>9700</v>
      </c>
      <c r="D49" s="17" t="str">
        <v>failed</v>
      </c>
      <c r="E49" s="5">
        <v>171300</v>
      </c>
      <c r="F49" s="88" t="str">
        <v>canceled</v>
      </c>
      <c r="G49" s="5">
        <v>8800</v>
      </c>
    </row>
    <row r="50" spans="1:7" x14ac:dyDescent="0.2">
      <c r="A50" s="16" t="str">
        <v>successful</v>
      </c>
      <c r="B50" s="5">
        <v>4500</v>
      </c>
      <c r="D50" s="17" t="str">
        <v>failed</v>
      </c>
      <c r="E50" s="5">
        <v>139500</v>
      </c>
      <c r="F50" s="88" t="str">
        <v>canceled</v>
      </c>
      <c r="G50" s="5">
        <v>182800</v>
      </c>
    </row>
    <row r="51" spans="1:7" x14ac:dyDescent="0.2">
      <c r="A51" s="16" t="str">
        <v>successful</v>
      </c>
      <c r="B51" s="5">
        <v>1100</v>
      </c>
      <c r="D51" s="17" t="str">
        <v>failed</v>
      </c>
      <c r="E51" s="5">
        <v>4200</v>
      </c>
      <c r="F51" s="88" t="str">
        <v>canceled</v>
      </c>
      <c r="G51" s="5">
        <v>154500</v>
      </c>
    </row>
    <row r="52" spans="1:7" x14ac:dyDescent="0.2">
      <c r="A52" s="16" t="str">
        <v>successful</v>
      </c>
      <c r="B52" s="5">
        <v>16800</v>
      </c>
      <c r="D52" s="17" t="str">
        <v>failed</v>
      </c>
      <c r="E52" s="5">
        <v>5500</v>
      </c>
      <c r="F52" s="88" t="str">
        <v>canceled</v>
      </c>
      <c r="G52" s="5">
        <v>171000</v>
      </c>
    </row>
    <row r="53" spans="1:7" x14ac:dyDescent="0.2">
      <c r="A53" s="16" t="str">
        <v>successful</v>
      </c>
      <c r="B53" s="5">
        <v>1000</v>
      </c>
      <c r="D53" s="17" t="str">
        <v>failed</v>
      </c>
      <c r="E53" s="5">
        <v>128100</v>
      </c>
      <c r="F53" s="88" t="str">
        <v>canceled</v>
      </c>
      <c r="G53" s="5">
        <v>9400</v>
      </c>
    </row>
    <row r="54" spans="1:7" x14ac:dyDescent="0.2">
      <c r="A54" s="16" t="str">
        <v>successful</v>
      </c>
      <c r="B54" s="5">
        <v>31400</v>
      </c>
      <c r="D54" s="17" t="str">
        <v>failed</v>
      </c>
      <c r="E54" s="5">
        <v>188100</v>
      </c>
      <c r="F54" s="88" t="str">
        <v>canceled</v>
      </c>
      <c r="G54" s="5">
        <v>145500</v>
      </c>
    </row>
    <row r="55" spans="1:7" x14ac:dyDescent="0.2">
      <c r="A55" s="16" t="str">
        <v>successful</v>
      </c>
      <c r="B55" s="5">
        <v>4900</v>
      </c>
      <c r="D55" s="17" t="str">
        <v>failed</v>
      </c>
      <c r="E55" s="5">
        <v>4900</v>
      </c>
      <c r="F55" s="88" t="str">
        <v>canceled</v>
      </c>
      <c r="G55" s="5">
        <v>9800</v>
      </c>
    </row>
    <row r="56" spans="1:7" x14ac:dyDescent="0.2">
      <c r="A56" s="16" t="str">
        <v>successful</v>
      </c>
      <c r="B56" s="5">
        <v>7400</v>
      </c>
      <c r="D56" s="17" t="str">
        <v>failed</v>
      </c>
      <c r="E56" s="5">
        <v>800</v>
      </c>
      <c r="F56" s="88" t="str">
        <v>canceled</v>
      </c>
      <c r="G56" s="5">
        <v>7600</v>
      </c>
    </row>
    <row r="57" spans="1:7" x14ac:dyDescent="0.2">
      <c r="A57" s="16" t="str">
        <v>successful</v>
      </c>
      <c r="B57" s="5">
        <v>4800</v>
      </c>
      <c r="D57" s="17" t="str">
        <v>failed</v>
      </c>
      <c r="E57" s="5">
        <v>181200</v>
      </c>
      <c r="F57" s="88" t="str">
        <v>canceled</v>
      </c>
      <c r="G57" s="5">
        <v>111100</v>
      </c>
    </row>
    <row r="58" spans="1:7" x14ac:dyDescent="0.2">
      <c r="A58" s="16" t="str">
        <v>successful</v>
      </c>
      <c r="B58" s="5">
        <v>3400</v>
      </c>
      <c r="D58" s="17" t="str">
        <v>failed</v>
      </c>
      <c r="E58" s="5">
        <v>115000</v>
      </c>
    </row>
    <row r="59" spans="1:7" x14ac:dyDescent="0.2">
      <c r="A59" s="16" t="str">
        <v>successful</v>
      </c>
      <c r="B59" s="5">
        <v>20000</v>
      </c>
      <c r="D59" s="17" t="str">
        <v>failed</v>
      </c>
      <c r="E59" s="5">
        <v>7200</v>
      </c>
    </row>
    <row r="60" spans="1:7" x14ac:dyDescent="0.2">
      <c r="A60" s="16" t="str">
        <v>successful</v>
      </c>
      <c r="B60" s="5">
        <v>2900</v>
      </c>
      <c r="D60" s="17" t="str">
        <v>failed</v>
      </c>
      <c r="E60" s="5">
        <v>8600</v>
      </c>
    </row>
    <row r="61" spans="1:7" x14ac:dyDescent="0.2">
      <c r="A61" s="16" t="str">
        <v>successful</v>
      </c>
      <c r="B61" s="5">
        <v>900</v>
      </c>
      <c r="D61" s="17" t="str">
        <v>failed</v>
      </c>
      <c r="E61" s="5">
        <v>5100</v>
      </c>
    </row>
    <row r="62" spans="1:7" x14ac:dyDescent="0.2">
      <c r="A62" s="16" t="str">
        <v>successful</v>
      </c>
      <c r="B62" s="5">
        <v>69700</v>
      </c>
      <c r="D62" s="17" t="str">
        <v>failed</v>
      </c>
      <c r="E62" s="5">
        <v>1000</v>
      </c>
    </row>
    <row r="63" spans="1:7" x14ac:dyDescent="0.2">
      <c r="A63" s="16" t="str">
        <v>successful</v>
      </c>
      <c r="B63" s="5">
        <v>1300</v>
      </c>
      <c r="D63" s="17" t="str">
        <v>failed</v>
      </c>
      <c r="E63" s="5">
        <v>88800</v>
      </c>
    </row>
    <row r="64" spans="1:7" x14ac:dyDescent="0.2">
      <c r="A64" s="16" t="str">
        <v>successful</v>
      </c>
      <c r="B64" s="5">
        <v>7600</v>
      </c>
      <c r="D64" s="17" t="str">
        <v>failed</v>
      </c>
      <c r="E64" s="5">
        <v>8200</v>
      </c>
    </row>
    <row r="65" spans="1:5" x14ac:dyDescent="0.2">
      <c r="A65" s="16" t="str">
        <v>successful</v>
      </c>
      <c r="B65" s="5">
        <v>900</v>
      </c>
      <c r="D65" s="17" t="str">
        <v>failed</v>
      </c>
      <c r="E65" s="5">
        <v>3700</v>
      </c>
    </row>
    <row r="66" spans="1:5" x14ac:dyDescent="0.2">
      <c r="A66" s="16" t="str">
        <v>successful</v>
      </c>
      <c r="B66" s="5">
        <v>3700</v>
      </c>
      <c r="D66" s="17" t="str">
        <v>failed</v>
      </c>
      <c r="E66" s="5">
        <v>8400</v>
      </c>
    </row>
    <row r="67" spans="1:5" x14ac:dyDescent="0.2">
      <c r="A67" s="16" t="str">
        <v>successful</v>
      </c>
      <c r="B67" s="5">
        <v>119200</v>
      </c>
      <c r="D67" s="17" t="str">
        <v>failed</v>
      </c>
      <c r="E67" s="5">
        <v>42600</v>
      </c>
    </row>
    <row r="68" spans="1:5" x14ac:dyDescent="0.2">
      <c r="A68" s="16" t="str">
        <v>successful</v>
      </c>
      <c r="B68" s="5">
        <v>6800</v>
      </c>
      <c r="D68" s="17" t="str">
        <v>failed</v>
      </c>
      <c r="E68" s="5">
        <v>6600</v>
      </c>
    </row>
    <row r="69" spans="1:5" x14ac:dyDescent="0.2">
      <c r="A69" s="16" t="str">
        <v>successful</v>
      </c>
      <c r="B69" s="5">
        <v>3900</v>
      </c>
      <c r="D69" s="17" t="str">
        <v>failed</v>
      </c>
      <c r="E69" s="5">
        <v>8200</v>
      </c>
    </row>
    <row r="70" spans="1:5" x14ac:dyDescent="0.2">
      <c r="A70" s="16" t="str">
        <v>successful</v>
      </c>
      <c r="B70" s="5">
        <v>3500</v>
      </c>
      <c r="D70" s="17" t="str">
        <v>failed</v>
      </c>
      <c r="E70" s="5">
        <v>63200</v>
      </c>
    </row>
    <row r="71" spans="1:5" x14ac:dyDescent="0.2">
      <c r="A71" s="16" t="str">
        <v>successful</v>
      </c>
      <c r="B71" s="5">
        <v>1500</v>
      </c>
      <c r="D71" s="17" t="str">
        <v>failed</v>
      </c>
      <c r="E71" s="5">
        <v>1800</v>
      </c>
    </row>
    <row r="72" spans="1:5" x14ac:dyDescent="0.2">
      <c r="A72" s="16" t="str">
        <v>successful</v>
      </c>
      <c r="B72" s="5">
        <v>61400</v>
      </c>
      <c r="D72" s="17" t="str">
        <v>failed</v>
      </c>
      <c r="E72" s="5">
        <v>100</v>
      </c>
    </row>
    <row r="73" spans="1:5" x14ac:dyDescent="0.2">
      <c r="A73" s="16" t="str">
        <v>successful</v>
      </c>
      <c r="B73" s="5">
        <v>4700</v>
      </c>
      <c r="D73" s="17" t="str">
        <v>failed</v>
      </c>
      <c r="E73" s="5">
        <v>75000</v>
      </c>
    </row>
    <row r="74" spans="1:5" x14ac:dyDescent="0.2">
      <c r="A74" s="16" t="str">
        <v>successful</v>
      </c>
      <c r="B74" s="5">
        <v>3300</v>
      </c>
      <c r="D74" s="17" t="str">
        <v>failed</v>
      </c>
      <c r="E74" s="5">
        <v>9400</v>
      </c>
    </row>
    <row r="75" spans="1:5" x14ac:dyDescent="0.2">
      <c r="A75" s="16" t="str">
        <v>successful</v>
      </c>
      <c r="B75" s="5">
        <v>1900</v>
      </c>
      <c r="D75" s="17" t="str">
        <v>failed</v>
      </c>
      <c r="E75" s="5">
        <v>104400</v>
      </c>
    </row>
    <row r="76" spans="1:5" x14ac:dyDescent="0.2">
      <c r="A76" s="16" t="str">
        <v>successful</v>
      </c>
      <c r="B76" s="5">
        <v>4900</v>
      </c>
      <c r="D76" s="17" t="str">
        <v>failed</v>
      </c>
      <c r="E76" s="5">
        <v>156800</v>
      </c>
    </row>
    <row r="77" spans="1:5" x14ac:dyDescent="0.2">
      <c r="A77" s="16" t="str">
        <v>successful</v>
      </c>
      <c r="B77" s="5">
        <v>5400</v>
      </c>
      <c r="D77" s="17" t="str">
        <v>failed</v>
      </c>
      <c r="E77" s="5">
        <v>129400</v>
      </c>
    </row>
    <row r="78" spans="1:5" x14ac:dyDescent="0.2">
      <c r="A78" s="16" t="str">
        <v>successful</v>
      </c>
      <c r="B78" s="5">
        <v>5000</v>
      </c>
      <c r="D78" s="17" t="str">
        <v>failed</v>
      </c>
      <c r="E78" s="5">
        <v>7900</v>
      </c>
    </row>
    <row r="79" spans="1:5" x14ac:dyDescent="0.2">
      <c r="A79" s="16" t="str">
        <v>successful</v>
      </c>
      <c r="B79" s="5">
        <v>75100</v>
      </c>
      <c r="D79" s="17" t="str">
        <v>failed</v>
      </c>
      <c r="E79" s="5">
        <v>121500</v>
      </c>
    </row>
    <row r="80" spans="1:5" x14ac:dyDescent="0.2">
      <c r="A80" s="16" t="str">
        <v>successful</v>
      </c>
      <c r="B80" s="5">
        <v>45300</v>
      </c>
      <c r="D80" s="17" t="str">
        <v>failed</v>
      </c>
      <c r="E80" s="5">
        <v>87300</v>
      </c>
    </row>
    <row r="81" spans="1:5" x14ac:dyDescent="0.2">
      <c r="A81" s="16" t="str">
        <v>successful</v>
      </c>
      <c r="B81" s="5">
        <v>2600</v>
      </c>
      <c r="D81" s="17" t="str">
        <v>failed</v>
      </c>
      <c r="E81" s="5">
        <v>8600</v>
      </c>
    </row>
    <row r="82" spans="1:5" x14ac:dyDescent="0.2">
      <c r="A82" s="16" t="str">
        <v>successful</v>
      </c>
      <c r="B82" s="5">
        <v>5300</v>
      </c>
      <c r="D82" s="17" t="str">
        <v>failed</v>
      </c>
      <c r="E82" s="5">
        <v>39500</v>
      </c>
    </row>
    <row r="83" spans="1:5" x14ac:dyDescent="0.2">
      <c r="A83" s="16" t="str">
        <v>successful</v>
      </c>
      <c r="B83" s="5">
        <v>9600</v>
      </c>
      <c r="D83" s="17" t="str">
        <v>failed</v>
      </c>
      <c r="E83" s="5">
        <v>3200</v>
      </c>
    </row>
    <row r="84" spans="1:5" x14ac:dyDescent="0.2">
      <c r="A84" s="16" t="str">
        <v>successful</v>
      </c>
      <c r="B84" s="5">
        <v>164700</v>
      </c>
      <c r="D84" s="17" t="str">
        <v>failed</v>
      </c>
      <c r="E84" s="5">
        <v>100</v>
      </c>
    </row>
    <row r="85" spans="1:5" x14ac:dyDescent="0.2">
      <c r="A85" s="16" t="str">
        <v>successful</v>
      </c>
      <c r="B85" s="5">
        <v>3300</v>
      </c>
      <c r="D85" s="17" t="str">
        <v>failed</v>
      </c>
      <c r="E85" s="5">
        <v>7100</v>
      </c>
    </row>
    <row r="86" spans="1:5" x14ac:dyDescent="0.2">
      <c r="A86" s="16" t="str">
        <v>successful</v>
      </c>
      <c r="B86" s="5">
        <v>4500</v>
      </c>
      <c r="D86" s="17" t="str">
        <v>failed</v>
      </c>
      <c r="E86" s="5">
        <v>121500</v>
      </c>
    </row>
    <row r="87" spans="1:5" x14ac:dyDescent="0.2">
      <c r="A87" s="16" t="str">
        <v>successful</v>
      </c>
      <c r="B87" s="5">
        <v>1800</v>
      </c>
      <c r="D87" s="17" t="str">
        <v>failed</v>
      </c>
      <c r="E87" s="5">
        <v>4100</v>
      </c>
    </row>
    <row r="88" spans="1:5" x14ac:dyDescent="0.2">
      <c r="A88" s="16" t="str">
        <v>successful</v>
      </c>
      <c r="B88" s="5">
        <v>5500</v>
      </c>
      <c r="D88" s="17" t="str">
        <v>failed</v>
      </c>
      <c r="E88" s="5">
        <v>84300</v>
      </c>
    </row>
    <row r="89" spans="1:5" x14ac:dyDescent="0.2">
      <c r="A89" s="16" t="str">
        <v>successful</v>
      </c>
      <c r="B89" s="5">
        <v>64300</v>
      </c>
      <c r="D89" s="17" t="str">
        <v>failed</v>
      </c>
      <c r="E89" s="5">
        <v>111900</v>
      </c>
    </row>
    <row r="90" spans="1:5" x14ac:dyDescent="0.2">
      <c r="A90" s="16" t="str">
        <v>successful</v>
      </c>
      <c r="B90" s="5">
        <v>5000</v>
      </c>
      <c r="D90" s="17" t="str">
        <v>failed</v>
      </c>
      <c r="E90" s="5">
        <v>2400</v>
      </c>
    </row>
    <row r="91" spans="1:5" x14ac:dyDescent="0.2">
      <c r="A91" s="16" t="str">
        <v>successful</v>
      </c>
      <c r="B91" s="5">
        <v>5400</v>
      </c>
      <c r="D91" s="17" t="str">
        <v>failed</v>
      </c>
      <c r="E91" s="5">
        <v>5500</v>
      </c>
    </row>
    <row r="92" spans="1:5" x14ac:dyDescent="0.2">
      <c r="A92" s="16" t="str">
        <v>successful</v>
      </c>
      <c r="B92" s="5">
        <v>9000</v>
      </c>
      <c r="D92" s="17" t="str">
        <v>failed</v>
      </c>
      <c r="E92" s="5">
        <v>164500</v>
      </c>
    </row>
    <row r="93" spans="1:5" x14ac:dyDescent="0.2">
      <c r="A93" s="16" t="str">
        <v>successful</v>
      </c>
      <c r="B93" s="5">
        <v>25000</v>
      </c>
      <c r="D93" s="17" t="str">
        <v>failed</v>
      </c>
      <c r="E93" s="5">
        <v>8100</v>
      </c>
    </row>
    <row r="94" spans="1:5" x14ac:dyDescent="0.2">
      <c r="A94" s="16" t="str">
        <v>successful</v>
      </c>
      <c r="B94" s="5">
        <v>8300</v>
      </c>
      <c r="D94" s="17" t="str">
        <v>failed</v>
      </c>
      <c r="E94" s="5">
        <v>9800</v>
      </c>
    </row>
    <row r="95" spans="1:5" x14ac:dyDescent="0.2">
      <c r="A95" s="16" t="str">
        <v>successful</v>
      </c>
      <c r="B95" s="5">
        <v>9300</v>
      </c>
      <c r="D95" s="17" t="str">
        <v>failed</v>
      </c>
      <c r="E95" s="5">
        <v>5600</v>
      </c>
    </row>
    <row r="96" spans="1:5" x14ac:dyDescent="0.2">
      <c r="A96" s="16" t="str">
        <v>successful</v>
      </c>
      <c r="B96" s="5">
        <v>6200</v>
      </c>
      <c r="D96" s="17" t="str">
        <v>failed</v>
      </c>
      <c r="E96" s="5">
        <v>168600</v>
      </c>
    </row>
    <row r="97" spans="1:5" x14ac:dyDescent="0.2">
      <c r="A97" s="16" t="str">
        <v>successful</v>
      </c>
      <c r="B97" s="5">
        <v>41500</v>
      </c>
      <c r="D97" s="17" t="str">
        <v>failed</v>
      </c>
      <c r="E97" s="5">
        <v>7300</v>
      </c>
    </row>
    <row r="98" spans="1:5" x14ac:dyDescent="0.2">
      <c r="A98" s="16" t="str">
        <v>successful</v>
      </c>
      <c r="B98" s="5">
        <v>2100</v>
      </c>
      <c r="D98" s="17" t="str">
        <v>failed</v>
      </c>
      <c r="E98" s="5">
        <v>192900</v>
      </c>
    </row>
    <row r="99" spans="1:5" x14ac:dyDescent="0.2">
      <c r="A99" s="16" t="str">
        <v>successful</v>
      </c>
      <c r="B99" s="5">
        <v>191200</v>
      </c>
      <c r="D99" s="17" t="str">
        <v>failed</v>
      </c>
      <c r="E99" s="5">
        <v>6100</v>
      </c>
    </row>
    <row r="100" spans="1:5" x14ac:dyDescent="0.2">
      <c r="A100" s="16" t="str">
        <v>successful</v>
      </c>
      <c r="B100" s="5">
        <v>8000</v>
      </c>
      <c r="D100" s="17" t="str">
        <v>failed</v>
      </c>
      <c r="E100" s="5">
        <v>7200</v>
      </c>
    </row>
    <row r="101" spans="1:5" x14ac:dyDescent="0.2">
      <c r="A101" s="16" t="str">
        <v>successful</v>
      </c>
      <c r="B101" s="5">
        <v>6100</v>
      </c>
      <c r="D101" s="17" t="str">
        <v>failed</v>
      </c>
      <c r="E101" s="5">
        <v>3800</v>
      </c>
    </row>
    <row r="102" spans="1:5" x14ac:dyDescent="0.2">
      <c r="A102" s="16" t="str">
        <v>successful</v>
      </c>
      <c r="B102" s="5">
        <v>3500</v>
      </c>
      <c r="D102" s="17" t="str">
        <v>failed</v>
      </c>
      <c r="E102" s="5">
        <v>100</v>
      </c>
    </row>
    <row r="103" spans="1:5" x14ac:dyDescent="0.2">
      <c r="A103" s="16" t="str">
        <v>successful</v>
      </c>
      <c r="B103" s="5">
        <v>150500</v>
      </c>
      <c r="D103" s="17" t="str">
        <v>failed</v>
      </c>
      <c r="E103" s="5">
        <v>76100</v>
      </c>
    </row>
    <row r="104" spans="1:5" x14ac:dyDescent="0.2">
      <c r="A104" s="16" t="str">
        <v>successful</v>
      </c>
      <c r="B104" s="5">
        <v>90400</v>
      </c>
      <c r="D104" s="17" t="str">
        <v>failed</v>
      </c>
      <c r="E104" s="5">
        <v>3400</v>
      </c>
    </row>
    <row r="105" spans="1:5" x14ac:dyDescent="0.2">
      <c r="A105" s="16" t="str">
        <v>successful</v>
      </c>
      <c r="B105" s="5">
        <v>9800</v>
      </c>
      <c r="D105" s="17" t="str">
        <v>failed</v>
      </c>
      <c r="E105" s="5">
        <v>6500</v>
      </c>
    </row>
    <row r="106" spans="1:5" x14ac:dyDescent="0.2">
      <c r="A106" s="16" t="str">
        <v>successful</v>
      </c>
      <c r="B106" s="5">
        <v>2600</v>
      </c>
      <c r="D106" s="17" t="str">
        <v>failed</v>
      </c>
      <c r="E106" s="5">
        <v>118200</v>
      </c>
    </row>
    <row r="107" spans="1:5" x14ac:dyDescent="0.2">
      <c r="A107" s="16" t="str">
        <v>successful</v>
      </c>
      <c r="B107" s="5">
        <v>23300</v>
      </c>
      <c r="D107" s="17" t="str">
        <v>failed</v>
      </c>
      <c r="E107" s="5">
        <v>7800</v>
      </c>
    </row>
    <row r="108" spans="1:5" x14ac:dyDescent="0.2">
      <c r="A108" s="16" t="str">
        <v>successful</v>
      </c>
      <c r="B108" s="5">
        <v>96700</v>
      </c>
      <c r="D108" s="17" t="str">
        <v>failed</v>
      </c>
      <c r="E108" s="5">
        <v>9500</v>
      </c>
    </row>
    <row r="109" spans="1:5" x14ac:dyDescent="0.2">
      <c r="A109" s="16" t="str">
        <v>successful</v>
      </c>
      <c r="B109" s="5">
        <v>600</v>
      </c>
      <c r="D109" s="17" t="str">
        <v>failed</v>
      </c>
      <c r="E109" s="5">
        <v>9600</v>
      </c>
    </row>
    <row r="110" spans="1:5" x14ac:dyDescent="0.2">
      <c r="A110" s="16" t="str">
        <v>successful</v>
      </c>
      <c r="B110" s="5">
        <v>38800</v>
      </c>
      <c r="D110" s="17" t="str">
        <v>failed</v>
      </c>
      <c r="E110" s="5">
        <v>6600</v>
      </c>
    </row>
    <row r="111" spans="1:5" x14ac:dyDescent="0.2">
      <c r="A111" s="16" t="str">
        <v>successful</v>
      </c>
      <c r="B111" s="5">
        <v>44500</v>
      </c>
      <c r="D111" s="17" t="str">
        <v>failed</v>
      </c>
      <c r="E111" s="5">
        <v>5700</v>
      </c>
    </row>
    <row r="112" spans="1:5" x14ac:dyDescent="0.2">
      <c r="A112" s="16" t="str">
        <v>successful</v>
      </c>
      <c r="B112" s="5">
        <v>56000</v>
      </c>
      <c r="D112" s="17" t="str">
        <v>failed</v>
      </c>
      <c r="E112" s="5">
        <v>84400</v>
      </c>
    </row>
    <row r="113" spans="1:5" x14ac:dyDescent="0.2">
      <c r="A113" s="16" t="str">
        <v>successful</v>
      </c>
      <c r="B113" s="5">
        <v>27100</v>
      </c>
      <c r="D113" s="17" t="str">
        <v>failed</v>
      </c>
      <c r="E113" s="5">
        <v>170400</v>
      </c>
    </row>
    <row r="114" spans="1:5" x14ac:dyDescent="0.2">
      <c r="A114" s="16" t="str">
        <v>successful</v>
      </c>
      <c r="B114" s="5">
        <v>3600</v>
      </c>
      <c r="D114" s="17" t="str">
        <v>failed</v>
      </c>
      <c r="E114" s="5">
        <v>8900</v>
      </c>
    </row>
    <row r="115" spans="1:5" x14ac:dyDescent="0.2">
      <c r="A115" s="16" t="str">
        <v>successful</v>
      </c>
      <c r="B115" s="5">
        <v>60200</v>
      </c>
      <c r="D115" s="17" t="str">
        <v>failed</v>
      </c>
      <c r="E115" s="5">
        <v>6500</v>
      </c>
    </row>
    <row r="116" spans="1:5" x14ac:dyDescent="0.2">
      <c r="A116" s="16" t="str">
        <v>successful</v>
      </c>
      <c r="B116" s="5">
        <v>7100</v>
      </c>
      <c r="D116" s="17" t="str">
        <v>failed</v>
      </c>
      <c r="E116" s="5">
        <v>7200</v>
      </c>
    </row>
    <row r="117" spans="1:5" x14ac:dyDescent="0.2">
      <c r="A117" s="16" t="str">
        <v>successful</v>
      </c>
      <c r="B117" s="5">
        <v>15800</v>
      </c>
      <c r="D117" s="17" t="str">
        <v>failed</v>
      </c>
      <c r="E117" s="5">
        <v>2600</v>
      </c>
    </row>
    <row r="118" spans="1:5" x14ac:dyDescent="0.2">
      <c r="A118" s="16" t="str">
        <v>successful</v>
      </c>
      <c r="B118" s="5">
        <v>54700</v>
      </c>
      <c r="D118" s="17" t="str">
        <v>failed</v>
      </c>
      <c r="E118" s="5">
        <v>70700</v>
      </c>
    </row>
    <row r="119" spans="1:5" x14ac:dyDescent="0.2">
      <c r="A119" s="16" t="str">
        <v>successful</v>
      </c>
      <c r="B119" s="5">
        <v>2100</v>
      </c>
      <c r="D119" s="17" t="str">
        <v>failed</v>
      </c>
      <c r="E119" s="5">
        <v>37100</v>
      </c>
    </row>
    <row r="120" spans="1:5" x14ac:dyDescent="0.2">
      <c r="A120" s="16" t="str">
        <v>successful</v>
      </c>
      <c r="B120" s="5">
        <v>143900</v>
      </c>
      <c r="D120" s="17" t="str">
        <v>failed</v>
      </c>
      <c r="E120" s="5">
        <v>114300</v>
      </c>
    </row>
    <row r="121" spans="1:5" x14ac:dyDescent="0.2">
      <c r="A121" s="16" t="str">
        <v>successful</v>
      </c>
      <c r="B121" s="5">
        <v>1300</v>
      </c>
      <c r="D121" s="17" t="str">
        <v>failed</v>
      </c>
      <c r="E121" s="5">
        <v>47900</v>
      </c>
    </row>
    <row r="122" spans="1:5" x14ac:dyDescent="0.2">
      <c r="A122" s="16" t="str">
        <v>successful</v>
      </c>
      <c r="B122" s="5">
        <v>1000</v>
      </c>
      <c r="D122" s="17" t="str">
        <v>failed</v>
      </c>
      <c r="E122" s="5">
        <v>9000</v>
      </c>
    </row>
    <row r="123" spans="1:5" x14ac:dyDescent="0.2">
      <c r="A123" s="16" t="str">
        <v>successful</v>
      </c>
      <c r="B123" s="5">
        <v>196900</v>
      </c>
      <c r="D123" s="17" t="str">
        <v>failed</v>
      </c>
      <c r="E123" s="5">
        <v>197600</v>
      </c>
    </row>
    <row r="124" spans="1:5" x14ac:dyDescent="0.2">
      <c r="A124" s="16" t="str">
        <v>successful</v>
      </c>
      <c r="B124" s="5">
        <v>8100</v>
      </c>
      <c r="D124" s="17" t="str">
        <v>failed</v>
      </c>
      <c r="E124" s="5">
        <v>157600</v>
      </c>
    </row>
    <row r="125" spans="1:5" x14ac:dyDescent="0.2">
      <c r="A125" s="16" t="str">
        <v>successful</v>
      </c>
      <c r="B125" s="5">
        <v>87900</v>
      </c>
      <c r="D125" s="17" t="str">
        <v>failed</v>
      </c>
      <c r="E125" s="5">
        <v>8000</v>
      </c>
    </row>
    <row r="126" spans="1:5" x14ac:dyDescent="0.2">
      <c r="A126" s="16" t="str">
        <v>successful</v>
      </c>
      <c r="B126" s="5">
        <v>1400</v>
      </c>
      <c r="D126" s="17" t="str">
        <v>failed</v>
      </c>
      <c r="E126" s="5">
        <v>199000</v>
      </c>
    </row>
    <row r="127" spans="1:5" x14ac:dyDescent="0.2">
      <c r="A127" s="16" t="str">
        <v>successful</v>
      </c>
      <c r="B127" s="5">
        <v>121700</v>
      </c>
      <c r="D127" s="17" t="str">
        <v>failed</v>
      </c>
      <c r="E127" s="5">
        <v>180800</v>
      </c>
    </row>
    <row r="128" spans="1:5" x14ac:dyDescent="0.2">
      <c r="A128" s="16" t="str">
        <v>successful</v>
      </c>
      <c r="B128" s="5">
        <v>5700</v>
      </c>
      <c r="D128" s="17" t="str">
        <v>failed</v>
      </c>
      <c r="E128" s="5">
        <v>100</v>
      </c>
    </row>
    <row r="129" spans="1:5" x14ac:dyDescent="0.2">
      <c r="A129" s="16" t="str">
        <v>successful</v>
      </c>
      <c r="B129" s="5">
        <v>41700</v>
      </c>
      <c r="D129" s="17" t="str">
        <v>failed</v>
      </c>
      <c r="E129" s="5">
        <v>2800</v>
      </c>
    </row>
    <row r="130" spans="1:5" x14ac:dyDescent="0.2">
      <c r="A130" s="16" t="str">
        <v>successful</v>
      </c>
      <c r="B130" s="5">
        <v>4800</v>
      </c>
      <c r="D130" s="17" t="str">
        <v>failed</v>
      </c>
      <c r="E130" s="5">
        <v>9300</v>
      </c>
    </row>
    <row r="131" spans="1:5" x14ac:dyDescent="0.2">
      <c r="A131" s="16" t="str">
        <v>successful</v>
      </c>
      <c r="B131" s="5">
        <v>46300</v>
      </c>
      <c r="D131" s="17" t="str">
        <v>failed</v>
      </c>
      <c r="E131" s="5">
        <v>9700</v>
      </c>
    </row>
    <row r="132" spans="1:5" x14ac:dyDescent="0.2">
      <c r="A132" s="16" t="str">
        <v>successful</v>
      </c>
      <c r="B132" s="5">
        <v>67800</v>
      </c>
      <c r="D132" s="17" t="str">
        <v>failed</v>
      </c>
      <c r="E132" s="5">
        <v>9900</v>
      </c>
    </row>
    <row r="133" spans="1:5" x14ac:dyDescent="0.2">
      <c r="A133" s="16" t="str">
        <v>successful</v>
      </c>
      <c r="B133" s="5">
        <v>3000</v>
      </c>
      <c r="D133" s="17" t="str">
        <v>failed</v>
      </c>
      <c r="E133" s="5">
        <v>189200</v>
      </c>
    </row>
    <row r="134" spans="1:5" x14ac:dyDescent="0.2">
      <c r="A134" s="16" t="str">
        <v>successful</v>
      </c>
      <c r="B134" s="5">
        <v>60900</v>
      </c>
      <c r="D134" s="17" t="str">
        <v>failed</v>
      </c>
      <c r="E134" s="5">
        <v>167400</v>
      </c>
    </row>
    <row r="135" spans="1:5" x14ac:dyDescent="0.2">
      <c r="A135" s="16" t="str">
        <v>successful</v>
      </c>
      <c r="B135" s="5">
        <v>137900</v>
      </c>
      <c r="D135" s="17" t="str">
        <v>failed</v>
      </c>
      <c r="E135" s="5">
        <v>2700</v>
      </c>
    </row>
    <row r="136" spans="1:5" x14ac:dyDescent="0.2">
      <c r="A136" s="16" t="str">
        <v>successful</v>
      </c>
      <c r="B136" s="5">
        <v>85600</v>
      </c>
      <c r="D136" s="17" t="str">
        <v>failed</v>
      </c>
      <c r="E136" s="5">
        <v>49700</v>
      </c>
    </row>
    <row r="137" spans="1:5" x14ac:dyDescent="0.2">
      <c r="A137" s="16" t="str">
        <v>successful</v>
      </c>
      <c r="B137" s="5">
        <v>2400</v>
      </c>
      <c r="D137" s="17" t="str">
        <v>failed</v>
      </c>
      <c r="E137" s="5">
        <v>178200</v>
      </c>
    </row>
    <row r="138" spans="1:5" x14ac:dyDescent="0.2">
      <c r="A138" s="16" t="str">
        <v>successful</v>
      </c>
      <c r="B138" s="5">
        <v>3400</v>
      </c>
      <c r="D138" s="17" t="str">
        <v>failed</v>
      </c>
      <c r="E138" s="5">
        <v>7200</v>
      </c>
    </row>
    <row r="139" spans="1:5" x14ac:dyDescent="0.2">
      <c r="A139" s="16" t="str">
        <v>successful</v>
      </c>
      <c r="B139" s="5">
        <v>3800</v>
      </c>
      <c r="D139" s="17" t="str">
        <v>failed</v>
      </c>
      <c r="E139" s="5">
        <v>9100</v>
      </c>
    </row>
    <row r="140" spans="1:5" x14ac:dyDescent="0.2">
      <c r="A140" s="16" t="str">
        <v>successful</v>
      </c>
      <c r="B140" s="5">
        <v>7500</v>
      </c>
      <c r="D140" s="17" t="str">
        <v>failed</v>
      </c>
      <c r="E140" s="5">
        <v>135500</v>
      </c>
    </row>
    <row r="141" spans="1:5" x14ac:dyDescent="0.2">
      <c r="A141" s="16" t="str">
        <v>successful</v>
      </c>
      <c r="B141" s="5">
        <v>9300</v>
      </c>
      <c r="D141" s="17" t="str">
        <v>failed</v>
      </c>
      <c r="E141" s="5">
        <v>109000</v>
      </c>
    </row>
    <row r="142" spans="1:5" x14ac:dyDescent="0.2">
      <c r="A142" s="16" t="str">
        <v>successful</v>
      </c>
      <c r="B142" s="5">
        <v>2400</v>
      </c>
      <c r="D142" s="17" t="str">
        <v>failed</v>
      </c>
      <c r="E142" s="5">
        <v>60400</v>
      </c>
    </row>
    <row r="143" spans="1:5" x14ac:dyDescent="0.2">
      <c r="A143" s="16" t="str">
        <v>successful</v>
      </c>
      <c r="B143" s="5">
        <v>29400</v>
      </c>
      <c r="D143" s="17" t="str">
        <v>failed</v>
      </c>
      <c r="E143" s="5">
        <v>102900</v>
      </c>
    </row>
    <row r="144" spans="1:5" x14ac:dyDescent="0.2">
      <c r="A144" s="16" t="str">
        <v>successful</v>
      </c>
      <c r="B144" s="5">
        <v>168500</v>
      </c>
      <c r="D144" s="17" t="str">
        <v>failed</v>
      </c>
      <c r="E144" s="5">
        <v>97300</v>
      </c>
    </row>
    <row r="145" spans="1:5" x14ac:dyDescent="0.2">
      <c r="A145" s="16" t="str">
        <v>successful</v>
      </c>
      <c r="B145" s="5">
        <v>8400</v>
      </c>
      <c r="D145" s="17" t="str">
        <v>failed</v>
      </c>
      <c r="E145" s="5">
        <v>100</v>
      </c>
    </row>
    <row r="146" spans="1:5" x14ac:dyDescent="0.2">
      <c r="A146" s="16" t="str">
        <v>successful</v>
      </c>
      <c r="B146" s="5">
        <v>2300</v>
      </c>
      <c r="D146" s="17" t="str">
        <v>failed</v>
      </c>
      <c r="E146" s="5">
        <v>7300</v>
      </c>
    </row>
    <row r="147" spans="1:5" x14ac:dyDescent="0.2">
      <c r="A147" s="16" t="str">
        <v>successful</v>
      </c>
      <c r="B147" s="5">
        <v>700</v>
      </c>
      <c r="D147" s="17" t="str">
        <v>failed</v>
      </c>
      <c r="E147" s="5">
        <v>195800</v>
      </c>
    </row>
    <row r="148" spans="1:5" x14ac:dyDescent="0.2">
      <c r="A148" s="16" t="str">
        <v>successful</v>
      </c>
      <c r="B148" s="5">
        <v>2900</v>
      </c>
      <c r="D148" s="17" t="str">
        <v>failed</v>
      </c>
      <c r="E148" s="5">
        <v>29600</v>
      </c>
    </row>
    <row r="149" spans="1:5" x14ac:dyDescent="0.2">
      <c r="A149" s="16" t="str">
        <v>successful</v>
      </c>
      <c r="B149" s="5">
        <v>4500</v>
      </c>
      <c r="D149" s="17" t="str">
        <v>failed</v>
      </c>
      <c r="E149" s="5">
        <v>135600</v>
      </c>
    </row>
    <row r="150" spans="1:5" x14ac:dyDescent="0.2">
      <c r="A150" s="16" t="str">
        <v>successful</v>
      </c>
      <c r="B150" s="5">
        <v>19800</v>
      </c>
      <c r="D150" s="17" t="str">
        <v>failed</v>
      </c>
      <c r="E150" s="5">
        <v>188200</v>
      </c>
    </row>
    <row r="151" spans="1:5" x14ac:dyDescent="0.2">
      <c r="A151" s="16" t="str">
        <v>successful</v>
      </c>
      <c r="B151" s="5">
        <v>6200</v>
      </c>
      <c r="D151" s="17" t="str">
        <v>failed</v>
      </c>
      <c r="E151" s="5">
        <v>113500</v>
      </c>
    </row>
    <row r="152" spans="1:5" x14ac:dyDescent="0.2">
      <c r="A152" s="16" t="str">
        <v>successful</v>
      </c>
      <c r="B152" s="5">
        <v>61500</v>
      </c>
      <c r="D152" s="17" t="str">
        <v>failed</v>
      </c>
      <c r="E152" s="5">
        <v>134600</v>
      </c>
    </row>
    <row r="153" spans="1:5" x14ac:dyDescent="0.2">
      <c r="A153" s="16" t="str">
        <v>successful</v>
      </c>
      <c r="B153" s="5">
        <v>1000</v>
      </c>
      <c r="D153" s="17" t="str">
        <v>failed</v>
      </c>
      <c r="E153" s="5">
        <v>1700</v>
      </c>
    </row>
    <row r="154" spans="1:5" x14ac:dyDescent="0.2">
      <c r="A154" s="16" t="str">
        <v>successful</v>
      </c>
      <c r="B154" s="5">
        <v>4600</v>
      </c>
      <c r="D154" s="17" t="str">
        <v>failed</v>
      </c>
      <c r="E154" s="5">
        <v>163700</v>
      </c>
    </row>
    <row r="155" spans="1:5" x14ac:dyDescent="0.2">
      <c r="A155" s="16" t="str">
        <v>successful</v>
      </c>
      <c r="B155" s="5">
        <v>80500</v>
      </c>
      <c r="D155" s="17" t="str">
        <v>failed</v>
      </c>
      <c r="E155" s="5">
        <v>9400</v>
      </c>
    </row>
    <row r="156" spans="1:5" x14ac:dyDescent="0.2">
      <c r="A156" s="16" t="str">
        <v>successful</v>
      </c>
      <c r="B156" s="5">
        <v>5700</v>
      </c>
      <c r="D156" s="17" t="str">
        <v>failed</v>
      </c>
      <c r="E156" s="5">
        <v>147800</v>
      </c>
    </row>
    <row r="157" spans="1:5" x14ac:dyDescent="0.2">
      <c r="A157" s="16" t="str">
        <v>successful</v>
      </c>
      <c r="B157" s="5">
        <v>5000</v>
      </c>
      <c r="D157" s="17" t="str">
        <v>failed</v>
      </c>
      <c r="E157" s="5">
        <v>5100</v>
      </c>
    </row>
    <row r="158" spans="1:5" x14ac:dyDescent="0.2">
      <c r="A158" s="16" t="str">
        <v>successful</v>
      </c>
      <c r="B158" s="5">
        <v>1800</v>
      </c>
      <c r="D158" s="17" t="str">
        <v>failed</v>
      </c>
      <c r="E158" s="5">
        <v>101400</v>
      </c>
    </row>
    <row r="159" spans="1:5" x14ac:dyDescent="0.2">
      <c r="A159" s="16" t="str">
        <v>successful</v>
      </c>
      <c r="B159" s="5">
        <v>6300</v>
      </c>
      <c r="D159" s="17" t="str">
        <v>failed</v>
      </c>
      <c r="E159" s="5">
        <v>8100</v>
      </c>
    </row>
    <row r="160" spans="1:5" x14ac:dyDescent="0.2">
      <c r="A160" s="16" t="str">
        <v>successful</v>
      </c>
      <c r="B160" s="5">
        <v>1700</v>
      </c>
      <c r="D160" s="17" t="str">
        <v>failed</v>
      </c>
      <c r="E160" s="5">
        <v>7700</v>
      </c>
    </row>
    <row r="161" spans="1:5" x14ac:dyDescent="0.2">
      <c r="A161" s="16" t="str">
        <v>successful</v>
      </c>
      <c r="B161" s="5">
        <v>2900</v>
      </c>
      <c r="D161" s="17" t="str">
        <v>failed</v>
      </c>
      <c r="E161" s="5">
        <v>121400</v>
      </c>
    </row>
    <row r="162" spans="1:5" x14ac:dyDescent="0.2">
      <c r="A162" s="16" t="str">
        <v>successful</v>
      </c>
      <c r="B162" s="5">
        <v>45600</v>
      </c>
      <c r="D162" s="17" t="str">
        <v>failed</v>
      </c>
      <c r="E162" s="5">
        <v>7000</v>
      </c>
    </row>
    <row r="163" spans="1:5" x14ac:dyDescent="0.2">
      <c r="A163" s="16" t="str">
        <v>successful</v>
      </c>
      <c r="B163" s="5">
        <v>4900</v>
      </c>
      <c r="D163" s="17" t="str">
        <v>failed</v>
      </c>
      <c r="E163" s="5">
        <v>6800</v>
      </c>
    </row>
    <row r="164" spans="1:5" x14ac:dyDescent="0.2">
      <c r="A164" s="16" t="str">
        <v>successful</v>
      </c>
      <c r="B164" s="5">
        <v>61600</v>
      </c>
      <c r="D164" s="17" t="str">
        <v>failed</v>
      </c>
      <c r="E164" s="5">
        <v>89900</v>
      </c>
    </row>
    <row r="165" spans="1:5" x14ac:dyDescent="0.2">
      <c r="A165" s="16" t="str">
        <v>successful</v>
      </c>
      <c r="B165" s="5">
        <v>1500</v>
      </c>
      <c r="D165" s="17" t="str">
        <v>failed</v>
      </c>
      <c r="E165" s="5">
        <v>100</v>
      </c>
    </row>
    <row r="166" spans="1:5" x14ac:dyDescent="0.2">
      <c r="A166" s="16" t="str">
        <v>successful</v>
      </c>
      <c r="B166" s="5">
        <v>3500</v>
      </c>
      <c r="D166" s="17" t="str">
        <v>failed</v>
      </c>
      <c r="E166" s="5">
        <v>4800</v>
      </c>
    </row>
    <row r="167" spans="1:5" x14ac:dyDescent="0.2">
      <c r="A167" s="16" t="str">
        <v>successful</v>
      </c>
      <c r="B167" s="5">
        <v>51100</v>
      </c>
      <c r="D167" s="17" t="str">
        <v>failed</v>
      </c>
      <c r="E167" s="5">
        <v>182400</v>
      </c>
    </row>
    <row r="168" spans="1:5" x14ac:dyDescent="0.2">
      <c r="A168" s="16" t="str">
        <v>successful</v>
      </c>
      <c r="B168" s="5">
        <v>7800</v>
      </c>
      <c r="D168" s="17" t="str">
        <v>failed</v>
      </c>
      <c r="E168" s="5">
        <v>4000</v>
      </c>
    </row>
    <row r="169" spans="1:5" x14ac:dyDescent="0.2">
      <c r="A169" s="16" t="str">
        <v>successful</v>
      </c>
      <c r="B169" s="5">
        <v>3900</v>
      </c>
      <c r="D169" s="17" t="str">
        <v>failed</v>
      </c>
      <c r="E169" s="5">
        <v>5000</v>
      </c>
    </row>
    <row r="170" spans="1:5" x14ac:dyDescent="0.2">
      <c r="A170" s="16" t="str">
        <v>successful</v>
      </c>
      <c r="B170" s="5">
        <v>700</v>
      </c>
      <c r="D170" s="17" t="str">
        <v>failed</v>
      </c>
      <c r="E170" s="5">
        <v>6300</v>
      </c>
    </row>
    <row r="171" spans="1:5" x14ac:dyDescent="0.2">
      <c r="A171" s="16" t="str">
        <v>successful</v>
      </c>
      <c r="B171" s="5">
        <v>2700</v>
      </c>
      <c r="D171" s="17" t="str">
        <v>failed</v>
      </c>
      <c r="E171" s="5">
        <v>188800</v>
      </c>
    </row>
    <row r="172" spans="1:5" x14ac:dyDescent="0.2">
      <c r="A172" s="16" t="str">
        <v>successful</v>
      </c>
      <c r="B172" s="5">
        <v>8000</v>
      </c>
      <c r="D172" s="17" t="str">
        <v>failed</v>
      </c>
      <c r="E172" s="5">
        <v>4000</v>
      </c>
    </row>
    <row r="173" spans="1:5" x14ac:dyDescent="0.2">
      <c r="A173" s="16" t="str">
        <v>successful</v>
      </c>
      <c r="B173" s="5">
        <v>2500</v>
      </c>
      <c r="D173" s="17" t="str">
        <v>failed</v>
      </c>
      <c r="E173" s="5">
        <v>153800</v>
      </c>
    </row>
    <row r="174" spans="1:5" x14ac:dyDescent="0.2">
      <c r="A174" s="16" t="str">
        <v>successful</v>
      </c>
      <c r="B174" s="5">
        <v>8400</v>
      </c>
      <c r="D174" s="17" t="str">
        <v>failed</v>
      </c>
      <c r="E174" s="5">
        <v>191500</v>
      </c>
    </row>
    <row r="175" spans="1:5" x14ac:dyDescent="0.2">
      <c r="A175" s="16" t="str">
        <v>successful</v>
      </c>
      <c r="B175" s="5">
        <v>900</v>
      </c>
      <c r="D175" s="17" t="str">
        <v>failed</v>
      </c>
      <c r="E175" s="5">
        <v>8500</v>
      </c>
    </row>
    <row r="176" spans="1:5" x14ac:dyDescent="0.2">
      <c r="A176" s="16" t="str">
        <v>successful</v>
      </c>
      <c r="B176" s="5">
        <v>6300</v>
      </c>
      <c r="D176" s="17" t="str">
        <v>failed</v>
      </c>
      <c r="E176" s="5">
        <v>196600</v>
      </c>
    </row>
    <row r="177" spans="1:5" x14ac:dyDescent="0.2">
      <c r="A177" s="16" t="str">
        <v>successful</v>
      </c>
      <c r="B177" s="5">
        <v>800</v>
      </c>
      <c r="D177" s="17" t="str">
        <v>failed</v>
      </c>
      <c r="E177" s="5">
        <v>4200</v>
      </c>
    </row>
    <row r="178" spans="1:5" x14ac:dyDescent="0.2">
      <c r="A178" s="16" t="str">
        <v>successful</v>
      </c>
      <c r="B178" s="5">
        <v>1800</v>
      </c>
      <c r="D178" s="17" t="str">
        <v>failed</v>
      </c>
      <c r="E178" s="5">
        <v>91400</v>
      </c>
    </row>
    <row r="179" spans="1:5" x14ac:dyDescent="0.2">
      <c r="A179" s="16" t="str">
        <v>successful</v>
      </c>
      <c r="B179" s="5">
        <v>600</v>
      </c>
      <c r="D179" s="17" t="str">
        <v>failed</v>
      </c>
      <c r="E179" s="5">
        <v>90600</v>
      </c>
    </row>
    <row r="180" spans="1:5" x14ac:dyDescent="0.2">
      <c r="A180" s="16" t="str">
        <v>successful</v>
      </c>
      <c r="B180" s="5">
        <v>3500</v>
      </c>
      <c r="D180" s="17" t="str">
        <v>failed</v>
      </c>
      <c r="E180" s="5">
        <v>5200</v>
      </c>
    </row>
    <row r="181" spans="1:5" x14ac:dyDescent="0.2">
      <c r="A181" s="16" t="str">
        <v>successful</v>
      </c>
      <c r="B181" s="5">
        <v>900</v>
      </c>
      <c r="D181" s="17" t="str">
        <v>failed</v>
      </c>
      <c r="E181" s="5">
        <v>183800</v>
      </c>
    </row>
    <row r="182" spans="1:5" x14ac:dyDescent="0.2">
      <c r="A182" s="16" t="str">
        <v>successful</v>
      </c>
      <c r="B182" s="5">
        <v>2100</v>
      </c>
      <c r="D182" s="17" t="str">
        <v>failed</v>
      </c>
      <c r="E182" s="5">
        <v>9800</v>
      </c>
    </row>
    <row r="183" spans="1:5" x14ac:dyDescent="0.2">
      <c r="A183" s="16" t="str">
        <v>successful</v>
      </c>
      <c r="B183" s="5">
        <v>2800</v>
      </c>
      <c r="D183" s="17" t="str">
        <v>failed</v>
      </c>
      <c r="E183" s="5">
        <v>193400</v>
      </c>
    </row>
    <row r="184" spans="1:5" x14ac:dyDescent="0.2">
      <c r="A184" s="16" t="str">
        <v>successful</v>
      </c>
      <c r="B184" s="5">
        <v>32900</v>
      </c>
      <c r="D184" s="17" t="str">
        <v>failed</v>
      </c>
      <c r="E184" s="5">
        <v>163800</v>
      </c>
    </row>
    <row r="185" spans="1:5" x14ac:dyDescent="0.2">
      <c r="A185" s="16" t="str">
        <v>successful</v>
      </c>
      <c r="B185" s="5">
        <v>6300</v>
      </c>
      <c r="D185" s="17" t="str">
        <v>failed</v>
      </c>
      <c r="E185" s="5">
        <v>100</v>
      </c>
    </row>
    <row r="186" spans="1:5" x14ac:dyDescent="0.2">
      <c r="A186" s="16" t="str">
        <v>successful</v>
      </c>
      <c r="B186" s="5">
        <v>59100</v>
      </c>
      <c r="D186" s="17" t="str">
        <v>failed</v>
      </c>
      <c r="E186" s="5">
        <v>153600</v>
      </c>
    </row>
    <row r="187" spans="1:5" x14ac:dyDescent="0.2">
      <c r="A187" s="16" t="str">
        <v>successful</v>
      </c>
      <c r="B187" s="5">
        <v>2200</v>
      </c>
      <c r="D187" s="17" t="str">
        <v>failed</v>
      </c>
      <c r="E187" s="5">
        <v>7500</v>
      </c>
    </row>
    <row r="188" spans="1:5" x14ac:dyDescent="0.2">
      <c r="A188" s="16" t="str">
        <v>successful</v>
      </c>
      <c r="B188" s="5">
        <v>1400</v>
      </c>
      <c r="D188" s="17" t="str">
        <v>failed</v>
      </c>
      <c r="E188" s="5">
        <v>89900</v>
      </c>
    </row>
    <row r="189" spans="1:5" x14ac:dyDescent="0.2">
      <c r="A189" s="16" t="str">
        <v>successful</v>
      </c>
      <c r="B189" s="5">
        <v>117900</v>
      </c>
      <c r="D189" s="17" t="str">
        <v>failed</v>
      </c>
      <c r="E189" s="5">
        <v>2100</v>
      </c>
    </row>
    <row r="190" spans="1:5" x14ac:dyDescent="0.2">
      <c r="A190" s="16" t="str">
        <v>successful</v>
      </c>
      <c r="B190" s="5">
        <v>7100</v>
      </c>
      <c r="D190" s="17" t="str">
        <v>failed</v>
      </c>
      <c r="E190" s="5">
        <v>168500</v>
      </c>
    </row>
    <row r="191" spans="1:5" x14ac:dyDescent="0.2">
      <c r="A191" s="16" t="str">
        <v>successful</v>
      </c>
      <c r="B191" s="5">
        <v>98700</v>
      </c>
      <c r="D191" s="17" t="str">
        <v>failed</v>
      </c>
      <c r="E191" s="5">
        <v>147800</v>
      </c>
    </row>
    <row r="192" spans="1:5" x14ac:dyDescent="0.2">
      <c r="A192" s="16" t="str">
        <v>successful</v>
      </c>
      <c r="B192" s="5">
        <v>33700</v>
      </c>
      <c r="D192" s="17" t="str">
        <v>failed</v>
      </c>
      <c r="E192" s="5">
        <v>8600</v>
      </c>
    </row>
    <row r="193" spans="1:5" x14ac:dyDescent="0.2">
      <c r="A193" s="16" t="str">
        <v>successful</v>
      </c>
      <c r="B193" s="5">
        <v>3300</v>
      </c>
      <c r="D193" s="17" t="str">
        <v>failed</v>
      </c>
      <c r="E193" s="5">
        <v>125400</v>
      </c>
    </row>
    <row r="194" spans="1:5" x14ac:dyDescent="0.2">
      <c r="A194" s="16" t="str">
        <v>successful</v>
      </c>
      <c r="B194" s="5">
        <v>20700</v>
      </c>
      <c r="D194" s="17" t="str">
        <v>failed</v>
      </c>
      <c r="E194" s="5">
        <v>8800</v>
      </c>
    </row>
    <row r="195" spans="1:5" x14ac:dyDescent="0.2">
      <c r="A195" s="16" t="str">
        <v>successful</v>
      </c>
      <c r="B195" s="5">
        <v>9600</v>
      </c>
      <c r="D195" s="17" t="str">
        <v>failed</v>
      </c>
      <c r="E195" s="5">
        <v>50500</v>
      </c>
    </row>
    <row r="196" spans="1:5" x14ac:dyDescent="0.2">
      <c r="A196" s="16" t="str">
        <v>successful</v>
      </c>
      <c r="B196" s="5">
        <v>66200</v>
      </c>
      <c r="D196" s="17" t="str">
        <v>failed</v>
      </c>
      <c r="E196" s="5">
        <v>96700</v>
      </c>
    </row>
    <row r="197" spans="1:5" x14ac:dyDescent="0.2">
      <c r="A197" s="16" t="str">
        <v>successful</v>
      </c>
      <c r="B197" s="5">
        <v>173800</v>
      </c>
      <c r="D197" s="17" t="str">
        <v>failed</v>
      </c>
      <c r="E197" s="5">
        <v>2100</v>
      </c>
    </row>
    <row r="198" spans="1:5" x14ac:dyDescent="0.2">
      <c r="A198" s="16" t="str">
        <v>successful</v>
      </c>
      <c r="B198" s="5">
        <v>94500</v>
      </c>
      <c r="D198" s="17" t="str">
        <v>failed</v>
      </c>
      <c r="E198" s="5">
        <v>189200</v>
      </c>
    </row>
    <row r="199" spans="1:5" x14ac:dyDescent="0.2">
      <c r="A199" s="16" t="str">
        <v>successful</v>
      </c>
      <c r="B199" s="5">
        <v>69800</v>
      </c>
      <c r="D199" s="17" t="str">
        <v>failed</v>
      </c>
      <c r="E199" s="5">
        <v>9000</v>
      </c>
    </row>
    <row r="200" spans="1:5" x14ac:dyDescent="0.2">
      <c r="A200" s="16" t="str">
        <v>successful</v>
      </c>
      <c r="B200" s="5">
        <v>900</v>
      </c>
      <c r="D200" s="17" t="str">
        <v>failed</v>
      </c>
      <c r="E200" s="5">
        <v>5100</v>
      </c>
    </row>
    <row r="201" spans="1:5" x14ac:dyDescent="0.2">
      <c r="A201" s="16" t="str">
        <v>successful</v>
      </c>
      <c r="B201" s="5">
        <v>74100</v>
      </c>
      <c r="D201" s="17" t="str">
        <v>failed</v>
      </c>
      <c r="E201" s="5">
        <v>105000</v>
      </c>
    </row>
    <row r="202" spans="1:5" x14ac:dyDescent="0.2">
      <c r="A202" s="16" t="str">
        <v>successful</v>
      </c>
      <c r="B202" s="5">
        <v>33600</v>
      </c>
      <c r="D202" s="17" t="str">
        <v>failed</v>
      </c>
      <c r="E202" s="5">
        <v>89100</v>
      </c>
    </row>
    <row r="203" spans="1:5" x14ac:dyDescent="0.2">
      <c r="A203" s="16" t="str">
        <v>successful</v>
      </c>
      <c r="B203" s="5">
        <v>6100</v>
      </c>
      <c r="D203" s="17" t="str">
        <v>failed</v>
      </c>
      <c r="E203" s="5">
        <v>151300</v>
      </c>
    </row>
    <row r="204" spans="1:5" x14ac:dyDescent="0.2">
      <c r="A204" s="16" t="str">
        <v>successful</v>
      </c>
      <c r="B204" s="5">
        <v>2300</v>
      </c>
      <c r="D204" s="17" t="str">
        <v>failed</v>
      </c>
      <c r="E204" s="5">
        <v>9800</v>
      </c>
    </row>
    <row r="205" spans="1:5" x14ac:dyDescent="0.2">
      <c r="A205" s="16" t="str">
        <v>successful</v>
      </c>
      <c r="B205" s="5">
        <v>4000</v>
      </c>
      <c r="D205" s="17" t="str">
        <v>failed</v>
      </c>
      <c r="E205" s="5">
        <v>178000</v>
      </c>
    </row>
    <row r="206" spans="1:5" x14ac:dyDescent="0.2">
      <c r="A206" s="16" t="str">
        <v>successful</v>
      </c>
      <c r="B206" s="5">
        <v>59700</v>
      </c>
      <c r="D206" s="17" t="str">
        <v>failed</v>
      </c>
      <c r="E206" s="5">
        <v>77000</v>
      </c>
    </row>
    <row r="207" spans="1:5" x14ac:dyDescent="0.2">
      <c r="A207" s="16" t="str">
        <v>successful</v>
      </c>
      <c r="B207" s="5">
        <v>5500</v>
      </c>
      <c r="D207" s="17" t="str">
        <v>failed</v>
      </c>
      <c r="E207" s="5">
        <v>84900</v>
      </c>
    </row>
    <row r="208" spans="1:5" x14ac:dyDescent="0.2">
      <c r="A208" s="16" t="str">
        <v>successful</v>
      </c>
      <c r="B208" s="5">
        <v>3700</v>
      </c>
      <c r="D208" s="17" t="str">
        <v>failed</v>
      </c>
      <c r="E208" s="5">
        <v>184800</v>
      </c>
    </row>
    <row r="209" spans="1:5" x14ac:dyDescent="0.2">
      <c r="A209" s="16" t="str">
        <v>successful</v>
      </c>
      <c r="B209" s="5">
        <v>5200</v>
      </c>
      <c r="D209" s="17" t="str">
        <v>failed</v>
      </c>
      <c r="E209" s="5">
        <v>180100</v>
      </c>
    </row>
    <row r="210" spans="1:5" x14ac:dyDescent="0.2">
      <c r="A210" s="16" t="str">
        <v>successful</v>
      </c>
      <c r="B210" s="5">
        <v>900</v>
      </c>
      <c r="D210" s="17" t="str">
        <v>failed</v>
      </c>
      <c r="E210" s="5">
        <v>9000</v>
      </c>
    </row>
    <row r="211" spans="1:5" x14ac:dyDescent="0.2">
      <c r="A211" s="16" t="str">
        <v>successful</v>
      </c>
      <c r="B211" s="5">
        <v>1600</v>
      </c>
      <c r="D211" s="17" t="str">
        <v>failed</v>
      </c>
      <c r="E211" s="5">
        <v>170600</v>
      </c>
    </row>
    <row r="212" spans="1:5" x14ac:dyDescent="0.2">
      <c r="A212" s="16" t="str">
        <v>successful</v>
      </c>
      <c r="B212" s="5">
        <v>1800</v>
      </c>
      <c r="D212" s="17" t="str">
        <v>failed</v>
      </c>
      <c r="E212" s="5">
        <v>9900</v>
      </c>
    </row>
    <row r="213" spans="1:5" x14ac:dyDescent="0.2">
      <c r="A213" s="16" t="str">
        <v>successful</v>
      </c>
      <c r="B213" s="5">
        <v>5200</v>
      </c>
      <c r="D213" s="17" t="str">
        <v>failed</v>
      </c>
      <c r="E213" s="5">
        <v>168700</v>
      </c>
    </row>
    <row r="214" spans="1:5" x14ac:dyDescent="0.2">
      <c r="A214" s="16" t="str">
        <v>successful</v>
      </c>
      <c r="B214" s="5">
        <v>5400</v>
      </c>
      <c r="D214" s="17" t="str">
        <v>failed</v>
      </c>
      <c r="E214" s="5">
        <v>9300</v>
      </c>
    </row>
    <row r="215" spans="1:5" x14ac:dyDescent="0.2">
      <c r="A215" s="16" t="str">
        <v>successful</v>
      </c>
      <c r="B215" s="5">
        <v>112300</v>
      </c>
      <c r="D215" s="17" t="str">
        <v>failed</v>
      </c>
      <c r="E215" s="5">
        <v>3500</v>
      </c>
    </row>
    <row r="216" spans="1:5" x14ac:dyDescent="0.2">
      <c r="A216" s="16" t="str">
        <v>successful</v>
      </c>
      <c r="B216" s="5">
        <v>900</v>
      </c>
      <c r="D216" s="17" t="str">
        <v>failed</v>
      </c>
      <c r="E216" s="5">
        <v>83300</v>
      </c>
    </row>
    <row r="217" spans="1:5" x14ac:dyDescent="0.2">
      <c r="A217" s="16" t="str">
        <v>successful</v>
      </c>
      <c r="B217" s="5">
        <v>22500</v>
      </c>
      <c r="D217" s="17" t="str">
        <v>failed</v>
      </c>
      <c r="E217" s="5">
        <v>9700</v>
      </c>
    </row>
    <row r="218" spans="1:5" x14ac:dyDescent="0.2">
      <c r="A218" s="16" t="str">
        <v>successful</v>
      </c>
      <c r="B218" s="5">
        <v>3400</v>
      </c>
      <c r="D218" s="17" t="str">
        <v>failed</v>
      </c>
      <c r="E218" s="5">
        <v>96500</v>
      </c>
    </row>
    <row r="219" spans="1:5" x14ac:dyDescent="0.2">
      <c r="A219" s="16" t="str">
        <v>successful</v>
      </c>
      <c r="B219" s="5">
        <v>2500</v>
      </c>
      <c r="D219" s="17" t="str">
        <v>failed</v>
      </c>
      <c r="E219" s="5">
        <v>6000</v>
      </c>
    </row>
    <row r="220" spans="1:5" x14ac:dyDescent="0.2">
      <c r="A220" s="16" t="str">
        <v>successful</v>
      </c>
      <c r="B220" s="5">
        <v>5300</v>
      </c>
      <c r="D220" s="17" t="str">
        <v>failed</v>
      </c>
      <c r="E220" s="5">
        <v>8700</v>
      </c>
    </row>
    <row r="221" spans="1:5" x14ac:dyDescent="0.2">
      <c r="A221" s="16" t="str">
        <v>successful</v>
      </c>
      <c r="B221" s="5">
        <v>6300</v>
      </c>
      <c r="D221" s="17" t="str">
        <v>failed</v>
      </c>
      <c r="E221" s="5">
        <v>9400</v>
      </c>
    </row>
    <row r="222" spans="1:5" x14ac:dyDescent="0.2">
      <c r="A222" s="16" t="str">
        <v>successful</v>
      </c>
      <c r="B222" s="5">
        <v>114400</v>
      </c>
      <c r="D222" s="17" t="str">
        <v>failed</v>
      </c>
      <c r="E222" s="5">
        <v>157600</v>
      </c>
    </row>
    <row r="223" spans="1:5" x14ac:dyDescent="0.2">
      <c r="A223" s="16" t="str">
        <v>successful</v>
      </c>
      <c r="B223" s="5">
        <v>38900</v>
      </c>
      <c r="D223" s="17" t="str">
        <v>failed</v>
      </c>
      <c r="E223" s="5">
        <v>7900</v>
      </c>
    </row>
    <row r="224" spans="1:5" x14ac:dyDescent="0.2">
      <c r="A224" s="16" t="str">
        <v>successful</v>
      </c>
      <c r="B224" s="5">
        <v>83000</v>
      </c>
      <c r="D224" s="17" t="str">
        <v>failed</v>
      </c>
      <c r="E224" s="5">
        <v>7100</v>
      </c>
    </row>
    <row r="225" spans="1:5" x14ac:dyDescent="0.2">
      <c r="A225" s="16" t="str">
        <v>successful</v>
      </c>
      <c r="B225" s="5">
        <v>2400</v>
      </c>
      <c r="D225" s="17" t="str">
        <v>failed</v>
      </c>
      <c r="E225" s="5">
        <v>156800</v>
      </c>
    </row>
    <row r="226" spans="1:5" x14ac:dyDescent="0.2">
      <c r="A226" s="16" t="str">
        <v>successful</v>
      </c>
      <c r="B226" s="5">
        <v>62800</v>
      </c>
      <c r="D226" s="17" t="str">
        <v>failed</v>
      </c>
      <c r="E226" s="5">
        <v>157300</v>
      </c>
    </row>
    <row r="227" spans="1:5" x14ac:dyDescent="0.2">
      <c r="A227" s="16" t="str">
        <v>successful</v>
      </c>
      <c r="B227" s="5">
        <v>800</v>
      </c>
      <c r="D227" s="17" t="str">
        <v>failed</v>
      </c>
      <c r="E227" s="5">
        <v>7900</v>
      </c>
    </row>
    <row r="228" spans="1:5" x14ac:dyDescent="0.2">
      <c r="A228" s="16" t="str">
        <v>successful</v>
      </c>
      <c r="B228" s="5">
        <v>7100</v>
      </c>
      <c r="D228" s="17" t="str">
        <v>failed</v>
      </c>
      <c r="E228" s="5">
        <v>140300</v>
      </c>
    </row>
    <row r="229" spans="1:5" x14ac:dyDescent="0.2">
      <c r="A229" s="16" t="str">
        <v>successful</v>
      </c>
      <c r="B229" s="5">
        <v>46100</v>
      </c>
      <c r="D229" s="17" t="str">
        <v>failed</v>
      </c>
      <c r="E229" s="5">
        <v>100</v>
      </c>
    </row>
    <row r="230" spans="1:5" x14ac:dyDescent="0.2">
      <c r="A230" s="16" t="str">
        <v>successful</v>
      </c>
      <c r="B230" s="5">
        <v>8100</v>
      </c>
      <c r="D230" s="17" t="str">
        <v>failed</v>
      </c>
      <c r="E230" s="5">
        <v>198600</v>
      </c>
    </row>
    <row r="231" spans="1:5" x14ac:dyDescent="0.2">
      <c r="A231" s="16" t="str">
        <v>successful</v>
      </c>
      <c r="B231" s="5">
        <v>1700</v>
      </c>
      <c r="D231" s="17" t="str">
        <v>failed</v>
      </c>
      <c r="E231" s="5">
        <v>195900</v>
      </c>
    </row>
    <row r="232" spans="1:5" x14ac:dyDescent="0.2">
      <c r="A232" s="16" t="str">
        <v>successful</v>
      </c>
      <c r="B232" s="5">
        <v>900</v>
      </c>
      <c r="D232" s="17" t="str">
        <v>failed</v>
      </c>
      <c r="E232" s="5">
        <v>189000</v>
      </c>
    </row>
    <row r="233" spans="1:5" x14ac:dyDescent="0.2">
      <c r="A233" s="16" t="str">
        <v>successful</v>
      </c>
      <c r="B233" s="5">
        <v>48900</v>
      </c>
      <c r="D233" s="17" t="str">
        <v>failed</v>
      </c>
      <c r="E233" s="5">
        <v>7500</v>
      </c>
    </row>
    <row r="234" spans="1:5" x14ac:dyDescent="0.2">
      <c r="A234" s="16" t="str">
        <v>successful</v>
      </c>
      <c r="B234" s="5">
        <v>39300</v>
      </c>
      <c r="D234" s="17" t="str">
        <v>failed</v>
      </c>
      <c r="E234" s="5">
        <v>85900</v>
      </c>
    </row>
    <row r="235" spans="1:5" x14ac:dyDescent="0.2">
      <c r="A235" s="16" t="str">
        <v>successful</v>
      </c>
      <c r="B235" s="5">
        <v>3400</v>
      </c>
      <c r="D235" s="17" t="str">
        <v>failed</v>
      </c>
      <c r="E235" s="5">
        <v>6700</v>
      </c>
    </row>
    <row r="236" spans="1:5" x14ac:dyDescent="0.2">
      <c r="A236" s="16" t="str">
        <v>successful</v>
      </c>
      <c r="B236" s="5">
        <v>9200</v>
      </c>
      <c r="D236" s="17" t="str">
        <v>failed</v>
      </c>
      <c r="E236" s="5">
        <v>197700</v>
      </c>
    </row>
    <row r="237" spans="1:5" x14ac:dyDescent="0.2">
      <c r="A237" s="16" t="str">
        <v>successful</v>
      </c>
      <c r="B237" s="5">
        <v>7800</v>
      </c>
      <c r="D237" s="17" t="str">
        <v>failed</v>
      </c>
      <c r="E237" s="5">
        <v>8500</v>
      </c>
    </row>
    <row r="238" spans="1:5" x14ac:dyDescent="0.2">
      <c r="A238" s="16" t="str">
        <v>successful</v>
      </c>
      <c r="B238" s="5">
        <v>2100</v>
      </c>
      <c r="D238" s="17" t="str">
        <v>failed</v>
      </c>
      <c r="E238" s="5">
        <v>81600</v>
      </c>
    </row>
    <row r="239" spans="1:5" x14ac:dyDescent="0.2">
      <c r="A239" s="16" t="str">
        <v>successful</v>
      </c>
      <c r="B239" s="5">
        <v>113800</v>
      </c>
      <c r="D239" s="17" t="str">
        <v>failed</v>
      </c>
      <c r="E239" s="5">
        <v>119800</v>
      </c>
    </row>
    <row r="240" spans="1:5" x14ac:dyDescent="0.2">
      <c r="A240" s="16" t="str">
        <v>successful</v>
      </c>
      <c r="B240" s="5">
        <v>5000</v>
      </c>
      <c r="D240" s="17" t="str">
        <v>failed</v>
      </c>
      <c r="E240" s="5">
        <v>169400</v>
      </c>
    </row>
    <row r="241" spans="1:5" x14ac:dyDescent="0.2">
      <c r="A241" s="16" t="str">
        <v>successful</v>
      </c>
      <c r="B241" s="5">
        <v>8700</v>
      </c>
      <c r="D241" s="17" t="str">
        <v>failed</v>
      </c>
      <c r="E241" s="5">
        <v>192100</v>
      </c>
    </row>
    <row r="242" spans="1:5" x14ac:dyDescent="0.2">
      <c r="A242" s="16" t="str">
        <v>successful</v>
      </c>
      <c r="B242" s="5">
        <v>2700</v>
      </c>
      <c r="D242" s="17" t="str">
        <v>failed</v>
      </c>
      <c r="E242" s="5">
        <v>98700</v>
      </c>
    </row>
    <row r="243" spans="1:5" x14ac:dyDescent="0.2">
      <c r="A243" s="16" t="str">
        <v>successful</v>
      </c>
      <c r="B243" s="5">
        <v>1800</v>
      </c>
      <c r="D243" s="17" t="str">
        <v>failed</v>
      </c>
      <c r="E243" s="5">
        <v>4500</v>
      </c>
    </row>
    <row r="244" spans="1:5" x14ac:dyDescent="0.2">
      <c r="A244" s="16" t="str">
        <v>successful</v>
      </c>
      <c r="B244" s="5">
        <v>174500</v>
      </c>
      <c r="D244" s="17" t="str">
        <v>failed</v>
      </c>
      <c r="E244" s="5">
        <v>121700</v>
      </c>
    </row>
    <row r="245" spans="1:5" x14ac:dyDescent="0.2">
      <c r="A245" s="16" t="str">
        <v>successful</v>
      </c>
      <c r="B245" s="5">
        <v>5100</v>
      </c>
      <c r="D245" s="17" t="str">
        <v>failed</v>
      </c>
      <c r="E245" s="5">
        <v>100</v>
      </c>
    </row>
    <row r="246" spans="1:5" x14ac:dyDescent="0.2">
      <c r="A246" s="16" t="str">
        <v>successful</v>
      </c>
      <c r="B246" s="5">
        <v>152400</v>
      </c>
      <c r="D246" s="17" t="str">
        <v>failed</v>
      </c>
      <c r="E246" s="5">
        <v>196700</v>
      </c>
    </row>
    <row r="247" spans="1:5" x14ac:dyDescent="0.2">
      <c r="A247" s="16" t="str">
        <v>successful</v>
      </c>
      <c r="B247" s="5">
        <v>1300</v>
      </c>
      <c r="D247" s="17" t="str">
        <v>failed</v>
      </c>
      <c r="E247" s="5">
        <v>118400</v>
      </c>
    </row>
    <row r="248" spans="1:5" x14ac:dyDescent="0.2">
      <c r="A248" s="16" t="str">
        <v>successful</v>
      </c>
      <c r="B248" s="5">
        <v>8100</v>
      </c>
      <c r="D248" s="17" t="str">
        <v>failed</v>
      </c>
      <c r="E248" s="5">
        <v>10000</v>
      </c>
    </row>
    <row r="249" spans="1:5" x14ac:dyDescent="0.2">
      <c r="A249" s="16" t="str">
        <v>successful</v>
      </c>
      <c r="B249" s="5">
        <v>8300</v>
      </c>
      <c r="D249" s="17" t="str">
        <v>failed</v>
      </c>
      <c r="E249" s="5">
        <v>120700</v>
      </c>
    </row>
    <row r="250" spans="1:5" x14ac:dyDescent="0.2">
      <c r="A250" s="16" t="str">
        <v>successful</v>
      </c>
      <c r="B250" s="5">
        <v>28400</v>
      </c>
      <c r="D250" s="17" t="str">
        <v>failed</v>
      </c>
      <c r="E250" s="5">
        <v>9100</v>
      </c>
    </row>
    <row r="251" spans="1:5" x14ac:dyDescent="0.2">
      <c r="A251" s="16" t="str">
        <v>successful</v>
      </c>
      <c r="B251" s="5">
        <v>102500</v>
      </c>
      <c r="D251" s="17" t="str">
        <v>failed</v>
      </c>
      <c r="E251" s="5">
        <v>106800</v>
      </c>
    </row>
    <row r="252" spans="1:5" x14ac:dyDescent="0.2">
      <c r="A252" s="16" t="str">
        <v>successful</v>
      </c>
      <c r="B252" s="5">
        <v>5400</v>
      </c>
      <c r="D252" s="17" t="str">
        <v>failed</v>
      </c>
      <c r="E252" s="5">
        <v>9100</v>
      </c>
    </row>
    <row r="253" spans="1:5" x14ac:dyDescent="0.2">
      <c r="A253" s="16" t="str">
        <v>successful</v>
      </c>
      <c r="B253" s="5">
        <v>6200</v>
      </c>
      <c r="D253" s="17" t="str">
        <v>failed</v>
      </c>
      <c r="E253" s="5">
        <v>10000</v>
      </c>
    </row>
    <row r="254" spans="1:5" x14ac:dyDescent="0.2">
      <c r="A254" s="16" t="str">
        <v>successful</v>
      </c>
      <c r="B254" s="5">
        <v>2100</v>
      </c>
      <c r="D254" s="17" t="str">
        <v>failed</v>
      </c>
      <c r="E254" s="5">
        <v>79400</v>
      </c>
    </row>
    <row r="255" spans="1:5" x14ac:dyDescent="0.2">
      <c r="A255" s="16" t="str">
        <v>successful</v>
      </c>
      <c r="B255" s="5">
        <v>900</v>
      </c>
      <c r="D255" s="17" t="str">
        <v>failed</v>
      </c>
      <c r="E255" s="5">
        <v>27500</v>
      </c>
    </row>
    <row r="256" spans="1:5" x14ac:dyDescent="0.2">
      <c r="A256" s="16" t="str">
        <v>successful</v>
      </c>
      <c r="B256" s="5">
        <v>148400</v>
      </c>
      <c r="D256" s="17" t="str">
        <v>failed</v>
      </c>
      <c r="E256" s="5">
        <v>197900</v>
      </c>
    </row>
    <row r="257" spans="1:5" x14ac:dyDescent="0.2">
      <c r="A257" s="16" t="str">
        <v>successful</v>
      </c>
      <c r="B257" s="5">
        <v>116500</v>
      </c>
      <c r="D257" s="17" t="str">
        <v>failed</v>
      </c>
      <c r="E257" s="5">
        <v>5600</v>
      </c>
    </row>
    <row r="258" spans="1:5" x14ac:dyDescent="0.2">
      <c r="A258" s="16" t="str">
        <v>successful</v>
      </c>
      <c r="B258" s="5">
        <v>146400</v>
      </c>
      <c r="D258" s="17" t="str">
        <v>failed</v>
      </c>
      <c r="E258" s="5">
        <v>5300</v>
      </c>
    </row>
    <row r="259" spans="1:5" x14ac:dyDescent="0.2">
      <c r="A259" s="16" t="str">
        <v>successful</v>
      </c>
      <c r="B259" s="5">
        <v>33800</v>
      </c>
      <c r="D259" s="17" t="str">
        <v>failed</v>
      </c>
      <c r="E259" s="5">
        <v>145600</v>
      </c>
    </row>
    <row r="260" spans="1:5" x14ac:dyDescent="0.2">
      <c r="A260" s="16" t="str">
        <v>successful</v>
      </c>
      <c r="B260" s="5">
        <v>2400</v>
      </c>
      <c r="D260" s="17" t="str">
        <v>failed</v>
      </c>
      <c r="E260" s="5">
        <v>184100</v>
      </c>
    </row>
    <row r="261" spans="1:5" x14ac:dyDescent="0.2">
      <c r="A261" s="16" t="str">
        <v>successful</v>
      </c>
      <c r="B261" s="5">
        <v>98800</v>
      </c>
      <c r="D261" s="17" t="str">
        <v>failed</v>
      </c>
      <c r="E261" s="5">
        <v>140000</v>
      </c>
    </row>
    <row r="262" spans="1:5" x14ac:dyDescent="0.2">
      <c r="A262" s="16" t="str">
        <v>successful</v>
      </c>
      <c r="B262" s="5">
        <v>134300</v>
      </c>
      <c r="D262" s="17" t="str">
        <v>failed</v>
      </c>
      <c r="E262" s="5">
        <v>6000</v>
      </c>
    </row>
    <row r="263" spans="1:5" x14ac:dyDescent="0.2">
      <c r="A263" s="16" t="str">
        <v>successful</v>
      </c>
      <c r="B263" s="5">
        <v>71200</v>
      </c>
      <c r="D263" s="17" t="str">
        <v>failed</v>
      </c>
      <c r="E263" s="5">
        <v>180400</v>
      </c>
    </row>
    <row r="264" spans="1:5" x14ac:dyDescent="0.2">
      <c r="A264" s="16" t="str">
        <v>successful</v>
      </c>
      <c r="B264" s="5">
        <v>4700</v>
      </c>
      <c r="D264" s="17" t="str">
        <v>failed</v>
      </c>
      <c r="E264" s="5">
        <v>9100</v>
      </c>
    </row>
    <row r="265" spans="1:5" x14ac:dyDescent="0.2">
      <c r="A265" s="16" t="str">
        <v>successful</v>
      </c>
      <c r="B265" s="5">
        <v>1200</v>
      </c>
      <c r="D265" s="17" t="str">
        <v>failed</v>
      </c>
      <c r="E265" s="5">
        <v>164100</v>
      </c>
    </row>
    <row r="266" spans="1:5" x14ac:dyDescent="0.2">
      <c r="A266" s="16" t="str">
        <v>successful</v>
      </c>
      <c r="B266" s="5">
        <v>1400</v>
      </c>
      <c r="D266" s="17" t="str">
        <v>failed</v>
      </c>
      <c r="E266" s="5">
        <v>7400</v>
      </c>
    </row>
    <row r="267" spans="1:5" x14ac:dyDescent="0.2">
      <c r="A267" s="16" t="str">
        <v>successful</v>
      </c>
      <c r="B267" s="5">
        <v>5600</v>
      </c>
      <c r="D267" s="17" t="str">
        <v>failed</v>
      </c>
      <c r="E267" s="5">
        <v>100</v>
      </c>
    </row>
    <row r="268" spans="1:5" x14ac:dyDescent="0.2">
      <c r="A268" s="16" t="str">
        <v>successful</v>
      </c>
      <c r="B268" s="5">
        <v>3600</v>
      </c>
      <c r="D268" s="17" t="str">
        <v>failed</v>
      </c>
      <c r="E268" s="5">
        <v>8700</v>
      </c>
    </row>
    <row r="269" spans="1:5" x14ac:dyDescent="0.2">
      <c r="A269" s="16" t="str">
        <v>successful</v>
      </c>
      <c r="B269" s="5">
        <v>3100</v>
      </c>
      <c r="D269" s="17" t="str">
        <v>failed</v>
      </c>
      <c r="E269" s="5">
        <v>169700</v>
      </c>
    </row>
    <row r="270" spans="1:5" x14ac:dyDescent="0.2">
      <c r="A270" s="16" t="str">
        <v>successful</v>
      </c>
      <c r="B270" s="5">
        <v>5000</v>
      </c>
      <c r="D270" s="17" t="str">
        <v>failed</v>
      </c>
      <c r="E270" s="5">
        <v>6200</v>
      </c>
    </row>
    <row r="271" spans="1:5" x14ac:dyDescent="0.2">
      <c r="A271" s="16" t="str">
        <v>successful</v>
      </c>
      <c r="B271" s="5">
        <v>4000</v>
      </c>
      <c r="D271" s="17" t="str">
        <v>failed</v>
      </c>
      <c r="E271" s="5">
        <v>118000</v>
      </c>
    </row>
    <row r="272" spans="1:5" x14ac:dyDescent="0.2">
      <c r="A272" s="16" t="str">
        <v>successful</v>
      </c>
      <c r="B272" s="5">
        <v>7400</v>
      </c>
      <c r="D272" s="17" t="str">
        <v>failed</v>
      </c>
      <c r="E272" s="5">
        <v>193200</v>
      </c>
    </row>
    <row r="273" spans="1:5" x14ac:dyDescent="0.2">
      <c r="A273" s="16" t="str">
        <v>successful</v>
      </c>
      <c r="B273" s="5">
        <v>68800</v>
      </c>
      <c r="D273" s="17" t="str">
        <v>failed</v>
      </c>
      <c r="E273" s="5">
        <v>4200</v>
      </c>
    </row>
    <row r="274" spans="1:5" x14ac:dyDescent="0.2">
      <c r="A274" s="16" t="str">
        <v>successful</v>
      </c>
      <c r="B274" s="5">
        <v>2400</v>
      </c>
      <c r="D274" s="17" t="str">
        <v>failed</v>
      </c>
      <c r="E274" s="5">
        <v>117000</v>
      </c>
    </row>
    <row r="275" spans="1:5" x14ac:dyDescent="0.2">
      <c r="A275" s="16" t="str">
        <v>successful</v>
      </c>
      <c r="B275" s="5">
        <v>8600</v>
      </c>
      <c r="D275" s="17" t="str">
        <v>failed</v>
      </c>
      <c r="E275" s="5">
        <v>74700</v>
      </c>
    </row>
    <row r="276" spans="1:5" x14ac:dyDescent="0.2">
      <c r="A276" s="16" t="str">
        <v>successful</v>
      </c>
      <c r="B276" s="5">
        <v>29600</v>
      </c>
      <c r="D276" s="17" t="str">
        <v>failed</v>
      </c>
      <c r="E276" s="5">
        <v>10000</v>
      </c>
    </row>
    <row r="277" spans="1:5" x14ac:dyDescent="0.2">
      <c r="A277" s="16" t="str">
        <v>successful</v>
      </c>
      <c r="B277" s="5">
        <v>110300</v>
      </c>
      <c r="D277" s="17" t="str">
        <v>failed</v>
      </c>
      <c r="E277" s="5">
        <v>5300</v>
      </c>
    </row>
    <row r="278" spans="1:5" x14ac:dyDescent="0.2">
      <c r="A278" s="16" t="str">
        <v>successful</v>
      </c>
      <c r="B278" s="5">
        <v>5300</v>
      </c>
      <c r="D278" s="17" t="str">
        <v>failed</v>
      </c>
      <c r="E278" s="5">
        <v>3900</v>
      </c>
    </row>
    <row r="279" spans="1:5" x14ac:dyDescent="0.2">
      <c r="A279" s="16" t="str">
        <v>successful</v>
      </c>
      <c r="B279" s="5">
        <v>9200</v>
      </c>
      <c r="D279" s="17" t="str">
        <v>failed</v>
      </c>
      <c r="E279" s="5">
        <v>6900</v>
      </c>
    </row>
    <row r="280" spans="1:5" x14ac:dyDescent="0.2">
      <c r="A280" s="16" t="str">
        <v>successful</v>
      </c>
      <c r="B280" s="5">
        <v>2400</v>
      </c>
      <c r="D280" s="17" t="str">
        <v>failed</v>
      </c>
      <c r="E280" s="5">
        <v>100</v>
      </c>
    </row>
    <row r="281" spans="1:5" x14ac:dyDescent="0.2">
      <c r="A281" s="16" t="str">
        <v>successful</v>
      </c>
      <c r="B281" s="5">
        <v>56800</v>
      </c>
      <c r="D281" s="17" t="str">
        <v>failed</v>
      </c>
      <c r="E281" s="5">
        <v>167500</v>
      </c>
    </row>
    <row r="282" spans="1:5" x14ac:dyDescent="0.2">
      <c r="A282" s="16" t="str">
        <v>successful</v>
      </c>
      <c r="B282" s="5">
        <v>900</v>
      </c>
      <c r="D282" s="17" t="str">
        <v>failed</v>
      </c>
      <c r="E282" s="5">
        <v>48300</v>
      </c>
    </row>
    <row r="283" spans="1:5" x14ac:dyDescent="0.2">
      <c r="A283" s="16" t="str">
        <v>successful</v>
      </c>
      <c r="B283" s="5">
        <v>2500</v>
      </c>
      <c r="D283" s="17" t="str">
        <v>failed</v>
      </c>
      <c r="E283" s="5">
        <v>43800</v>
      </c>
    </row>
    <row r="284" spans="1:5" x14ac:dyDescent="0.2">
      <c r="A284" s="16" t="str">
        <v>successful</v>
      </c>
      <c r="B284" s="5">
        <v>3200</v>
      </c>
      <c r="D284" s="17" t="str">
        <v>failed</v>
      </c>
      <c r="E284" s="5">
        <v>97200</v>
      </c>
    </row>
    <row r="285" spans="1:5" x14ac:dyDescent="0.2">
      <c r="A285" s="16" t="str">
        <v>successful</v>
      </c>
      <c r="B285" s="5">
        <v>1300</v>
      </c>
      <c r="D285" s="17" t="str">
        <v>failed</v>
      </c>
      <c r="E285" s="5">
        <v>125600</v>
      </c>
    </row>
    <row r="286" spans="1:5" x14ac:dyDescent="0.2">
      <c r="A286" s="16" t="str">
        <v>successful</v>
      </c>
      <c r="B286" s="5">
        <v>25500</v>
      </c>
      <c r="D286" s="17" t="str">
        <v>failed</v>
      </c>
      <c r="E286" s="5">
        <v>9400</v>
      </c>
    </row>
    <row r="287" spans="1:5" x14ac:dyDescent="0.2">
      <c r="A287" s="16" t="str">
        <v>successful</v>
      </c>
      <c r="B287" s="5">
        <v>18000</v>
      </c>
      <c r="D287" s="17" t="str">
        <v>failed</v>
      </c>
      <c r="E287" s="5">
        <v>110800</v>
      </c>
    </row>
    <row r="288" spans="1:5" x14ac:dyDescent="0.2">
      <c r="A288" s="16" t="str">
        <v>successful</v>
      </c>
      <c r="B288" s="5">
        <v>172700</v>
      </c>
      <c r="D288" s="17" t="str">
        <v>failed</v>
      </c>
      <c r="E288" s="5">
        <v>93800</v>
      </c>
    </row>
    <row r="289" spans="1:5" x14ac:dyDescent="0.2">
      <c r="A289" s="16" t="str">
        <v>successful</v>
      </c>
      <c r="B289" s="5">
        <v>7800</v>
      </c>
      <c r="D289" s="17" t="str">
        <v>failed</v>
      </c>
      <c r="E289" s="5">
        <v>108700</v>
      </c>
    </row>
    <row r="290" spans="1:5" x14ac:dyDescent="0.2">
      <c r="A290" s="16" t="str">
        <v>successful</v>
      </c>
      <c r="B290" s="5">
        <v>9100</v>
      </c>
      <c r="D290" s="17" t="str">
        <v>failed</v>
      </c>
      <c r="E290" s="5">
        <v>61200</v>
      </c>
    </row>
    <row r="291" spans="1:5" x14ac:dyDescent="0.2">
      <c r="A291" s="16" t="str">
        <v>successful</v>
      </c>
      <c r="B291" s="5">
        <v>5900</v>
      </c>
      <c r="D291" s="17" t="str">
        <v>failed</v>
      </c>
      <c r="E291" s="5">
        <v>9000</v>
      </c>
    </row>
    <row r="292" spans="1:5" x14ac:dyDescent="0.2">
      <c r="A292" s="16" t="str">
        <v>successful</v>
      </c>
      <c r="B292" s="5">
        <v>177700</v>
      </c>
      <c r="D292" s="17" t="str">
        <v>failed</v>
      </c>
      <c r="E292" s="5">
        <v>2100</v>
      </c>
    </row>
    <row r="293" spans="1:5" x14ac:dyDescent="0.2">
      <c r="A293" s="16" t="str">
        <v>successful</v>
      </c>
      <c r="B293" s="5">
        <v>800</v>
      </c>
      <c r="D293" s="17" t="str">
        <v>failed</v>
      </c>
      <c r="E293" s="5">
        <v>2000</v>
      </c>
    </row>
    <row r="294" spans="1:5" x14ac:dyDescent="0.2">
      <c r="A294" s="16" t="str">
        <v>successful</v>
      </c>
      <c r="B294" s="5">
        <v>7600</v>
      </c>
      <c r="D294" s="17" t="str">
        <v>failed</v>
      </c>
      <c r="E294" s="5">
        <v>7100</v>
      </c>
    </row>
    <row r="295" spans="1:5" x14ac:dyDescent="0.2">
      <c r="A295" s="16" t="str">
        <v>successful</v>
      </c>
      <c r="B295" s="5">
        <v>900</v>
      </c>
      <c r="D295" s="17" t="str">
        <v>failed</v>
      </c>
      <c r="E295" s="5">
        <v>7800</v>
      </c>
    </row>
    <row r="296" spans="1:5" x14ac:dyDescent="0.2">
      <c r="A296" s="16" t="str">
        <v>successful</v>
      </c>
      <c r="B296" s="5">
        <v>8300</v>
      </c>
      <c r="D296" s="17" t="str">
        <v>failed</v>
      </c>
      <c r="E296" s="5">
        <v>84500</v>
      </c>
    </row>
    <row r="297" spans="1:5" x14ac:dyDescent="0.2">
      <c r="A297" s="16" t="str">
        <v>successful</v>
      </c>
      <c r="B297" s="5">
        <v>1600</v>
      </c>
      <c r="D297" s="17" t="str">
        <v>failed</v>
      </c>
      <c r="E297" s="5">
        <v>100</v>
      </c>
    </row>
    <row r="298" spans="1:5" x14ac:dyDescent="0.2">
      <c r="A298" s="16" t="str">
        <v>successful</v>
      </c>
      <c r="B298" s="5">
        <v>115600</v>
      </c>
      <c r="D298" s="17" t="str">
        <v>failed</v>
      </c>
      <c r="E298" s="5">
        <v>9700</v>
      </c>
    </row>
    <row r="299" spans="1:5" x14ac:dyDescent="0.2">
      <c r="A299" s="16" t="str">
        <v>successful</v>
      </c>
      <c r="B299" s="5">
        <v>2600</v>
      </c>
      <c r="D299" s="17" t="str">
        <v>failed</v>
      </c>
      <c r="E299" s="5">
        <v>5200</v>
      </c>
    </row>
    <row r="300" spans="1:5" x14ac:dyDescent="0.2">
      <c r="A300" s="16" t="str">
        <v>successful</v>
      </c>
      <c r="B300" s="5">
        <v>9800</v>
      </c>
      <c r="D300" s="17" t="str">
        <v>failed</v>
      </c>
      <c r="E300" s="5">
        <v>140800</v>
      </c>
    </row>
    <row r="301" spans="1:5" x14ac:dyDescent="0.2">
      <c r="A301" s="16" t="str">
        <v>successful</v>
      </c>
      <c r="B301" s="5">
        <v>84400</v>
      </c>
      <c r="D301" s="17" t="str">
        <v>failed</v>
      </c>
      <c r="E301" s="5">
        <v>92500</v>
      </c>
    </row>
    <row r="302" spans="1:5" x14ac:dyDescent="0.2">
      <c r="A302" s="16" t="str">
        <v>successful</v>
      </c>
      <c r="B302" s="5">
        <v>5300</v>
      </c>
      <c r="D302" s="17" t="str">
        <v>failed</v>
      </c>
      <c r="E302" s="5">
        <v>3200</v>
      </c>
    </row>
    <row r="303" spans="1:5" x14ac:dyDescent="0.2">
      <c r="A303" s="16" t="str">
        <v>successful</v>
      </c>
      <c r="B303" s="5">
        <v>2800</v>
      </c>
      <c r="D303" s="17" t="str">
        <v>failed</v>
      </c>
      <c r="E303" s="5">
        <v>8900</v>
      </c>
    </row>
    <row r="304" spans="1:5" x14ac:dyDescent="0.2">
      <c r="A304" s="16" t="str">
        <v>successful</v>
      </c>
      <c r="B304" s="5">
        <v>4200</v>
      </c>
      <c r="D304" s="17" t="str">
        <v>failed</v>
      </c>
      <c r="E304" s="5">
        <v>7100</v>
      </c>
    </row>
    <row r="305" spans="1:5" x14ac:dyDescent="0.2">
      <c r="A305" s="16" t="str">
        <v>successful</v>
      </c>
      <c r="B305" s="5">
        <v>1300</v>
      </c>
      <c r="D305" s="17" t="str">
        <v>failed</v>
      </c>
      <c r="E305" s="5">
        <v>9600</v>
      </c>
    </row>
    <row r="306" spans="1:5" x14ac:dyDescent="0.2">
      <c r="A306" s="16" t="str">
        <v>successful</v>
      </c>
      <c r="B306" s="5">
        <v>66100</v>
      </c>
      <c r="D306" s="17" t="str">
        <v>failed</v>
      </c>
      <c r="E306" s="5">
        <v>121600</v>
      </c>
    </row>
    <row r="307" spans="1:5" x14ac:dyDescent="0.2">
      <c r="A307" s="16" t="str">
        <v>successful</v>
      </c>
      <c r="B307" s="5">
        <v>29500</v>
      </c>
      <c r="D307" s="17" t="str">
        <v>failed</v>
      </c>
      <c r="E307" s="5">
        <v>86200</v>
      </c>
    </row>
    <row r="308" spans="1:5" x14ac:dyDescent="0.2">
      <c r="A308" s="16" t="str">
        <v>successful</v>
      </c>
      <c r="B308" s="5">
        <v>9500</v>
      </c>
      <c r="D308" s="17" t="str">
        <v>failed</v>
      </c>
      <c r="E308" s="5">
        <v>8100</v>
      </c>
    </row>
    <row r="309" spans="1:5" x14ac:dyDescent="0.2">
      <c r="A309" s="16" t="str">
        <v>successful</v>
      </c>
      <c r="B309" s="5">
        <v>6300</v>
      </c>
      <c r="D309" s="17" t="str">
        <v>failed</v>
      </c>
      <c r="E309" s="5">
        <v>8800</v>
      </c>
    </row>
    <row r="310" spans="1:5" x14ac:dyDescent="0.2">
      <c r="A310" s="16" t="str">
        <v>successful</v>
      </c>
      <c r="B310" s="5">
        <v>5200</v>
      </c>
      <c r="D310" s="17" t="str">
        <v>failed</v>
      </c>
      <c r="E310" s="5">
        <v>100</v>
      </c>
    </row>
    <row r="311" spans="1:5" x14ac:dyDescent="0.2">
      <c r="A311" s="16" t="str">
        <v>successful</v>
      </c>
      <c r="B311" s="5">
        <v>6000</v>
      </c>
      <c r="D311" s="17" t="str">
        <v>failed</v>
      </c>
      <c r="E311" s="5">
        <v>4900</v>
      </c>
    </row>
    <row r="312" spans="1:5" x14ac:dyDescent="0.2">
      <c r="A312" s="16" t="str">
        <v>successful</v>
      </c>
      <c r="B312" s="5">
        <v>5800</v>
      </c>
      <c r="D312" s="17" t="str">
        <v>failed</v>
      </c>
      <c r="E312" s="5">
        <v>4000</v>
      </c>
    </row>
    <row r="313" spans="1:5" x14ac:dyDescent="0.2">
      <c r="A313" s="16" t="str">
        <v>successful</v>
      </c>
      <c r="B313" s="5">
        <v>105300</v>
      </c>
      <c r="D313" s="17" t="str">
        <v>failed</v>
      </c>
      <c r="E313" s="5">
        <v>7300</v>
      </c>
    </row>
    <row r="314" spans="1:5" x14ac:dyDescent="0.2">
      <c r="A314" s="16" t="str">
        <v>successful</v>
      </c>
      <c r="B314" s="5">
        <v>20000</v>
      </c>
      <c r="D314" s="17" t="str">
        <v>failed</v>
      </c>
      <c r="E314" s="5">
        <v>161900</v>
      </c>
    </row>
    <row r="315" spans="1:5" x14ac:dyDescent="0.2">
      <c r="A315" s="16" t="str">
        <v>successful</v>
      </c>
      <c r="B315" s="5">
        <v>3000</v>
      </c>
      <c r="D315" s="17" t="str">
        <v>failed</v>
      </c>
      <c r="E315" s="5">
        <v>7700</v>
      </c>
    </row>
    <row r="316" spans="1:5" x14ac:dyDescent="0.2">
      <c r="A316" s="16" t="str">
        <v>successful</v>
      </c>
      <c r="B316" s="5">
        <v>3700</v>
      </c>
      <c r="D316" s="17" t="str">
        <v>failed</v>
      </c>
      <c r="E316" s="5">
        <v>7900</v>
      </c>
    </row>
    <row r="317" spans="1:5" x14ac:dyDescent="0.2">
      <c r="A317" s="16" t="str">
        <v>successful</v>
      </c>
      <c r="B317" s="5">
        <v>94900</v>
      </c>
      <c r="D317" s="17" t="str">
        <v>failed</v>
      </c>
      <c r="E317" s="5">
        <v>8300</v>
      </c>
    </row>
    <row r="318" spans="1:5" x14ac:dyDescent="0.2">
      <c r="A318" s="16" t="str">
        <v>successful</v>
      </c>
      <c r="B318" s="5">
        <v>6800</v>
      </c>
      <c r="D318" s="17" t="str">
        <v>failed</v>
      </c>
      <c r="E318" s="5">
        <v>163600</v>
      </c>
    </row>
    <row r="319" spans="1:5" x14ac:dyDescent="0.2">
      <c r="A319" s="16" t="str">
        <v>successful</v>
      </c>
      <c r="B319" s="5">
        <v>72400</v>
      </c>
      <c r="D319" s="17" t="str">
        <v>failed</v>
      </c>
      <c r="E319" s="5">
        <v>2700</v>
      </c>
    </row>
    <row r="320" spans="1:5" x14ac:dyDescent="0.2">
      <c r="A320" s="16" t="str">
        <v>successful</v>
      </c>
      <c r="B320" s="5">
        <v>20100</v>
      </c>
      <c r="D320" s="17" t="str">
        <v>failed</v>
      </c>
      <c r="E320" s="5">
        <v>81300</v>
      </c>
    </row>
    <row r="321" spans="1:5" x14ac:dyDescent="0.2">
      <c r="A321" s="16" t="str">
        <v>successful</v>
      </c>
      <c r="B321" s="5">
        <v>31200</v>
      </c>
      <c r="D321" s="17" t="str">
        <v>failed</v>
      </c>
      <c r="E321" s="5">
        <v>170800</v>
      </c>
    </row>
    <row r="322" spans="1:5" x14ac:dyDescent="0.2">
      <c r="A322" s="16" t="str">
        <v>successful</v>
      </c>
      <c r="B322" s="5">
        <v>6700</v>
      </c>
      <c r="D322" s="17" t="str">
        <v>failed</v>
      </c>
      <c r="E322" s="5">
        <v>150600</v>
      </c>
    </row>
    <row r="323" spans="1:5" x14ac:dyDescent="0.2">
      <c r="A323" s="16" t="str">
        <v>successful</v>
      </c>
      <c r="B323" s="5">
        <v>2700</v>
      </c>
      <c r="D323" s="17" t="str">
        <v>failed</v>
      </c>
      <c r="E323" s="5">
        <v>7800</v>
      </c>
    </row>
    <row r="324" spans="1:5" x14ac:dyDescent="0.2">
      <c r="A324" s="16" t="str">
        <v>successful</v>
      </c>
      <c r="B324" s="5">
        <v>6200</v>
      </c>
      <c r="D324" s="17" t="str">
        <v>failed</v>
      </c>
      <c r="E324" s="5">
        <v>159800</v>
      </c>
    </row>
    <row r="325" spans="1:5" x14ac:dyDescent="0.2">
      <c r="A325" s="16" t="str">
        <v>successful</v>
      </c>
      <c r="B325" s="5">
        <v>43800</v>
      </c>
      <c r="D325" s="17" t="str">
        <v>failed</v>
      </c>
      <c r="E325" s="5">
        <v>8800</v>
      </c>
    </row>
    <row r="326" spans="1:5" x14ac:dyDescent="0.2">
      <c r="A326" s="16" t="str">
        <v>successful</v>
      </c>
      <c r="B326" s="5">
        <v>18900</v>
      </c>
      <c r="D326" s="17" t="str">
        <v>failed</v>
      </c>
      <c r="E326" s="5">
        <v>179100</v>
      </c>
    </row>
    <row r="327" spans="1:5" x14ac:dyDescent="0.2">
      <c r="A327" s="16" t="str">
        <v>successful</v>
      </c>
      <c r="B327" s="5">
        <v>86400</v>
      </c>
      <c r="D327" s="17" t="str">
        <v>failed</v>
      </c>
      <c r="E327" s="5">
        <v>100</v>
      </c>
    </row>
    <row r="328" spans="1:5" x14ac:dyDescent="0.2">
      <c r="A328" s="16" t="str">
        <v>successful</v>
      </c>
      <c r="B328" s="5">
        <v>8900</v>
      </c>
      <c r="D328" s="17" t="str">
        <v>failed</v>
      </c>
      <c r="E328" s="5">
        <v>6500</v>
      </c>
    </row>
    <row r="329" spans="1:5" x14ac:dyDescent="0.2">
      <c r="A329" s="16" t="str">
        <v>successful</v>
      </c>
      <c r="B329" s="5">
        <v>700</v>
      </c>
      <c r="D329" s="17" t="str">
        <v>failed</v>
      </c>
      <c r="E329" s="5">
        <v>9100</v>
      </c>
    </row>
    <row r="330" spans="1:5" x14ac:dyDescent="0.2">
      <c r="A330" s="16" t="str">
        <v>successful</v>
      </c>
      <c r="B330" s="5">
        <v>600</v>
      </c>
      <c r="D330" s="17" t="str">
        <v>failed</v>
      </c>
      <c r="E330" s="5">
        <v>70200</v>
      </c>
    </row>
    <row r="331" spans="1:5" x14ac:dyDescent="0.2">
      <c r="A331" s="16" t="str">
        <v>successful</v>
      </c>
      <c r="B331" s="5">
        <v>121600</v>
      </c>
      <c r="D331" s="17" t="str">
        <v>failed</v>
      </c>
      <c r="E331" s="5">
        <v>6400</v>
      </c>
    </row>
    <row r="332" spans="1:5" x14ac:dyDescent="0.2">
      <c r="A332" s="16" t="str">
        <v>successful</v>
      </c>
      <c r="B332" s="5">
        <v>70300</v>
      </c>
      <c r="D332" s="17" t="str">
        <v>failed</v>
      </c>
      <c r="E332" s="5">
        <v>3700</v>
      </c>
    </row>
    <row r="333" spans="1:5" x14ac:dyDescent="0.2">
      <c r="A333" s="16" t="str">
        <v>successful</v>
      </c>
      <c r="B333" s="5">
        <v>73800</v>
      </c>
      <c r="D333" s="17" t="str">
        <v>failed</v>
      </c>
      <c r="E333" s="5">
        <v>35600</v>
      </c>
    </row>
    <row r="334" spans="1:5" x14ac:dyDescent="0.2">
      <c r="A334" s="16" t="str">
        <v>successful</v>
      </c>
      <c r="B334" s="5">
        <v>108500</v>
      </c>
      <c r="D334" s="17" t="str">
        <v>failed</v>
      </c>
      <c r="E334" s="5">
        <v>160400</v>
      </c>
    </row>
    <row r="335" spans="1:5" x14ac:dyDescent="0.2">
      <c r="A335" s="16" t="str">
        <v>successful</v>
      </c>
      <c r="B335" s="5">
        <v>6300</v>
      </c>
      <c r="D335" s="17" t="str">
        <v>failed</v>
      </c>
      <c r="E335" s="5">
        <v>8700</v>
      </c>
    </row>
    <row r="336" spans="1:5" x14ac:dyDescent="0.2">
      <c r="A336" s="16" t="str">
        <v>successful</v>
      </c>
      <c r="B336" s="5">
        <v>71100</v>
      </c>
      <c r="D336" s="17" t="str">
        <v>failed</v>
      </c>
      <c r="E336" s="5">
        <v>7200</v>
      </c>
    </row>
    <row r="337" spans="1:5" x14ac:dyDescent="0.2">
      <c r="A337" s="16" t="str">
        <v>successful</v>
      </c>
      <c r="B337" s="5">
        <v>5300</v>
      </c>
      <c r="D337" s="17" t="str">
        <v>failed</v>
      </c>
      <c r="E337" s="5">
        <v>7900</v>
      </c>
    </row>
    <row r="338" spans="1:5" x14ac:dyDescent="0.2">
      <c r="A338" s="16" t="str">
        <v>successful</v>
      </c>
      <c r="B338" s="5">
        <v>88700</v>
      </c>
      <c r="D338" s="17" t="str">
        <v>failed</v>
      </c>
      <c r="E338" s="5">
        <v>103200</v>
      </c>
    </row>
    <row r="339" spans="1:5" x14ac:dyDescent="0.2">
      <c r="A339" s="16" t="str">
        <v>successful</v>
      </c>
      <c r="B339" s="5">
        <v>3300</v>
      </c>
      <c r="D339" s="17" t="str">
        <v>failed</v>
      </c>
      <c r="E339" s="5">
        <v>7800</v>
      </c>
    </row>
    <row r="340" spans="1:5" x14ac:dyDescent="0.2">
      <c r="A340" s="16" t="str">
        <v>successful</v>
      </c>
      <c r="B340" s="5">
        <v>3400</v>
      </c>
      <c r="D340" s="17" t="str">
        <v>failed</v>
      </c>
      <c r="E340" s="5">
        <v>43000</v>
      </c>
    </row>
    <row r="341" spans="1:5" x14ac:dyDescent="0.2">
      <c r="A341" s="16" t="str">
        <v>successful</v>
      </c>
      <c r="B341" s="5">
        <v>137600</v>
      </c>
      <c r="D341" s="17" t="str">
        <v>failed</v>
      </c>
      <c r="E341" s="5">
        <v>9600</v>
      </c>
    </row>
    <row r="342" spans="1:5" x14ac:dyDescent="0.2">
      <c r="A342" s="16" t="str">
        <v>successful</v>
      </c>
      <c r="B342" s="5">
        <v>3900</v>
      </c>
      <c r="D342" s="17" t="str">
        <v>failed</v>
      </c>
      <c r="E342" s="5">
        <v>10000</v>
      </c>
    </row>
    <row r="343" spans="1:5" x14ac:dyDescent="0.2">
      <c r="A343" s="16" t="str">
        <v>successful</v>
      </c>
      <c r="B343" s="5">
        <v>10000</v>
      </c>
      <c r="D343" s="17" t="str">
        <v>failed</v>
      </c>
      <c r="E343" s="5">
        <v>172000</v>
      </c>
    </row>
    <row r="344" spans="1:5" x14ac:dyDescent="0.2">
      <c r="A344" s="16" t="str">
        <v>successful</v>
      </c>
      <c r="B344" s="5">
        <v>42800</v>
      </c>
      <c r="D344" s="17" t="str">
        <v>failed</v>
      </c>
      <c r="E344" s="5">
        <v>153700</v>
      </c>
    </row>
    <row r="345" spans="1:5" x14ac:dyDescent="0.2">
      <c r="A345" s="16" t="str">
        <v>successful</v>
      </c>
      <c r="B345" s="5">
        <v>6200</v>
      </c>
      <c r="D345" s="17" t="str">
        <v>failed</v>
      </c>
      <c r="E345" s="5">
        <v>3600</v>
      </c>
    </row>
    <row r="346" spans="1:5" x14ac:dyDescent="0.2">
      <c r="A346" s="16" t="str">
        <v>successful</v>
      </c>
      <c r="B346" s="5">
        <v>1100</v>
      </c>
      <c r="D346" s="17" t="str">
        <v>failed</v>
      </c>
      <c r="E346" s="5">
        <v>100</v>
      </c>
    </row>
    <row r="347" spans="1:5" x14ac:dyDescent="0.2">
      <c r="A347" s="16" t="str">
        <v>successful</v>
      </c>
      <c r="B347" s="5">
        <v>26500</v>
      </c>
      <c r="D347" s="17" t="str">
        <v>failed</v>
      </c>
      <c r="E347" s="5">
        <v>3300</v>
      </c>
    </row>
    <row r="348" spans="1:5" x14ac:dyDescent="0.2">
      <c r="A348" s="16" t="str">
        <v>successful</v>
      </c>
      <c r="B348" s="5">
        <v>8500</v>
      </c>
      <c r="D348" s="17" t="str">
        <v>failed</v>
      </c>
      <c r="E348" s="5">
        <v>187600</v>
      </c>
    </row>
    <row r="349" spans="1:5" x14ac:dyDescent="0.2">
      <c r="A349" s="16" t="str">
        <v>successful</v>
      </c>
      <c r="B349" s="5">
        <v>6400</v>
      </c>
      <c r="D349" s="17" t="str">
        <v>failed</v>
      </c>
      <c r="E349" s="5">
        <v>145000</v>
      </c>
    </row>
    <row r="350" spans="1:5" x14ac:dyDescent="0.2">
      <c r="A350" s="16" t="str">
        <v>successful</v>
      </c>
      <c r="B350" s="5">
        <v>1400</v>
      </c>
      <c r="D350" s="17" t="str">
        <v>failed</v>
      </c>
      <c r="E350" s="5">
        <v>5500</v>
      </c>
    </row>
    <row r="351" spans="1:5" x14ac:dyDescent="0.2">
      <c r="A351" s="16" t="str">
        <v>successful</v>
      </c>
      <c r="B351" s="5">
        <v>4300</v>
      </c>
      <c r="D351" s="17" t="str">
        <v>failed</v>
      </c>
      <c r="E351" s="5">
        <v>5900</v>
      </c>
    </row>
    <row r="352" spans="1:5" x14ac:dyDescent="0.2">
      <c r="A352" s="16" t="str">
        <v>successful</v>
      </c>
      <c r="B352" s="5">
        <v>25600</v>
      </c>
      <c r="D352" s="17" t="str">
        <v>failed</v>
      </c>
      <c r="E352" s="5">
        <v>94900</v>
      </c>
    </row>
    <row r="353" spans="1:5" x14ac:dyDescent="0.2">
      <c r="A353" s="16" t="str">
        <v>successful</v>
      </c>
      <c r="B353" s="5">
        <v>94300</v>
      </c>
      <c r="D353" s="17" t="str">
        <v>failed</v>
      </c>
      <c r="E353" s="5">
        <v>5100</v>
      </c>
    </row>
    <row r="354" spans="1:5" x14ac:dyDescent="0.2">
      <c r="A354" s="16" t="str">
        <v>successful</v>
      </c>
      <c r="B354" s="5">
        <v>5100</v>
      </c>
      <c r="D354" s="17" t="str">
        <v>failed</v>
      </c>
      <c r="E354" s="5">
        <v>121100</v>
      </c>
    </row>
    <row r="355" spans="1:5" x14ac:dyDescent="0.2">
      <c r="A355" s="16" t="str">
        <v>successful</v>
      </c>
      <c r="B355" s="5">
        <v>6400</v>
      </c>
      <c r="D355" s="17" t="str">
        <v>failed</v>
      </c>
      <c r="E355" s="5">
        <v>7000</v>
      </c>
    </row>
    <row r="356" spans="1:5" x14ac:dyDescent="0.2">
      <c r="A356" s="16" t="str">
        <v>successful</v>
      </c>
      <c r="B356" s="5">
        <v>1600</v>
      </c>
      <c r="D356" s="17" t="str">
        <v>failed</v>
      </c>
      <c r="E356" s="5">
        <v>195200</v>
      </c>
    </row>
    <row r="357" spans="1:5" x14ac:dyDescent="0.2">
      <c r="A357" s="16" t="str">
        <v>successful</v>
      </c>
      <c r="B357" s="5">
        <v>1900</v>
      </c>
      <c r="D357" s="17" t="str">
        <v>failed</v>
      </c>
      <c r="E357" s="5">
        <v>7200</v>
      </c>
    </row>
    <row r="358" spans="1:5" x14ac:dyDescent="0.2">
      <c r="A358" s="16" t="str">
        <v>successful</v>
      </c>
      <c r="B358" s="5">
        <v>59200</v>
      </c>
      <c r="D358" s="17" t="str">
        <v>failed</v>
      </c>
      <c r="E358" s="5">
        <v>170600</v>
      </c>
    </row>
    <row r="359" spans="1:5" x14ac:dyDescent="0.2">
      <c r="A359" s="16" t="str">
        <v>successful</v>
      </c>
      <c r="B359" s="5">
        <v>139000</v>
      </c>
      <c r="D359" s="17" t="str">
        <v>failed</v>
      </c>
      <c r="E359" s="5">
        <v>7800</v>
      </c>
    </row>
    <row r="360" spans="1:5" x14ac:dyDescent="0.2">
      <c r="A360" s="16" t="str">
        <v>successful</v>
      </c>
      <c r="B360" s="5">
        <v>9400</v>
      </c>
      <c r="D360" s="17" t="str">
        <v>failed</v>
      </c>
      <c r="E360" s="5">
        <v>9400</v>
      </c>
    </row>
    <row r="361" spans="1:5" x14ac:dyDescent="0.2">
      <c r="A361" s="16" t="str">
        <v>successful</v>
      </c>
      <c r="B361" s="5">
        <v>9200</v>
      </c>
      <c r="D361" s="17" t="str">
        <v>failed</v>
      </c>
      <c r="E361" s="5">
        <v>7800</v>
      </c>
    </row>
    <row r="362" spans="1:5" x14ac:dyDescent="0.2">
      <c r="A362" s="16" t="str">
        <v>successful</v>
      </c>
      <c r="B362" s="5">
        <v>14900</v>
      </c>
      <c r="D362" s="17" t="str">
        <v>failed</v>
      </c>
      <c r="E362" s="5">
        <v>141100</v>
      </c>
    </row>
    <row r="363" spans="1:5" x14ac:dyDescent="0.2">
      <c r="A363" s="16" t="str">
        <v>successful</v>
      </c>
      <c r="B363" s="5">
        <v>10000</v>
      </c>
      <c r="D363" s="17" t="str">
        <v>failed</v>
      </c>
      <c r="E363" s="5">
        <v>6600</v>
      </c>
    </row>
    <row r="364" spans="1:5" x14ac:dyDescent="0.2">
      <c r="A364" s="16" t="str">
        <v>successful</v>
      </c>
      <c r="B364" s="5">
        <v>600</v>
      </c>
      <c r="D364" s="17" t="str">
        <v>failed</v>
      </c>
      <c r="E364" s="5">
        <v>66600</v>
      </c>
    </row>
    <row r="365" spans="1:5" x14ac:dyDescent="0.2">
      <c r="A365" s="16" t="str">
        <v>successful</v>
      </c>
      <c r="B365" s="5">
        <v>35000</v>
      </c>
    </row>
    <row r="366" spans="1:5" x14ac:dyDescent="0.2">
      <c r="A366" s="16" t="str">
        <v>successful</v>
      </c>
      <c r="B366" s="5">
        <v>6900</v>
      </c>
    </row>
    <row r="367" spans="1:5" x14ac:dyDescent="0.2">
      <c r="A367" s="16" t="str">
        <v>successful</v>
      </c>
      <c r="B367" s="5">
        <v>5100</v>
      </c>
    </row>
    <row r="368" spans="1:5" x14ac:dyDescent="0.2">
      <c r="A368" s="16" t="str">
        <v>successful</v>
      </c>
      <c r="B368" s="5">
        <v>6900</v>
      </c>
    </row>
    <row r="369" spans="1:2" x14ac:dyDescent="0.2">
      <c r="A369" s="16" t="str">
        <v>successful</v>
      </c>
      <c r="B369" s="5">
        <v>48800</v>
      </c>
    </row>
    <row r="370" spans="1:2" x14ac:dyDescent="0.2">
      <c r="A370" s="16" t="str">
        <v>successful</v>
      </c>
      <c r="B370" s="5">
        <v>16200</v>
      </c>
    </row>
    <row r="371" spans="1:2" x14ac:dyDescent="0.2">
      <c r="A371" s="16" t="str">
        <v>successful</v>
      </c>
      <c r="B371" s="5">
        <v>97600</v>
      </c>
    </row>
    <row r="372" spans="1:2" x14ac:dyDescent="0.2">
      <c r="A372" s="16" t="str">
        <v>successful</v>
      </c>
      <c r="B372" s="5">
        <v>9700</v>
      </c>
    </row>
    <row r="373" spans="1:2" x14ac:dyDescent="0.2">
      <c r="A373" s="16" t="str">
        <v>successful</v>
      </c>
      <c r="B373" s="5">
        <v>62300</v>
      </c>
    </row>
    <row r="374" spans="1:2" x14ac:dyDescent="0.2">
      <c r="A374" s="16" t="str">
        <v>successful</v>
      </c>
      <c r="B374" s="5">
        <v>1400</v>
      </c>
    </row>
    <row r="375" spans="1:2" x14ac:dyDescent="0.2">
      <c r="A375" s="16" t="str">
        <v>successful</v>
      </c>
      <c r="B375" s="5">
        <v>5400</v>
      </c>
    </row>
    <row r="376" spans="1:2" x14ac:dyDescent="0.2">
      <c r="A376" s="16" t="str">
        <v>successful</v>
      </c>
      <c r="B376" s="5">
        <v>2300</v>
      </c>
    </row>
    <row r="377" spans="1:2" x14ac:dyDescent="0.2">
      <c r="A377" s="16" t="str">
        <v>successful</v>
      </c>
      <c r="B377" s="5">
        <v>1400</v>
      </c>
    </row>
    <row r="378" spans="1:2" x14ac:dyDescent="0.2">
      <c r="A378" s="16" t="str">
        <v>successful</v>
      </c>
      <c r="B378" s="5">
        <v>7500</v>
      </c>
    </row>
    <row r="379" spans="1:2" x14ac:dyDescent="0.2">
      <c r="A379" s="16" t="str">
        <v>successful</v>
      </c>
      <c r="B379" s="5">
        <v>1500</v>
      </c>
    </row>
    <row r="380" spans="1:2" x14ac:dyDescent="0.2">
      <c r="A380" s="16" t="str">
        <v>successful</v>
      </c>
      <c r="B380" s="5">
        <v>2900</v>
      </c>
    </row>
    <row r="381" spans="1:2" x14ac:dyDescent="0.2">
      <c r="A381" s="16" t="str">
        <v>successful</v>
      </c>
      <c r="B381" s="5">
        <v>7300</v>
      </c>
    </row>
    <row r="382" spans="1:2" x14ac:dyDescent="0.2">
      <c r="A382" s="16" t="str">
        <v>successful</v>
      </c>
      <c r="B382" s="5">
        <v>3600</v>
      </c>
    </row>
    <row r="383" spans="1:2" x14ac:dyDescent="0.2">
      <c r="A383" s="16" t="str">
        <v>successful</v>
      </c>
      <c r="B383" s="5">
        <v>5000</v>
      </c>
    </row>
    <row r="384" spans="1:2" x14ac:dyDescent="0.2">
      <c r="A384" s="16" t="str">
        <v>successful</v>
      </c>
      <c r="B384" s="5">
        <v>9200</v>
      </c>
    </row>
    <row r="385" spans="1:2" x14ac:dyDescent="0.2">
      <c r="A385" s="16" t="str">
        <v>successful</v>
      </c>
      <c r="B385" s="5">
        <v>128900</v>
      </c>
    </row>
    <row r="386" spans="1:2" x14ac:dyDescent="0.2">
      <c r="A386" s="16" t="str">
        <v>successful</v>
      </c>
      <c r="B386" s="5">
        <v>42100</v>
      </c>
    </row>
    <row r="387" spans="1:2" x14ac:dyDescent="0.2">
      <c r="A387" s="16" t="str">
        <v>successful</v>
      </c>
      <c r="B387" s="5">
        <v>52000</v>
      </c>
    </row>
    <row r="388" spans="1:2" x14ac:dyDescent="0.2">
      <c r="A388" s="16" t="str">
        <v>successful</v>
      </c>
      <c r="B388" s="5">
        <v>63400</v>
      </c>
    </row>
    <row r="389" spans="1:2" x14ac:dyDescent="0.2">
      <c r="A389" s="16" t="str">
        <v>successful</v>
      </c>
      <c r="B389" s="5">
        <v>8700</v>
      </c>
    </row>
    <row r="390" spans="1:2" x14ac:dyDescent="0.2">
      <c r="A390" s="16" t="str">
        <v>successful</v>
      </c>
      <c r="B390" s="5">
        <v>108400</v>
      </c>
    </row>
    <row r="391" spans="1:2" x14ac:dyDescent="0.2">
      <c r="A391" s="16" t="str">
        <v>successful</v>
      </c>
      <c r="B391" s="5">
        <v>7300</v>
      </c>
    </row>
    <row r="392" spans="1:2" x14ac:dyDescent="0.2">
      <c r="A392" s="16" t="str">
        <v>successful</v>
      </c>
      <c r="B392" s="5">
        <v>1700</v>
      </c>
    </row>
    <row r="393" spans="1:2" x14ac:dyDescent="0.2">
      <c r="A393" s="16" t="str">
        <v>successful</v>
      </c>
      <c r="B393" s="5">
        <v>9800</v>
      </c>
    </row>
    <row r="394" spans="1:2" x14ac:dyDescent="0.2">
      <c r="A394" s="16" t="str">
        <v>successful</v>
      </c>
      <c r="B394" s="5">
        <v>4300</v>
      </c>
    </row>
    <row r="395" spans="1:2" x14ac:dyDescent="0.2">
      <c r="A395" s="16" t="str">
        <v>successful</v>
      </c>
      <c r="B395" s="5">
        <v>800</v>
      </c>
    </row>
    <row r="396" spans="1:2" x14ac:dyDescent="0.2">
      <c r="A396" s="16" t="str">
        <v>successful</v>
      </c>
      <c r="B396" s="5">
        <v>6900</v>
      </c>
    </row>
    <row r="397" spans="1:2" x14ac:dyDescent="0.2">
      <c r="A397" s="16" t="str">
        <v>successful</v>
      </c>
      <c r="B397" s="5">
        <v>38500</v>
      </c>
    </row>
    <row r="398" spans="1:2" x14ac:dyDescent="0.2">
      <c r="A398" s="16" t="str">
        <v>successful</v>
      </c>
      <c r="B398" s="5">
        <v>2000</v>
      </c>
    </row>
    <row r="399" spans="1:2" x14ac:dyDescent="0.2">
      <c r="A399" s="16" t="str">
        <v>successful</v>
      </c>
      <c r="B399" s="5">
        <v>5600</v>
      </c>
    </row>
    <row r="400" spans="1:2" x14ac:dyDescent="0.2">
      <c r="A400" s="16" t="str">
        <v>successful</v>
      </c>
      <c r="B400" s="5">
        <v>8300</v>
      </c>
    </row>
    <row r="401" spans="1:2" x14ac:dyDescent="0.2">
      <c r="A401" s="16" t="str">
        <v>successful</v>
      </c>
      <c r="B401" s="5">
        <v>6900</v>
      </c>
    </row>
    <row r="402" spans="1:2" x14ac:dyDescent="0.2">
      <c r="A402" s="16" t="str">
        <v>successful</v>
      </c>
      <c r="B402" s="5">
        <v>48500</v>
      </c>
    </row>
    <row r="403" spans="1:2" x14ac:dyDescent="0.2">
      <c r="A403" s="16" t="str">
        <v>successful</v>
      </c>
      <c r="B403" s="5">
        <v>4900</v>
      </c>
    </row>
    <row r="404" spans="1:2" x14ac:dyDescent="0.2">
      <c r="A404" s="16" t="str">
        <v>successful</v>
      </c>
      <c r="B404" s="5">
        <v>8400</v>
      </c>
    </row>
    <row r="405" spans="1:2" x14ac:dyDescent="0.2">
      <c r="A405" s="16" t="str">
        <v>successful</v>
      </c>
      <c r="B405" s="5">
        <v>8900</v>
      </c>
    </row>
    <row r="406" spans="1:2" x14ac:dyDescent="0.2">
      <c r="A406" s="16" t="str">
        <v>successful</v>
      </c>
      <c r="B406" s="5">
        <v>5600</v>
      </c>
    </row>
    <row r="407" spans="1:2" x14ac:dyDescent="0.2">
      <c r="A407" s="16" t="str">
        <v>successful</v>
      </c>
      <c r="B407" s="5">
        <v>28800</v>
      </c>
    </row>
    <row r="408" spans="1:2" x14ac:dyDescent="0.2">
      <c r="A408" s="16" t="str">
        <v>successful</v>
      </c>
      <c r="B408" s="5">
        <v>15800</v>
      </c>
    </row>
    <row r="409" spans="1:2" x14ac:dyDescent="0.2">
      <c r="A409" s="16" t="str">
        <v>successful</v>
      </c>
      <c r="B409" s="5">
        <v>4200</v>
      </c>
    </row>
    <row r="410" spans="1:2" x14ac:dyDescent="0.2">
      <c r="A410" s="16" t="str">
        <v>successful</v>
      </c>
      <c r="B410" s="5">
        <v>37100</v>
      </c>
    </row>
    <row r="411" spans="1:2" x14ac:dyDescent="0.2">
      <c r="A411" s="16" t="str">
        <v>successful</v>
      </c>
      <c r="B411" s="5">
        <v>3700</v>
      </c>
    </row>
    <row r="412" spans="1:2" x14ac:dyDescent="0.2">
      <c r="A412" s="16" t="str">
        <v>successful</v>
      </c>
      <c r="B412" s="5">
        <v>1200</v>
      </c>
    </row>
    <row r="413" spans="1:2" x14ac:dyDescent="0.2">
      <c r="A413" s="16" t="str">
        <v>successful</v>
      </c>
      <c r="B413" s="5">
        <v>1200</v>
      </c>
    </row>
    <row r="414" spans="1:2" x14ac:dyDescent="0.2">
      <c r="A414" s="16" t="str">
        <v>successful</v>
      </c>
      <c r="B414" s="5">
        <v>2000</v>
      </c>
    </row>
    <row r="415" spans="1:2" x14ac:dyDescent="0.2">
      <c r="A415" s="16" t="str">
        <v>successful</v>
      </c>
      <c r="B415" s="5">
        <v>55800</v>
      </c>
    </row>
    <row r="416" spans="1:2" x14ac:dyDescent="0.2">
      <c r="A416" s="16" t="str">
        <v>successful</v>
      </c>
      <c r="B416" s="5">
        <v>4900</v>
      </c>
    </row>
    <row r="417" spans="1:2" x14ac:dyDescent="0.2">
      <c r="A417" s="16" t="str">
        <v>successful</v>
      </c>
      <c r="B417" s="5">
        <v>8600</v>
      </c>
    </row>
    <row r="418" spans="1:2" x14ac:dyDescent="0.2">
      <c r="A418" s="16" t="str">
        <v>successful</v>
      </c>
      <c r="B418" s="5">
        <v>3600</v>
      </c>
    </row>
    <row r="419" spans="1:2" x14ac:dyDescent="0.2">
      <c r="A419" s="16" t="str">
        <v>successful</v>
      </c>
      <c r="B419" s="5">
        <v>4700</v>
      </c>
    </row>
    <row r="420" spans="1:2" x14ac:dyDescent="0.2">
      <c r="A420" s="16" t="str">
        <v>successful</v>
      </c>
      <c r="B420" s="5">
        <v>70400</v>
      </c>
    </row>
    <row r="421" spans="1:2" x14ac:dyDescent="0.2">
      <c r="A421" s="16" t="str">
        <v>successful</v>
      </c>
      <c r="B421" s="5">
        <v>4500</v>
      </c>
    </row>
    <row r="422" spans="1:2" x14ac:dyDescent="0.2">
      <c r="A422" s="16" t="str">
        <v>successful</v>
      </c>
      <c r="B422" s="5">
        <v>1300</v>
      </c>
    </row>
    <row r="423" spans="1:2" x14ac:dyDescent="0.2">
      <c r="A423" s="16" t="str">
        <v>successful</v>
      </c>
      <c r="B423" s="5">
        <v>1400</v>
      </c>
    </row>
    <row r="424" spans="1:2" x14ac:dyDescent="0.2">
      <c r="A424" s="16" t="str">
        <v>successful</v>
      </c>
      <c r="B424" s="5">
        <v>29600</v>
      </c>
    </row>
    <row r="425" spans="1:2" x14ac:dyDescent="0.2">
      <c r="A425" s="16" t="str">
        <v>successful</v>
      </c>
      <c r="B425" s="5">
        <v>2200</v>
      </c>
    </row>
    <row r="426" spans="1:2" x14ac:dyDescent="0.2">
      <c r="A426" s="16" t="str">
        <v>successful</v>
      </c>
      <c r="B426" s="5">
        <v>3500</v>
      </c>
    </row>
    <row r="427" spans="1:2" x14ac:dyDescent="0.2">
      <c r="A427" s="16" t="str">
        <v>successful</v>
      </c>
      <c r="B427" s="5">
        <v>5600</v>
      </c>
    </row>
    <row r="428" spans="1:2" x14ac:dyDescent="0.2">
      <c r="A428" s="16" t="str">
        <v>successful</v>
      </c>
      <c r="B428" s="5">
        <v>1100</v>
      </c>
    </row>
    <row r="429" spans="1:2" x14ac:dyDescent="0.2">
      <c r="A429" s="16" t="str">
        <v>successful</v>
      </c>
      <c r="B429" s="5">
        <v>3900</v>
      </c>
    </row>
    <row r="430" spans="1:2" x14ac:dyDescent="0.2">
      <c r="A430" s="16" t="str">
        <v>successful</v>
      </c>
      <c r="B430" s="5">
        <v>4800</v>
      </c>
    </row>
    <row r="431" spans="1:2" x14ac:dyDescent="0.2">
      <c r="A431" s="16" t="str">
        <v>successful</v>
      </c>
      <c r="B431" s="5">
        <v>4300</v>
      </c>
    </row>
    <row r="432" spans="1:2" x14ac:dyDescent="0.2">
      <c r="A432" s="16" t="str">
        <v>successful</v>
      </c>
      <c r="B432" s="5">
        <v>149600</v>
      </c>
    </row>
    <row r="433" spans="1:2" x14ac:dyDescent="0.2">
      <c r="A433" s="16" t="str">
        <v>successful</v>
      </c>
      <c r="B433" s="5">
        <v>53100</v>
      </c>
    </row>
    <row r="434" spans="1:2" x14ac:dyDescent="0.2">
      <c r="A434" s="16" t="str">
        <v>successful</v>
      </c>
      <c r="B434" s="5">
        <v>5000</v>
      </c>
    </row>
    <row r="435" spans="1:2" x14ac:dyDescent="0.2">
      <c r="A435" s="16" t="str">
        <v>successful</v>
      </c>
      <c r="B435" s="5">
        <v>1300</v>
      </c>
    </row>
    <row r="436" spans="1:2" x14ac:dyDescent="0.2">
      <c r="A436" s="16" t="str">
        <v>successful</v>
      </c>
      <c r="B436" s="5">
        <v>5100</v>
      </c>
    </row>
    <row r="437" spans="1:2" x14ac:dyDescent="0.2">
      <c r="A437" s="16" t="str">
        <v>successful</v>
      </c>
      <c r="B437" s="5">
        <v>5100</v>
      </c>
    </row>
    <row r="438" spans="1:2" x14ac:dyDescent="0.2">
      <c r="A438" s="16" t="str">
        <v>successful</v>
      </c>
      <c r="B438" s="5">
        <v>7400</v>
      </c>
    </row>
    <row r="439" spans="1:2" x14ac:dyDescent="0.2">
      <c r="A439" s="16" t="str">
        <v>successful</v>
      </c>
      <c r="B439" s="5">
        <v>88900</v>
      </c>
    </row>
    <row r="440" spans="1:2" x14ac:dyDescent="0.2">
      <c r="A440" s="16" t="str">
        <v>successful</v>
      </c>
      <c r="B440" s="5">
        <v>6700</v>
      </c>
    </row>
    <row r="441" spans="1:2" x14ac:dyDescent="0.2">
      <c r="A441" s="16" t="str">
        <v>successful</v>
      </c>
      <c r="B441" s="5">
        <v>1500</v>
      </c>
    </row>
    <row r="442" spans="1:2" x14ac:dyDescent="0.2">
      <c r="A442" s="16" t="str">
        <v>successful</v>
      </c>
      <c r="B442" s="5">
        <v>1100</v>
      </c>
    </row>
    <row r="443" spans="1:2" x14ac:dyDescent="0.2">
      <c r="A443" s="16" t="str">
        <v>successful</v>
      </c>
      <c r="B443" s="5">
        <v>6600</v>
      </c>
    </row>
    <row r="444" spans="1:2" x14ac:dyDescent="0.2">
      <c r="A444" s="16" t="str">
        <v>successful</v>
      </c>
      <c r="B444" s="5">
        <v>7600</v>
      </c>
    </row>
    <row r="445" spans="1:2" x14ac:dyDescent="0.2">
      <c r="A445" s="16" t="str">
        <v>successful</v>
      </c>
      <c r="B445" s="5">
        <v>3400</v>
      </c>
    </row>
    <row r="446" spans="1:2" x14ac:dyDescent="0.2">
      <c r="A446" s="16" t="str">
        <v>successful</v>
      </c>
      <c r="B446" s="5">
        <v>2300</v>
      </c>
    </row>
    <row r="447" spans="1:2" x14ac:dyDescent="0.2">
      <c r="A447" s="16" t="str">
        <v>successful</v>
      </c>
      <c r="B447" s="5">
        <v>6200</v>
      </c>
    </row>
    <row r="448" spans="1:2" x14ac:dyDescent="0.2">
      <c r="A448" s="16" t="str">
        <v>successful</v>
      </c>
      <c r="B448" s="5">
        <v>6100</v>
      </c>
    </row>
    <row r="449" spans="1:2" x14ac:dyDescent="0.2">
      <c r="A449" s="16" t="str">
        <v>successful</v>
      </c>
      <c r="B449" s="5">
        <v>2600</v>
      </c>
    </row>
    <row r="450" spans="1:2" x14ac:dyDescent="0.2">
      <c r="A450" s="16" t="str">
        <v>successful</v>
      </c>
      <c r="B450" s="5">
        <v>700</v>
      </c>
    </row>
    <row r="451" spans="1:2" x14ac:dyDescent="0.2">
      <c r="A451" s="16" t="str">
        <v>successful</v>
      </c>
      <c r="B451" s="5">
        <v>700</v>
      </c>
    </row>
    <row r="452" spans="1:2" x14ac:dyDescent="0.2">
      <c r="A452" s="16" t="str">
        <v>successful</v>
      </c>
      <c r="B452" s="5">
        <v>6400</v>
      </c>
    </row>
    <row r="453" spans="1:2" x14ac:dyDescent="0.2">
      <c r="A453" s="16" t="str">
        <v>successful</v>
      </c>
      <c r="B453" s="5">
        <v>59700</v>
      </c>
    </row>
    <row r="454" spans="1:2" x14ac:dyDescent="0.2">
      <c r="A454" s="16" t="str">
        <v>successful</v>
      </c>
      <c r="B454" s="5">
        <v>3200</v>
      </c>
    </row>
    <row r="455" spans="1:2" x14ac:dyDescent="0.2">
      <c r="A455" s="16" t="str">
        <v>successful</v>
      </c>
      <c r="B455" s="5">
        <v>9000</v>
      </c>
    </row>
    <row r="456" spans="1:2" x14ac:dyDescent="0.2">
      <c r="A456" s="16" t="str">
        <v>successful</v>
      </c>
      <c r="B456" s="5">
        <v>2300</v>
      </c>
    </row>
    <row r="457" spans="1:2" x14ac:dyDescent="0.2">
      <c r="A457" s="16" t="str">
        <v>successful</v>
      </c>
      <c r="B457" s="5">
        <v>51300</v>
      </c>
    </row>
    <row r="458" spans="1:2" x14ac:dyDescent="0.2">
      <c r="A458" s="16" t="str">
        <v>successful</v>
      </c>
      <c r="B458" s="5">
        <v>700</v>
      </c>
    </row>
    <row r="459" spans="1:2" x14ac:dyDescent="0.2">
      <c r="A459" s="16" t="str">
        <v>successful</v>
      </c>
      <c r="B459" s="5">
        <v>1500</v>
      </c>
    </row>
    <row r="460" spans="1:2" x14ac:dyDescent="0.2">
      <c r="A460" s="16" t="str">
        <v>successful</v>
      </c>
      <c r="B460" s="5">
        <v>4900</v>
      </c>
    </row>
    <row r="461" spans="1:2" x14ac:dyDescent="0.2">
      <c r="A461" s="16" t="str">
        <v>successful</v>
      </c>
      <c r="B461" s="5">
        <v>54000</v>
      </c>
    </row>
    <row r="462" spans="1:2" x14ac:dyDescent="0.2">
      <c r="A462" s="16" t="str">
        <v>successful</v>
      </c>
      <c r="B462" s="5">
        <v>4100</v>
      </c>
    </row>
    <row r="463" spans="1:2" x14ac:dyDescent="0.2">
      <c r="A463" s="16" t="str">
        <v>successful</v>
      </c>
      <c r="B463" s="5">
        <v>85000</v>
      </c>
    </row>
    <row r="464" spans="1:2" x14ac:dyDescent="0.2">
      <c r="A464" s="16" t="str">
        <v>successful</v>
      </c>
      <c r="B464" s="5">
        <v>3600</v>
      </c>
    </row>
    <row r="465" spans="1:2" x14ac:dyDescent="0.2">
      <c r="A465" s="16" t="str">
        <v>successful</v>
      </c>
      <c r="B465" s="5">
        <v>2800</v>
      </c>
    </row>
    <row r="466" spans="1:2" x14ac:dyDescent="0.2">
      <c r="A466" s="16" t="str">
        <v>successful</v>
      </c>
      <c r="B466" s="5">
        <v>2300</v>
      </c>
    </row>
    <row r="467" spans="1:2" x14ac:dyDescent="0.2">
      <c r="A467" s="16" t="str">
        <v>successful</v>
      </c>
      <c r="B467" s="5">
        <v>97100</v>
      </c>
    </row>
    <row r="468" spans="1:2" x14ac:dyDescent="0.2">
      <c r="A468" s="16" t="str">
        <v>successful</v>
      </c>
      <c r="B468" s="5">
        <v>43200</v>
      </c>
    </row>
    <row r="469" spans="1:2" x14ac:dyDescent="0.2">
      <c r="A469" s="16" t="str">
        <v>successful</v>
      </c>
      <c r="B469" s="5">
        <v>6800</v>
      </c>
    </row>
    <row r="470" spans="1:2" x14ac:dyDescent="0.2">
      <c r="A470" s="16" t="str">
        <v>successful</v>
      </c>
      <c r="B470" s="5">
        <v>7300</v>
      </c>
    </row>
    <row r="471" spans="1:2" x14ac:dyDescent="0.2">
      <c r="A471" s="16" t="str">
        <v>successful</v>
      </c>
      <c r="B471" s="5">
        <v>17700</v>
      </c>
    </row>
    <row r="472" spans="1:2" x14ac:dyDescent="0.2">
      <c r="A472" s="16" t="str">
        <v>successful</v>
      </c>
      <c r="B472" s="5">
        <v>6400</v>
      </c>
    </row>
    <row r="473" spans="1:2" x14ac:dyDescent="0.2">
      <c r="A473" s="16" t="str">
        <v>successful</v>
      </c>
      <c r="B473" s="5">
        <v>7700</v>
      </c>
    </row>
    <row r="474" spans="1:2" x14ac:dyDescent="0.2">
      <c r="A474" s="16" t="str">
        <v>successful</v>
      </c>
      <c r="B474" s="5">
        <v>116300</v>
      </c>
    </row>
    <row r="475" spans="1:2" x14ac:dyDescent="0.2">
      <c r="A475" s="16" t="str">
        <v>successful</v>
      </c>
      <c r="B475" s="5">
        <v>9100</v>
      </c>
    </row>
    <row r="476" spans="1:2" x14ac:dyDescent="0.2">
      <c r="A476" s="16" t="str">
        <v>successful</v>
      </c>
      <c r="B476" s="5">
        <v>1500</v>
      </c>
    </row>
    <row r="477" spans="1:2" x14ac:dyDescent="0.2">
      <c r="A477" s="16" t="str">
        <v>successful</v>
      </c>
      <c r="B477" s="5">
        <v>69900</v>
      </c>
    </row>
    <row r="478" spans="1:2" x14ac:dyDescent="0.2">
      <c r="A478" s="16" t="str">
        <v>successful</v>
      </c>
      <c r="B478" s="5">
        <v>1000</v>
      </c>
    </row>
    <row r="479" spans="1:2" x14ac:dyDescent="0.2">
      <c r="A479" s="16" t="str">
        <v>successful</v>
      </c>
      <c r="B479" s="5">
        <v>4700</v>
      </c>
    </row>
    <row r="480" spans="1:2" x14ac:dyDescent="0.2">
      <c r="A480" s="16" t="str">
        <v>successful</v>
      </c>
      <c r="B480" s="5">
        <v>3200</v>
      </c>
    </row>
    <row r="481" spans="1:2" x14ac:dyDescent="0.2">
      <c r="A481" s="16" t="str">
        <v>successful</v>
      </c>
      <c r="B481" s="5">
        <v>6700</v>
      </c>
    </row>
    <row r="482" spans="1:2" x14ac:dyDescent="0.2">
      <c r="A482" s="16" t="str">
        <v>successful</v>
      </c>
      <c r="B482" s="5">
        <v>6000</v>
      </c>
    </row>
    <row r="483" spans="1:2" x14ac:dyDescent="0.2">
      <c r="A483" s="16" t="str">
        <v>successful</v>
      </c>
      <c r="B483" s="5">
        <v>17100</v>
      </c>
    </row>
    <row r="484" spans="1:2" x14ac:dyDescent="0.2">
      <c r="A484" s="16" t="str">
        <v>successful</v>
      </c>
      <c r="B484" s="5">
        <v>171000</v>
      </c>
    </row>
    <row r="485" spans="1:2" x14ac:dyDescent="0.2">
      <c r="A485" s="16" t="str">
        <v>successful</v>
      </c>
      <c r="B485" s="5">
        <v>23400</v>
      </c>
    </row>
    <row r="486" spans="1:2" x14ac:dyDescent="0.2">
      <c r="A486" s="16" t="str">
        <v>successful</v>
      </c>
      <c r="B486" s="5">
        <v>2400</v>
      </c>
    </row>
    <row r="487" spans="1:2" x14ac:dyDescent="0.2">
      <c r="A487" s="16" t="str">
        <v>successful</v>
      </c>
      <c r="B487" s="5">
        <v>5300</v>
      </c>
    </row>
    <row r="488" spans="1:2" x14ac:dyDescent="0.2">
      <c r="A488" s="16" t="str">
        <v>successful</v>
      </c>
      <c r="B488" s="5">
        <v>2000</v>
      </c>
    </row>
    <row r="489" spans="1:2" x14ac:dyDescent="0.2">
      <c r="A489" s="16" t="str">
        <v>successful</v>
      </c>
      <c r="B489" s="5">
        <v>8800</v>
      </c>
    </row>
    <row r="490" spans="1:2" x14ac:dyDescent="0.2">
      <c r="A490" s="16" t="str">
        <v>successful</v>
      </c>
      <c r="B490" s="5">
        <v>3500</v>
      </c>
    </row>
    <row r="491" spans="1:2" x14ac:dyDescent="0.2">
      <c r="A491" s="16" t="str">
        <v>successful</v>
      </c>
      <c r="B491" s="5">
        <v>1400</v>
      </c>
    </row>
    <row r="492" spans="1:2" x14ac:dyDescent="0.2">
      <c r="A492" s="16" t="str">
        <v>successful</v>
      </c>
      <c r="B492" s="5">
        <v>4200</v>
      </c>
    </row>
    <row r="493" spans="1:2" x14ac:dyDescent="0.2">
      <c r="A493" s="16" t="str">
        <v>successful</v>
      </c>
      <c r="B493" s="5">
        <v>81000</v>
      </c>
    </row>
    <row r="494" spans="1:2" x14ac:dyDescent="0.2">
      <c r="A494" s="16" t="str">
        <v>successful</v>
      </c>
      <c r="B494" s="5">
        <v>4800</v>
      </c>
    </row>
    <row r="495" spans="1:2" x14ac:dyDescent="0.2">
      <c r="A495" s="16" t="str">
        <v>successful</v>
      </c>
      <c r="B495" s="5">
        <v>7000</v>
      </c>
    </row>
    <row r="496" spans="1:2" x14ac:dyDescent="0.2">
      <c r="A496" s="16" t="str">
        <v>successful</v>
      </c>
      <c r="B496" s="5">
        <v>71500</v>
      </c>
    </row>
    <row r="497" spans="1:2" x14ac:dyDescent="0.2">
      <c r="A497" s="16" t="str">
        <v>successful</v>
      </c>
      <c r="B497" s="5">
        <v>4700</v>
      </c>
    </row>
    <row r="498" spans="1:2" x14ac:dyDescent="0.2">
      <c r="A498" s="16" t="str">
        <v>successful</v>
      </c>
      <c r="B498" s="5">
        <v>42100</v>
      </c>
    </row>
    <row r="499" spans="1:2" x14ac:dyDescent="0.2">
      <c r="A499" s="16" t="str">
        <v>successful</v>
      </c>
      <c r="B499" s="5">
        <v>40200</v>
      </c>
    </row>
    <row r="500" spans="1:2" x14ac:dyDescent="0.2">
      <c r="A500" s="16" t="str">
        <v>successful</v>
      </c>
      <c r="B500" s="5">
        <v>1000</v>
      </c>
    </row>
    <row r="501" spans="1:2" x14ac:dyDescent="0.2">
      <c r="A501" s="16" t="str">
        <v>successful</v>
      </c>
      <c r="B501" s="5">
        <v>84500</v>
      </c>
    </row>
    <row r="502" spans="1:2" x14ac:dyDescent="0.2">
      <c r="A502" s="16" t="str">
        <v>successful</v>
      </c>
      <c r="B502" s="5">
        <v>800</v>
      </c>
    </row>
    <row r="503" spans="1:2" x14ac:dyDescent="0.2">
      <c r="A503" s="16" t="str">
        <v>successful</v>
      </c>
      <c r="B503" s="5">
        <v>3400</v>
      </c>
    </row>
    <row r="504" spans="1:2" x14ac:dyDescent="0.2">
      <c r="A504" s="16" t="str">
        <v>successful</v>
      </c>
      <c r="B504" s="5">
        <v>1800</v>
      </c>
    </row>
    <row r="505" spans="1:2" x14ac:dyDescent="0.2">
      <c r="A505" s="16" t="str">
        <v>successful</v>
      </c>
      <c r="B505" s="5">
        <v>5800</v>
      </c>
    </row>
    <row r="506" spans="1:2" x14ac:dyDescent="0.2">
      <c r="A506" s="16" t="str">
        <v>successful</v>
      </c>
      <c r="B506" s="5">
        <v>5600</v>
      </c>
    </row>
    <row r="507" spans="1:2" x14ac:dyDescent="0.2">
      <c r="A507" s="16" t="str">
        <v>successful</v>
      </c>
      <c r="B507" s="5">
        <v>134400</v>
      </c>
    </row>
    <row r="508" spans="1:2" x14ac:dyDescent="0.2">
      <c r="A508" s="16" t="str">
        <v>successful</v>
      </c>
      <c r="B508" s="5">
        <v>3000</v>
      </c>
    </row>
    <row r="509" spans="1:2" x14ac:dyDescent="0.2">
      <c r="A509" s="16" t="str">
        <v>successful</v>
      </c>
      <c r="B509" s="5">
        <v>6000</v>
      </c>
    </row>
    <row r="510" spans="1:2" x14ac:dyDescent="0.2">
      <c r="A510" s="16" t="str">
        <v>successful</v>
      </c>
      <c r="B510" s="5">
        <v>8400</v>
      </c>
    </row>
    <row r="511" spans="1:2" x14ac:dyDescent="0.2">
      <c r="A511" s="16" t="str">
        <v>successful</v>
      </c>
      <c r="B511" s="5">
        <v>1700</v>
      </c>
    </row>
    <row r="512" spans="1:2" x14ac:dyDescent="0.2">
      <c r="A512" s="16" t="str">
        <v>successful</v>
      </c>
      <c r="B512" s="5">
        <v>19800</v>
      </c>
    </row>
    <row r="513" spans="1:2" x14ac:dyDescent="0.2">
      <c r="A513" s="16" t="str">
        <v>successful</v>
      </c>
      <c r="B513" s="5">
        <v>3100</v>
      </c>
    </row>
    <row r="514" spans="1:2" x14ac:dyDescent="0.2">
      <c r="A514" s="16" t="str">
        <v>successful</v>
      </c>
      <c r="B514" s="5">
        <v>5600</v>
      </c>
    </row>
    <row r="515" spans="1:2" x14ac:dyDescent="0.2">
      <c r="A515" s="16" t="str">
        <v>successful</v>
      </c>
      <c r="B515" s="5">
        <v>1400</v>
      </c>
    </row>
    <row r="516" spans="1:2" x14ac:dyDescent="0.2">
      <c r="A516" s="16" t="str">
        <v>successful</v>
      </c>
      <c r="B516" s="5">
        <v>7900</v>
      </c>
    </row>
    <row r="517" spans="1:2" x14ac:dyDescent="0.2">
      <c r="A517" s="16" t="str">
        <v>successful</v>
      </c>
      <c r="B517" s="5">
        <v>5500</v>
      </c>
    </row>
    <row r="518" spans="1:2" x14ac:dyDescent="0.2">
      <c r="A518" s="16" t="str">
        <v>successful</v>
      </c>
      <c r="B518" s="5">
        <v>38200</v>
      </c>
    </row>
    <row r="519" spans="1:2" x14ac:dyDescent="0.2">
      <c r="A519" s="16" t="str">
        <v>successful</v>
      </c>
      <c r="B519" s="5">
        <v>1800</v>
      </c>
    </row>
    <row r="520" spans="1:2" x14ac:dyDescent="0.2">
      <c r="A520" s="16" t="str">
        <v>successful</v>
      </c>
      <c r="B520" s="5">
        <v>5800</v>
      </c>
    </row>
    <row r="521" spans="1:2" x14ac:dyDescent="0.2">
      <c r="A521" s="16" t="str">
        <v>successful</v>
      </c>
      <c r="B521" s="5">
        <v>1800</v>
      </c>
    </row>
    <row r="522" spans="1:2" x14ac:dyDescent="0.2">
      <c r="A522" s="16" t="str">
        <v>successful</v>
      </c>
      <c r="B522" s="5">
        <v>125900</v>
      </c>
    </row>
    <row r="523" spans="1:2" x14ac:dyDescent="0.2">
      <c r="A523" s="16" t="str">
        <v>successful</v>
      </c>
      <c r="B523" s="5">
        <v>3800</v>
      </c>
    </row>
    <row r="524" spans="1:2" x14ac:dyDescent="0.2">
      <c r="A524" s="16" t="str">
        <v>successful</v>
      </c>
      <c r="B524" s="5">
        <v>5300</v>
      </c>
    </row>
    <row r="525" spans="1:2" x14ac:dyDescent="0.2">
      <c r="A525" s="16" t="str">
        <v>successful</v>
      </c>
      <c r="B525" s="5">
        <v>51400</v>
      </c>
    </row>
    <row r="526" spans="1:2" x14ac:dyDescent="0.2">
      <c r="A526" s="16" t="str">
        <v>successful</v>
      </c>
      <c r="B526" s="5">
        <v>1700</v>
      </c>
    </row>
    <row r="527" spans="1:2" x14ac:dyDescent="0.2">
      <c r="A527" s="16" t="str">
        <v>successful</v>
      </c>
      <c r="B527" s="5">
        <v>39400</v>
      </c>
    </row>
    <row r="528" spans="1:2" x14ac:dyDescent="0.2">
      <c r="A528" s="16" t="str">
        <v>successful</v>
      </c>
      <c r="B528" s="5">
        <v>3000</v>
      </c>
    </row>
    <row r="529" spans="1:2" x14ac:dyDescent="0.2">
      <c r="A529" s="16" t="str">
        <v>successful</v>
      </c>
      <c r="B529" s="5">
        <v>167400</v>
      </c>
    </row>
    <row r="530" spans="1:2" x14ac:dyDescent="0.2">
      <c r="A530" s="16" t="str">
        <v>successful</v>
      </c>
      <c r="B530" s="5">
        <v>5500</v>
      </c>
    </row>
    <row r="531" spans="1:2" x14ac:dyDescent="0.2">
      <c r="A531" s="16" t="str">
        <v>successful</v>
      </c>
      <c r="B531" s="5">
        <v>3500</v>
      </c>
    </row>
    <row r="532" spans="1:2" x14ac:dyDescent="0.2">
      <c r="A532" s="16" t="str">
        <v>successful</v>
      </c>
      <c r="B532" s="5">
        <v>2300</v>
      </c>
    </row>
    <row r="533" spans="1:2" x14ac:dyDescent="0.2">
      <c r="A533" s="16" t="str">
        <v>successful</v>
      </c>
      <c r="B533" s="5">
        <v>73000</v>
      </c>
    </row>
    <row r="534" spans="1:2" x14ac:dyDescent="0.2">
      <c r="A534" s="16" t="str">
        <v>successful</v>
      </c>
      <c r="B534" s="5">
        <v>6200</v>
      </c>
    </row>
    <row r="535" spans="1:2" x14ac:dyDescent="0.2">
      <c r="A535" s="16" t="str">
        <v>successful</v>
      </c>
      <c r="B535" s="5">
        <v>6100</v>
      </c>
    </row>
    <row r="536" spans="1:2" x14ac:dyDescent="0.2">
      <c r="A536" s="16" t="str">
        <v>successful</v>
      </c>
      <c r="B536" s="5">
        <v>9200</v>
      </c>
    </row>
    <row r="537" spans="1:2" x14ac:dyDescent="0.2">
      <c r="A537" s="16" t="str">
        <v>successful</v>
      </c>
      <c r="B537" s="5">
        <v>7500</v>
      </c>
    </row>
    <row r="538" spans="1:2" x14ac:dyDescent="0.2">
      <c r="A538" s="16" t="str">
        <v>successful</v>
      </c>
      <c r="B538" s="5">
        <v>5900</v>
      </c>
    </row>
    <row r="539" spans="1:2" x14ac:dyDescent="0.2">
      <c r="A539" s="16" t="str">
        <v>successful</v>
      </c>
      <c r="B539" s="5">
        <v>14500</v>
      </c>
    </row>
    <row r="540" spans="1:2" x14ac:dyDescent="0.2">
      <c r="A540" s="16" t="str">
        <v>successful</v>
      </c>
      <c r="B540" s="5">
        <v>42600</v>
      </c>
    </row>
    <row r="541" spans="1:2" x14ac:dyDescent="0.2">
      <c r="A541" s="16" t="str">
        <v>successful</v>
      </c>
      <c r="B541" s="5">
        <v>700</v>
      </c>
    </row>
    <row r="542" spans="1:2" x14ac:dyDescent="0.2">
      <c r="A542" s="16" t="str">
        <v>successful</v>
      </c>
      <c r="B542" s="5">
        <v>9800</v>
      </c>
    </row>
    <row r="543" spans="1:2" x14ac:dyDescent="0.2">
      <c r="A543" s="16" t="str">
        <v>successful</v>
      </c>
      <c r="B543" s="5">
        <v>1100</v>
      </c>
    </row>
    <row r="544" spans="1:2" x14ac:dyDescent="0.2">
      <c r="A544" s="16" t="str">
        <v>successful</v>
      </c>
      <c r="B544" s="5">
        <v>5700</v>
      </c>
    </row>
    <row r="545" spans="1:2" x14ac:dyDescent="0.2">
      <c r="A545" s="16" t="str">
        <v>successful</v>
      </c>
      <c r="B545" s="5">
        <v>3600</v>
      </c>
    </row>
    <row r="546" spans="1:2" x14ac:dyDescent="0.2">
      <c r="A546" s="16" t="str">
        <v>successful</v>
      </c>
      <c r="B546" s="5">
        <v>3700</v>
      </c>
    </row>
    <row r="547" spans="1:2" x14ac:dyDescent="0.2">
      <c r="A547" s="16" t="str">
        <v>successful</v>
      </c>
      <c r="B547" s="5">
        <v>2200</v>
      </c>
    </row>
    <row r="548" spans="1:2" x14ac:dyDescent="0.2">
      <c r="A548" s="16" t="str">
        <v>successful</v>
      </c>
      <c r="B548" s="5">
        <v>1700</v>
      </c>
    </row>
    <row r="549" spans="1:2" x14ac:dyDescent="0.2">
      <c r="A549" s="16" t="str">
        <v>successful</v>
      </c>
      <c r="B549" s="5">
        <v>88400</v>
      </c>
    </row>
    <row r="550" spans="1:2" x14ac:dyDescent="0.2">
      <c r="A550" s="16" t="str">
        <v>successful</v>
      </c>
      <c r="B550" s="5">
        <v>2400</v>
      </c>
    </row>
    <row r="551" spans="1:2" x14ac:dyDescent="0.2">
      <c r="A551" s="16" t="str">
        <v>successful</v>
      </c>
      <c r="B551" s="5">
        <v>7900</v>
      </c>
    </row>
    <row r="552" spans="1:2" x14ac:dyDescent="0.2">
      <c r="A552" s="16" t="str">
        <v>successful</v>
      </c>
      <c r="B552" s="5">
        <v>42700</v>
      </c>
    </row>
    <row r="553" spans="1:2" x14ac:dyDescent="0.2">
      <c r="A553" s="16" t="str">
        <v>successful</v>
      </c>
      <c r="B553" s="5">
        <v>800</v>
      </c>
    </row>
    <row r="554" spans="1:2" x14ac:dyDescent="0.2">
      <c r="A554" s="16" t="str">
        <v>successful</v>
      </c>
      <c r="B554" s="5">
        <v>5400</v>
      </c>
    </row>
    <row r="555" spans="1:2" x14ac:dyDescent="0.2">
      <c r="A555" s="16" t="str">
        <v>successful</v>
      </c>
      <c r="B555" s="5">
        <v>4000</v>
      </c>
    </row>
    <row r="556" spans="1:2" x14ac:dyDescent="0.2">
      <c r="A556" s="16" t="str">
        <v>successful</v>
      </c>
      <c r="B556" s="5">
        <v>1000</v>
      </c>
    </row>
    <row r="557" spans="1:2" x14ac:dyDescent="0.2">
      <c r="A557" s="16" t="str">
        <v>successful</v>
      </c>
      <c r="B557" s="5">
        <v>60200</v>
      </c>
    </row>
    <row r="558" spans="1:2" x14ac:dyDescent="0.2">
      <c r="A558" s="16" t="str">
        <v>successful</v>
      </c>
      <c r="B558" s="5">
        <v>6700</v>
      </c>
    </row>
    <row r="559" spans="1:2" x14ac:dyDescent="0.2">
      <c r="A559" s="16" t="str">
        <v>successful</v>
      </c>
      <c r="B559" s="5">
        <v>129100</v>
      </c>
    </row>
    <row r="560" spans="1:2" x14ac:dyDescent="0.2">
      <c r="A560" s="16" t="str">
        <v>successful</v>
      </c>
      <c r="B560" s="5">
        <v>6500</v>
      </c>
    </row>
    <row r="561" spans="1:2" x14ac:dyDescent="0.2">
      <c r="A561" s="16" t="str">
        <v>successful</v>
      </c>
      <c r="B561" s="5">
        <v>6200</v>
      </c>
    </row>
    <row r="562" spans="1:2" x14ac:dyDescent="0.2">
      <c r="A562" s="16" t="str">
        <v>successful</v>
      </c>
      <c r="B562" s="5">
        <v>2400</v>
      </c>
    </row>
    <row r="563" spans="1:2" x14ac:dyDescent="0.2">
      <c r="A563" s="16" t="str">
        <v>successful</v>
      </c>
      <c r="B563" s="5">
        <v>9800</v>
      </c>
    </row>
    <row r="564" spans="1:2" x14ac:dyDescent="0.2">
      <c r="A564" s="16" t="str">
        <v>successful</v>
      </c>
      <c r="B564" s="5">
        <v>3100</v>
      </c>
    </row>
    <row r="565" spans="1:2" x14ac:dyDescent="0.2">
      <c r="A565" s="16" t="str">
        <v>successful</v>
      </c>
      <c r="B565" s="5">
        <v>97300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64C52-289A-B243-88A2-471C9F4BDF9C}">
  <dimension ref="A1:Q565"/>
  <sheetViews>
    <sheetView zoomScaleNormal="100" workbookViewId="0">
      <selection activeCell="J1" sqref="J1"/>
    </sheetView>
  </sheetViews>
  <sheetFormatPr baseColWidth="10" defaultRowHeight="16" x14ac:dyDescent="0.2"/>
  <cols>
    <col min="1" max="12" width="10.83203125" style="5"/>
    <col min="13" max="13" width="20.83203125" style="5" customWidth="1"/>
    <col min="14" max="15" width="20.83203125" style="21" customWidth="1"/>
    <col min="16" max="17" width="20.83203125" style="5" customWidth="1"/>
    <col min="18" max="16384" width="10.83203125" style="5"/>
  </cols>
  <sheetData>
    <row r="1" spans="1:17" x14ac:dyDescent="0.2">
      <c r="A1" s="16" t="str" cm="1">
        <f t="array" ref="A1:A565">_xlfn._xlws.FILTER(CrowdfundingTable[outcome],CrowdfundingTable[outcome]="successful")</f>
        <v>successful</v>
      </c>
      <c r="B1" s="5" cm="1">
        <f t="array" ref="B1:B565">_xlfn._xlws.FILTER(CrowdfundingTable[pledged],CrowdfundingTable[outcome]="successful")</f>
        <v>14560</v>
      </c>
      <c r="D1" s="17" t="str" cm="1">
        <f t="array" ref="D1:D364">_xlfn._xlws.FILTER(CrowdfundingTable[outcome],CrowdfundingTable[outcome]="failed")</f>
        <v>failed</v>
      </c>
      <c r="E1" s="5" cm="1">
        <f t="array" ref="E1:E364">_xlfn._xlws.FILTER(CrowdfundingTable[pledged],CrowdfundingTable[outcome]="failed")</f>
        <v>0</v>
      </c>
      <c r="F1" s="88" t="str" cm="1">
        <f t="array" ref="F1:F57">_xlfn._xlws.FILTER(CrowdfundingTable[outcome],CrowdfundingTable[outcome]="canceled")</f>
        <v>canceled</v>
      </c>
      <c r="G1" s="5" cm="1">
        <f t="array" ref="G1:G57">_xlfn._xlws.FILTER(CrowdfundingTable[pledged],CrowdfundingTable[outcome]="canceled")</f>
        <v>6089</v>
      </c>
      <c r="H1" s="89" t="str" cm="1">
        <f t="array" ref="H1:H14">_xlfn._xlws.FILTER(CrowdfundingTable[outcome],CrowdfundingTable[outcome]="live")</f>
        <v>live</v>
      </c>
      <c r="I1" s="5" cm="1">
        <f t="array" ref="I1:I14">_xlfn._xlws.FILTER(CrowdfundingTable[pledged],CrowdfundingTable[outcome]="live")</f>
        <v>21946</v>
      </c>
      <c r="M1" s="5" t="s">
        <v>2105</v>
      </c>
      <c r="N1" s="21" t="s">
        <v>2096</v>
      </c>
      <c r="O1" s="21" t="s">
        <v>2097</v>
      </c>
      <c r="P1" s="21" t="s">
        <v>2225</v>
      </c>
      <c r="Q1" s="21" t="s">
        <v>2226</v>
      </c>
    </row>
    <row r="2" spans="1:17" x14ac:dyDescent="0.2">
      <c r="A2" s="16" t="str">
        <v>successful</v>
      </c>
      <c r="B2" s="5">
        <v>142523</v>
      </c>
      <c r="D2" s="17" t="str">
        <v>failed</v>
      </c>
      <c r="E2" s="5">
        <v>2477</v>
      </c>
      <c r="F2" s="88" t="str">
        <v>canceled</v>
      </c>
      <c r="G2" s="5">
        <v>51814</v>
      </c>
      <c r="H2" s="89" t="str">
        <v>live</v>
      </c>
      <c r="I2" s="5">
        <v>41212</v>
      </c>
      <c r="M2" s="5" t="s">
        <v>2123</v>
      </c>
      <c r="N2" s="32">
        <f>SUM($B$1:$B$565)</f>
        <v>28436339</v>
      </c>
      <c r="O2" s="32">
        <f>SUM($E$1:$E$565)</f>
        <v>12200146</v>
      </c>
      <c r="P2" s="31">
        <f>SUM(_xlfn.ANCHORARRAY(G1))</f>
        <v>1623364</v>
      </c>
      <c r="Q2" s="31">
        <f>SUM(_xlfn.ANCHORARRAY(I1))</f>
        <v>488206</v>
      </c>
    </row>
    <row r="3" spans="1:17" x14ac:dyDescent="0.2">
      <c r="A3" s="16" t="str">
        <v>successful</v>
      </c>
      <c r="B3" s="5">
        <v>13195</v>
      </c>
      <c r="D3" s="17" t="str">
        <v>failed</v>
      </c>
      <c r="E3" s="5">
        <v>5265</v>
      </c>
      <c r="F3" s="88" t="str">
        <v>canceled</v>
      </c>
      <c r="G3" s="5">
        <v>1901</v>
      </c>
      <c r="H3" s="89" t="str">
        <v>live</v>
      </c>
      <c r="I3" s="5">
        <v>1953</v>
      </c>
      <c r="M3" s="5" t="s">
        <v>2098</v>
      </c>
      <c r="N3" s="31">
        <f>AVERAGE($B$1:$B$565)</f>
        <v>50329.803539823006</v>
      </c>
      <c r="O3" s="31">
        <f>AVERAGE($E$1:$E$565)</f>
        <v>33516.884615384617</v>
      </c>
      <c r="P3" s="31">
        <f>AVERAGE(_xlfn.ANCHORARRAY(G1))</f>
        <v>28480.070175438595</v>
      </c>
      <c r="Q3" s="31">
        <f>AVERAGE(_xlfn.ANCHORARRAY(I1))</f>
        <v>34871.857142857145</v>
      </c>
    </row>
    <row r="4" spans="1:17" x14ac:dyDescent="0.2">
      <c r="A4" s="16" t="str">
        <v>successful</v>
      </c>
      <c r="B4" s="5">
        <v>14741</v>
      </c>
      <c r="D4" s="17" t="str">
        <v>failed</v>
      </c>
      <c r="E4" s="5">
        <v>1090</v>
      </c>
      <c r="F4" s="88" t="str">
        <v>canceled</v>
      </c>
      <c r="G4" s="5">
        <v>65877</v>
      </c>
      <c r="H4" s="89" t="str">
        <v>live</v>
      </c>
      <c r="I4" s="5">
        <v>21477</v>
      </c>
      <c r="M4" s="5" t="s">
        <v>2102</v>
      </c>
      <c r="N4" s="32">
        <f>MODE($B$1:$B$565)</f>
        <v>14606</v>
      </c>
      <c r="O4" s="32">
        <f>MODE($E$1:$E$565)</f>
        <v>2</v>
      </c>
      <c r="P4" s="31" t="e">
        <f>MODE(_xlfn.ANCHORARRAY(G1))</f>
        <v>#N/A</v>
      </c>
      <c r="Q4" s="31" t="e">
        <f>MODE(_xlfn.ANCHORARRAY(I1))</f>
        <v>#N/A</v>
      </c>
    </row>
    <row r="5" spans="1:17" x14ac:dyDescent="0.2">
      <c r="A5" s="16" t="str">
        <v>successful</v>
      </c>
      <c r="B5" s="5">
        <v>13838</v>
      </c>
      <c r="D5" s="17" t="str">
        <v>failed</v>
      </c>
      <c r="E5" s="5">
        <v>3208</v>
      </c>
      <c r="F5" s="88" t="str">
        <v>canceled</v>
      </c>
      <c r="G5" s="5">
        <v>42596</v>
      </c>
      <c r="H5" s="89" t="str">
        <v>live</v>
      </c>
      <c r="I5" s="5">
        <v>2241</v>
      </c>
      <c r="M5" s="5" t="s">
        <v>2099</v>
      </c>
      <c r="N5" s="32">
        <f>MIN($B$1:$B$565)</f>
        <v>1017</v>
      </c>
      <c r="O5" s="32">
        <f>MIN($E$1:$E$565)</f>
        <v>0</v>
      </c>
      <c r="P5" s="31">
        <f>MIN(_xlfn.ANCHORARRAY(G1))</f>
        <v>4</v>
      </c>
      <c r="Q5" s="31">
        <f>MIN(_xlfn.ANCHORARRAY(I1))</f>
        <v>709</v>
      </c>
    </row>
    <row r="6" spans="1:17" x14ac:dyDescent="0.2">
      <c r="A6" s="16" t="str">
        <v>successful</v>
      </c>
      <c r="B6" s="5">
        <v>10295</v>
      </c>
      <c r="D6" s="17" t="str">
        <v>failed</v>
      </c>
      <c r="E6" s="5">
        <v>3030</v>
      </c>
      <c r="F6" s="88" t="str">
        <v>canceled</v>
      </c>
      <c r="G6" s="5">
        <v>4756</v>
      </c>
      <c r="H6" s="89" t="str">
        <v>live</v>
      </c>
      <c r="I6" s="5">
        <v>55536</v>
      </c>
      <c r="M6" s="5" t="s">
        <v>2108</v>
      </c>
      <c r="N6" s="32">
        <f>_xlfn.QUARTILE.EXC($B$1:$B$565,1)</f>
        <v>8731</v>
      </c>
      <c r="O6" s="32">
        <f>_xlfn.QUARTILE.EXC($E$1:$E$565,1)</f>
        <v>2511</v>
      </c>
      <c r="P6" s="31">
        <f>_xlfn.QUARTILE.EXC(_xlfn.ANCHORARRAY(G1),1)</f>
        <v>3241.5</v>
      </c>
      <c r="Q6" s="31">
        <f>_xlfn.QUARTILE.EXC(_xlfn.ANCHORARRAY(I1),1)</f>
        <v>2205</v>
      </c>
    </row>
    <row r="7" spans="1:17" x14ac:dyDescent="0.2">
      <c r="A7" s="16" t="str">
        <v>successful</v>
      </c>
      <c r="B7" s="5">
        <v>11041</v>
      </c>
      <c r="D7" s="17" t="str">
        <v>failed</v>
      </c>
      <c r="E7" s="5">
        <v>5629</v>
      </c>
      <c r="F7" s="88" t="str">
        <v>canceled</v>
      </c>
      <c r="G7" s="5">
        <v>2721</v>
      </c>
      <c r="H7" s="89" t="str">
        <v>live</v>
      </c>
      <c r="I7" s="5">
        <v>117628</v>
      </c>
      <c r="M7" s="30" t="s">
        <v>2109</v>
      </c>
      <c r="N7" s="31">
        <f>_xlfn.QUARTILE.EXC($B$1:$B$565,2)</f>
        <v>12516</v>
      </c>
      <c r="O7" s="31">
        <f>_xlfn.QUARTILE.EXC($E$1:$E$565,2)</f>
        <v>6225</v>
      </c>
      <c r="P7" s="31">
        <f>_xlfn.QUARTILE.EXC(_xlfn.ANCHORARRAY(G1),2)</f>
        <v>7220</v>
      </c>
      <c r="Q7" s="31">
        <f>_xlfn.QUARTILE.EXC(_xlfn.ANCHORARRAY(I1),2)</f>
        <v>13819</v>
      </c>
    </row>
    <row r="8" spans="1:17" x14ac:dyDescent="0.2">
      <c r="A8" s="16" t="str">
        <v>successful</v>
      </c>
      <c r="B8" s="5">
        <v>134845</v>
      </c>
      <c r="D8" s="17" t="str">
        <v>failed</v>
      </c>
      <c r="E8" s="5">
        <v>18829</v>
      </c>
      <c r="F8" s="88" t="str">
        <v>canceled</v>
      </c>
      <c r="G8" s="5">
        <v>1518</v>
      </c>
      <c r="H8" s="89" t="str">
        <v>live</v>
      </c>
      <c r="I8" s="5">
        <v>178338</v>
      </c>
      <c r="M8" s="30" t="s">
        <v>2110</v>
      </c>
      <c r="N8" s="32">
        <f>_xlfn.QUARTILE.EXC($B$1:$B$565,3)</f>
        <v>99148</v>
      </c>
      <c r="O8" s="32">
        <f>_xlfn.QUARTILE.EXC($E$1:$E$565,3)</f>
        <v>57100</v>
      </c>
      <c r="P8" s="31">
        <f>_xlfn.QUARTILE.EXC(_xlfn.ANCHORARRAY(G1),3)</f>
        <v>47743.5</v>
      </c>
      <c r="Q8" s="31">
        <f>_xlfn.QUARTILE.EXC(_xlfn.ANCHORARRAY(I1),3)</f>
        <v>44793</v>
      </c>
    </row>
    <row r="9" spans="1:17" x14ac:dyDescent="0.2">
      <c r="A9" s="16" t="str">
        <v>successful</v>
      </c>
      <c r="B9" s="5">
        <v>147936</v>
      </c>
      <c r="D9" s="17" t="str">
        <v>failed</v>
      </c>
      <c r="E9" s="5">
        <v>38414</v>
      </c>
      <c r="F9" s="88" t="str">
        <v>canceled</v>
      </c>
      <c r="G9" s="5">
        <v>26914</v>
      </c>
      <c r="H9" s="89" t="str">
        <v>live</v>
      </c>
      <c r="I9" s="5">
        <v>30902</v>
      </c>
      <c r="M9" s="5" t="s">
        <v>2100</v>
      </c>
      <c r="N9" s="32">
        <f>MAX($B$1:$B$565)</f>
        <v>199110</v>
      </c>
      <c r="O9" s="32">
        <f>MAX($E$1:$E$565)</f>
        <v>188480</v>
      </c>
      <c r="P9" s="31">
        <f>MAX(_xlfn.ANCHORARRAY(G1))</f>
        <v>173191</v>
      </c>
      <c r="Q9" s="31">
        <f>MAX(_xlfn.ANCHORARRAY(I1))</f>
        <v>178338</v>
      </c>
    </row>
    <row r="10" spans="1:17" x14ac:dyDescent="0.2">
      <c r="A10" s="16" t="str">
        <v>successful</v>
      </c>
      <c r="B10" s="5">
        <v>75690</v>
      </c>
      <c r="D10" s="17" t="str">
        <v>failed</v>
      </c>
      <c r="E10" s="5">
        <v>30331</v>
      </c>
      <c r="F10" s="88" t="str">
        <v>canceled</v>
      </c>
      <c r="G10" s="5">
        <v>45004</v>
      </c>
      <c r="H10" s="89" t="str">
        <v>live</v>
      </c>
      <c r="I10" s="5">
        <v>4832</v>
      </c>
      <c r="M10" s="5" t="s">
        <v>2106</v>
      </c>
      <c r="N10" s="31">
        <f>$N$8-$N$6</f>
        <v>90417</v>
      </c>
      <c r="O10" s="31">
        <f>$O$8-$O$6</f>
        <v>54589</v>
      </c>
      <c r="P10" s="31">
        <f>$P$8-$P$6</f>
        <v>44502</v>
      </c>
      <c r="Q10" s="31">
        <f>$Q$8-$Q$6</f>
        <v>42588</v>
      </c>
    </row>
    <row r="11" spans="1:17" x14ac:dyDescent="0.2">
      <c r="A11" s="16" t="str">
        <v>successful</v>
      </c>
      <c r="B11" s="5">
        <v>14942</v>
      </c>
      <c r="D11" s="17" t="str">
        <v>failed</v>
      </c>
      <c r="E11" s="5">
        <v>38533</v>
      </c>
      <c r="F11" s="88" t="str">
        <v>canceled</v>
      </c>
      <c r="G11" s="5">
        <v>6543</v>
      </c>
      <c r="H11" s="89" t="str">
        <v>live</v>
      </c>
      <c r="I11" s="5">
        <v>3174</v>
      </c>
      <c r="M11" s="5" t="s">
        <v>2111</v>
      </c>
      <c r="N11" s="31">
        <f>$N$8+(1.5*$N$10)</f>
        <v>234773.5</v>
      </c>
      <c r="O11" s="31">
        <f>$O$8+(1.5*$O$10)</f>
        <v>138983.5</v>
      </c>
      <c r="P11" s="31">
        <f>$P$8+(1.5*$P$10)</f>
        <v>114496.5</v>
      </c>
      <c r="Q11" s="31">
        <f>$Q$8+(1.5*$Q$10)</f>
        <v>108675</v>
      </c>
    </row>
    <row r="12" spans="1:17" x14ac:dyDescent="0.2">
      <c r="A12" s="16" t="str">
        <v>successful</v>
      </c>
      <c r="B12" s="5">
        <v>104257</v>
      </c>
      <c r="D12" s="17" t="str">
        <v>failed</v>
      </c>
      <c r="E12" s="5">
        <v>1599</v>
      </c>
      <c r="F12" s="88" t="str">
        <v>canceled</v>
      </c>
      <c r="G12" s="5">
        <v>3496</v>
      </c>
      <c r="H12" s="89" t="str">
        <v>live</v>
      </c>
      <c r="I12" s="5">
        <v>709</v>
      </c>
      <c r="M12" s="5" t="s">
        <v>2112</v>
      </c>
      <c r="N12" s="31">
        <f>$N$6-(1.5*$N$10)</f>
        <v>-126894.5</v>
      </c>
      <c r="O12" s="31">
        <f>$O$6-(1.5*$O$10)</f>
        <v>-79372.5</v>
      </c>
      <c r="P12" s="31">
        <f>$P$6-(1.5*$P$10)</f>
        <v>-63511.5</v>
      </c>
      <c r="Q12" s="31">
        <f>$Q$6-(1.5*$Q$10)</f>
        <v>-61677</v>
      </c>
    </row>
    <row r="13" spans="1:17" x14ac:dyDescent="0.2">
      <c r="A13" s="16" t="str">
        <v>successful</v>
      </c>
      <c r="B13" s="5">
        <v>11904</v>
      </c>
      <c r="D13" s="17" t="str">
        <v>failed</v>
      </c>
      <c r="E13" s="5">
        <v>87676</v>
      </c>
      <c r="F13" s="88" t="str">
        <v>canceled</v>
      </c>
      <c r="G13" s="5">
        <v>5523</v>
      </c>
      <c r="H13" s="89" t="str">
        <v>live</v>
      </c>
      <c r="I13" s="5">
        <v>2097</v>
      </c>
      <c r="M13" s="5" t="s">
        <v>2107</v>
      </c>
      <c r="N13" s="32">
        <f>COUNTIF($B$1:$B$565, "&gt;"&amp;$N$11)</f>
        <v>0</v>
      </c>
      <c r="O13" s="32">
        <f>COUNTIF($E$1:$E$565, "&gt;"&amp;$O$11)</f>
        <v>18</v>
      </c>
      <c r="P13" s="31">
        <f>COUNTIF(_xlfn.ANCHORARRAY(G1), "&gt;"&amp;$P$11)</f>
        <v>1</v>
      </c>
      <c r="Q13" s="31">
        <f>COUNTIF(_xlfn.ANCHORARRAY(I1), "&gt;"&amp;$Q$11)</f>
        <v>2</v>
      </c>
    </row>
    <row r="14" spans="1:17" x14ac:dyDescent="0.2">
      <c r="A14" s="16" t="str">
        <v>successful</v>
      </c>
      <c r="B14" s="5">
        <v>137635</v>
      </c>
      <c r="D14" s="17" t="str">
        <v>failed</v>
      </c>
      <c r="E14" s="5">
        <v>5027</v>
      </c>
      <c r="F14" s="88" t="str">
        <v>canceled</v>
      </c>
      <c r="G14" s="5">
        <v>47260</v>
      </c>
      <c r="H14" s="89" t="str">
        <v>live</v>
      </c>
      <c r="I14" s="5">
        <v>6161</v>
      </c>
      <c r="M14" s="5" t="s">
        <v>2103</v>
      </c>
      <c r="N14" s="31">
        <f>_xlfn.STDEV.P($B$1:$B$565)</f>
        <v>64495.21917065743</v>
      </c>
      <c r="O14" s="31">
        <f>_xlfn.STDEV.P($E$1:$E$565)</f>
        <v>45711.611671396757</v>
      </c>
      <c r="P14" s="31">
        <f>_xlfn.STDEV.P(_xlfn.ANCHORARRAY(G1))</f>
        <v>35318.472911524543</v>
      </c>
      <c r="Q14" s="31">
        <f>_xlfn.STDEV.P(_xlfn.ANCHORARRAY(I1))</f>
        <v>50271.941783602088</v>
      </c>
    </row>
    <row r="15" spans="1:17" x14ac:dyDescent="0.2">
      <c r="A15" s="16" t="str">
        <v>successful</v>
      </c>
      <c r="B15" s="5">
        <v>150965</v>
      </c>
      <c r="D15" s="17" t="str">
        <v>failed</v>
      </c>
      <c r="E15" s="5">
        <v>4530</v>
      </c>
      <c r="F15" s="88" t="str">
        <v>canceled</v>
      </c>
      <c r="G15" s="5">
        <v>19557</v>
      </c>
      <c r="M15" s="5" t="s">
        <v>2104</v>
      </c>
      <c r="N15" s="31">
        <f>_xlfn.SKEW.P($B$1:$B$565)</f>
        <v>1.1665551284171578</v>
      </c>
      <c r="O15" s="31">
        <f>_xlfn.SKEW.P($E$1:$E$565)</f>
        <v>1.4738936914787775</v>
      </c>
      <c r="P15" s="31">
        <f>_xlfn.SKEW.P(_xlfn.ANCHORARRAY(G1))</f>
        <v>1.7233806815235839</v>
      </c>
      <c r="Q15" s="31">
        <f>_xlfn.SKEW.P(_xlfn.ANCHORARRAY(I1))</f>
        <v>1.8530253983815774</v>
      </c>
    </row>
    <row r="16" spans="1:17" x14ac:dyDescent="0.2">
      <c r="A16" s="16" t="str">
        <v>successful</v>
      </c>
      <c r="B16" s="5">
        <v>14455</v>
      </c>
      <c r="D16" s="17" t="str">
        <v>failed</v>
      </c>
      <c r="E16" s="5">
        <v>2</v>
      </c>
      <c r="F16" s="88" t="str">
        <v>canceled</v>
      </c>
      <c r="G16" s="5">
        <v>1065</v>
      </c>
      <c r="N16" s="31"/>
      <c r="O16" s="31"/>
    </row>
    <row r="17" spans="1:15" x14ac:dyDescent="0.2">
      <c r="A17" s="16" t="str">
        <v>successful</v>
      </c>
      <c r="B17" s="5">
        <v>10850</v>
      </c>
      <c r="D17" s="17" t="str">
        <v>failed</v>
      </c>
      <c r="E17" s="5">
        <v>145243</v>
      </c>
      <c r="F17" s="88" t="str">
        <v>canceled</v>
      </c>
      <c r="G17" s="5">
        <v>3087</v>
      </c>
      <c r="N17" s="31"/>
      <c r="O17" s="31"/>
    </row>
    <row r="18" spans="1:15" x14ac:dyDescent="0.2">
      <c r="A18" s="16" t="str">
        <v>successful</v>
      </c>
      <c r="B18" s="5">
        <v>189666</v>
      </c>
      <c r="D18" s="17" t="str">
        <v>failed</v>
      </c>
      <c r="E18" s="5">
        <v>2459</v>
      </c>
      <c r="F18" s="88" t="str">
        <v>canceled</v>
      </c>
      <c r="G18" s="5">
        <v>3251</v>
      </c>
      <c r="N18" s="31"/>
      <c r="O18" s="31"/>
    </row>
    <row r="19" spans="1:15" x14ac:dyDescent="0.2">
      <c r="A19" s="16" t="str">
        <v>successful</v>
      </c>
      <c r="B19" s="5">
        <v>14025</v>
      </c>
      <c r="D19" s="17" t="str">
        <v>failed</v>
      </c>
      <c r="E19" s="5">
        <v>5392</v>
      </c>
      <c r="F19" s="88" t="str">
        <v>canceled</v>
      </c>
      <c r="G19" s="5">
        <v>108974</v>
      </c>
    </row>
    <row r="20" spans="1:15" x14ac:dyDescent="0.2">
      <c r="A20" s="16" t="str">
        <v>successful</v>
      </c>
      <c r="B20" s="5">
        <v>188628</v>
      </c>
      <c r="D20" s="17" t="str">
        <v>failed</v>
      </c>
      <c r="E20" s="5">
        <v>184750</v>
      </c>
      <c r="F20" s="88" t="str">
        <v>canceled</v>
      </c>
      <c r="G20" s="5">
        <v>12938</v>
      </c>
    </row>
    <row r="21" spans="1:15" x14ac:dyDescent="0.2">
      <c r="A21" s="16" t="str">
        <v>successful</v>
      </c>
      <c r="B21" s="5">
        <v>1101</v>
      </c>
      <c r="D21" s="17" t="str">
        <v>failed</v>
      </c>
      <c r="E21" s="5">
        <v>557</v>
      </c>
      <c r="F21" s="88" t="str">
        <v>canceled</v>
      </c>
      <c r="G21" s="5">
        <v>173191</v>
      </c>
    </row>
    <row r="22" spans="1:15" x14ac:dyDescent="0.2">
      <c r="A22" s="16" t="str">
        <v>successful</v>
      </c>
      <c r="B22" s="5">
        <v>11339</v>
      </c>
      <c r="D22" s="17" t="str">
        <v>failed</v>
      </c>
      <c r="E22" s="5">
        <v>2734</v>
      </c>
      <c r="F22" s="88" t="str">
        <v>canceled</v>
      </c>
      <c r="G22" s="5">
        <v>903</v>
      </c>
    </row>
    <row r="23" spans="1:15" x14ac:dyDescent="0.2">
      <c r="A23" s="16" t="str">
        <v>successful</v>
      </c>
      <c r="B23" s="5">
        <v>10085</v>
      </c>
      <c r="D23" s="17" t="str">
        <v>failed</v>
      </c>
      <c r="E23" s="5">
        <v>1307</v>
      </c>
      <c r="F23" s="88" t="str">
        <v>canceled</v>
      </c>
      <c r="G23" s="5">
        <v>3232</v>
      </c>
    </row>
    <row r="24" spans="1:15" x14ac:dyDescent="0.2">
      <c r="A24" s="16" t="str">
        <v>successful</v>
      </c>
      <c r="B24" s="5">
        <v>14878</v>
      </c>
      <c r="D24" s="17" t="str">
        <v>failed</v>
      </c>
      <c r="E24" s="5">
        <v>95993</v>
      </c>
      <c r="F24" s="88" t="str">
        <v>canceled</v>
      </c>
      <c r="G24" s="5">
        <v>37754</v>
      </c>
    </row>
    <row r="25" spans="1:15" x14ac:dyDescent="0.2">
      <c r="A25" s="16" t="str">
        <v>successful</v>
      </c>
      <c r="B25" s="5">
        <v>11924</v>
      </c>
      <c r="D25" s="17" t="str">
        <v>failed</v>
      </c>
      <c r="E25" s="5">
        <v>4460</v>
      </c>
      <c r="F25" s="88" t="str">
        <v>canceled</v>
      </c>
      <c r="G25" s="5">
        <v>45831</v>
      </c>
    </row>
    <row r="26" spans="1:15" x14ac:dyDescent="0.2">
      <c r="A26" s="16" t="str">
        <v>successful</v>
      </c>
      <c r="B26" s="5">
        <v>7991</v>
      </c>
      <c r="D26" s="17" t="str">
        <v>failed</v>
      </c>
      <c r="E26" s="5">
        <v>40228</v>
      </c>
      <c r="F26" s="88" t="str">
        <v>canceled</v>
      </c>
      <c r="G26" s="5">
        <v>3260</v>
      </c>
    </row>
    <row r="27" spans="1:15" x14ac:dyDescent="0.2">
      <c r="A27" s="16" t="str">
        <v>successful</v>
      </c>
      <c r="B27" s="5">
        <v>167717</v>
      </c>
      <c r="D27" s="17" t="str">
        <v>failed</v>
      </c>
      <c r="E27" s="5">
        <v>39996</v>
      </c>
      <c r="F27" s="88" t="str">
        <v>canceled</v>
      </c>
      <c r="G27" s="5">
        <v>31123</v>
      </c>
    </row>
    <row r="28" spans="1:15" x14ac:dyDescent="0.2">
      <c r="A28" s="16" t="str">
        <v>successful</v>
      </c>
      <c r="B28" s="5">
        <v>10541</v>
      </c>
      <c r="D28" s="17" t="str">
        <v>failed</v>
      </c>
      <c r="E28" s="5">
        <v>123040</v>
      </c>
      <c r="F28" s="88" t="str">
        <v>canceled</v>
      </c>
      <c r="G28" s="5">
        <v>4</v>
      </c>
    </row>
    <row r="29" spans="1:15" x14ac:dyDescent="0.2">
      <c r="A29" s="16" t="str">
        <v>successful</v>
      </c>
      <c r="B29" s="5">
        <v>4247</v>
      </c>
      <c r="D29" s="17" t="str">
        <v>failed</v>
      </c>
      <c r="E29" s="5">
        <v>6132</v>
      </c>
      <c r="F29" s="88" t="str">
        <v>canceled</v>
      </c>
      <c r="G29" s="5">
        <v>4896</v>
      </c>
    </row>
    <row r="30" spans="1:15" x14ac:dyDescent="0.2">
      <c r="A30" s="16" t="str">
        <v>successful</v>
      </c>
      <c r="B30" s="5">
        <v>7129</v>
      </c>
      <c r="D30" s="17" t="str">
        <v>failed</v>
      </c>
      <c r="E30" s="5">
        <v>74688</v>
      </c>
      <c r="F30" s="88" t="str">
        <v>canceled</v>
      </c>
      <c r="G30" s="5">
        <v>1546</v>
      </c>
    </row>
    <row r="31" spans="1:15" x14ac:dyDescent="0.2">
      <c r="A31" s="16" t="str">
        <v>successful</v>
      </c>
      <c r="B31" s="5">
        <v>128862</v>
      </c>
      <c r="D31" s="17" t="str">
        <v>failed</v>
      </c>
      <c r="E31" s="5">
        <v>32951</v>
      </c>
      <c r="F31" s="88" t="str">
        <v>canceled</v>
      </c>
      <c r="G31" s="5">
        <v>1136</v>
      </c>
    </row>
    <row r="32" spans="1:15" x14ac:dyDescent="0.2">
      <c r="A32" s="16" t="str">
        <v>successful</v>
      </c>
      <c r="B32" s="5">
        <v>13653</v>
      </c>
      <c r="D32" s="17" t="str">
        <v>failed</v>
      </c>
      <c r="E32" s="5">
        <v>1</v>
      </c>
      <c r="F32" s="88" t="str">
        <v>canceled</v>
      </c>
      <c r="G32" s="5">
        <v>5973</v>
      </c>
    </row>
    <row r="33" spans="1:7" x14ac:dyDescent="0.2">
      <c r="A33" s="16" t="str">
        <v>successful</v>
      </c>
      <c r="B33" s="5">
        <v>12356</v>
      </c>
      <c r="D33" s="17" t="str">
        <v>failed</v>
      </c>
      <c r="E33" s="5">
        <v>2461</v>
      </c>
      <c r="F33" s="88" t="str">
        <v>canceled</v>
      </c>
      <c r="G33" s="5">
        <v>92824</v>
      </c>
    </row>
    <row r="34" spans="1:7" x14ac:dyDescent="0.2">
      <c r="A34" s="16" t="str">
        <v>successful</v>
      </c>
      <c r="B34" s="5">
        <v>11746</v>
      </c>
      <c r="D34" s="17" t="str">
        <v>failed</v>
      </c>
      <c r="E34" s="5">
        <v>3079</v>
      </c>
      <c r="F34" s="88" t="str">
        <v>canceled</v>
      </c>
      <c r="G34" s="5">
        <v>62174</v>
      </c>
    </row>
    <row r="35" spans="1:7" x14ac:dyDescent="0.2">
      <c r="A35" s="16" t="str">
        <v>successful</v>
      </c>
      <c r="B35" s="5">
        <v>11493</v>
      </c>
      <c r="D35" s="17" t="str">
        <v>failed</v>
      </c>
      <c r="E35" s="5">
        <v>21307</v>
      </c>
      <c r="F35" s="88" t="str">
        <v>canceled</v>
      </c>
      <c r="G35" s="5">
        <v>31594</v>
      </c>
    </row>
    <row r="36" spans="1:7" x14ac:dyDescent="0.2">
      <c r="A36" s="16" t="str">
        <v>successful</v>
      </c>
      <c r="B36" s="5">
        <v>6243</v>
      </c>
      <c r="D36" s="17" t="str">
        <v>failed</v>
      </c>
      <c r="E36" s="5">
        <v>145382</v>
      </c>
      <c r="F36" s="88" t="str">
        <v>canceled</v>
      </c>
      <c r="G36" s="5">
        <v>1985</v>
      </c>
    </row>
    <row r="37" spans="1:7" x14ac:dyDescent="0.2">
      <c r="A37" s="16" t="str">
        <v>successful</v>
      </c>
      <c r="B37" s="5">
        <v>6132</v>
      </c>
      <c r="D37" s="17" t="str">
        <v>failed</v>
      </c>
      <c r="E37" s="5">
        <v>6336</v>
      </c>
      <c r="F37" s="88" t="str">
        <v>canceled</v>
      </c>
      <c r="G37" s="5">
        <v>57250</v>
      </c>
    </row>
    <row r="38" spans="1:7" x14ac:dyDescent="0.2">
      <c r="A38" s="16" t="str">
        <v>successful</v>
      </c>
      <c r="B38" s="5">
        <v>3851</v>
      </c>
      <c r="D38" s="17" t="str">
        <v>failed</v>
      </c>
      <c r="E38" s="5">
        <v>88055</v>
      </c>
      <c r="F38" s="88" t="str">
        <v>canceled</v>
      </c>
      <c r="G38" s="5">
        <v>17879</v>
      </c>
    </row>
    <row r="39" spans="1:7" x14ac:dyDescent="0.2">
      <c r="A39" s="16" t="str">
        <v>successful</v>
      </c>
      <c r="B39" s="5">
        <v>135997</v>
      </c>
      <c r="D39" s="17" t="str">
        <v>failed</v>
      </c>
      <c r="E39" s="5">
        <v>33092</v>
      </c>
      <c r="F39" s="88" t="str">
        <v>canceled</v>
      </c>
      <c r="G39" s="5">
        <v>3227</v>
      </c>
    </row>
    <row r="40" spans="1:7" x14ac:dyDescent="0.2">
      <c r="A40" s="16" t="str">
        <v>successful</v>
      </c>
      <c r="B40" s="5">
        <v>14452</v>
      </c>
      <c r="D40" s="17" t="str">
        <v>failed</v>
      </c>
      <c r="E40" s="5">
        <v>69617</v>
      </c>
      <c r="F40" s="88" t="str">
        <v>canceled</v>
      </c>
      <c r="G40" s="5">
        <v>5429</v>
      </c>
    </row>
    <row r="41" spans="1:7" x14ac:dyDescent="0.2">
      <c r="A41" s="16" t="str">
        <v>successful</v>
      </c>
      <c r="B41" s="5">
        <v>14405</v>
      </c>
      <c r="D41" s="17" t="str">
        <v>failed</v>
      </c>
      <c r="E41" s="5">
        <v>53067</v>
      </c>
      <c r="F41" s="88" t="str">
        <v>canceled</v>
      </c>
      <c r="G41" s="5">
        <v>48227</v>
      </c>
    </row>
    <row r="42" spans="1:7" x14ac:dyDescent="0.2">
      <c r="A42" s="16" t="str">
        <v>successful</v>
      </c>
      <c r="B42" s="5">
        <v>117892</v>
      </c>
      <c r="D42" s="17" t="str">
        <v>failed</v>
      </c>
      <c r="E42" s="5">
        <v>89288</v>
      </c>
      <c r="F42" s="88" t="str">
        <v>canceled</v>
      </c>
      <c r="G42" s="5">
        <v>7220</v>
      </c>
    </row>
    <row r="43" spans="1:7" x14ac:dyDescent="0.2">
      <c r="A43" s="16" t="str">
        <v>successful</v>
      </c>
      <c r="B43" s="5">
        <v>14508</v>
      </c>
      <c r="D43" s="17" t="str">
        <v>failed</v>
      </c>
      <c r="E43" s="5">
        <v>5488</v>
      </c>
      <c r="F43" s="88" t="str">
        <v>canceled</v>
      </c>
      <c r="G43" s="5">
        <v>2533</v>
      </c>
    </row>
    <row r="44" spans="1:7" x14ac:dyDescent="0.2">
      <c r="A44" s="16" t="str">
        <v>successful</v>
      </c>
      <c r="B44" s="5">
        <v>158389</v>
      </c>
      <c r="D44" s="17" t="str">
        <v>failed</v>
      </c>
      <c r="E44" s="5">
        <v>9216</v>
      </c>
      <c r="F44" s="88" t="str">
        <v>canceled</v>
      </c>
      <c r="G44" s="5">
        <v>68137</v>
      </c>
    </row>
    <row r="45" spans="1:7" x14ac:dyDescent="0.2">
      <c r="A45" s="16" t="str">
        <v>successful</v>
      </c>
      <c r="B45" s="5">
        <v>6484</v>
      </c>
      <c r="D45" s="17" t="str">
        <v>failed</v>
      </c>
      <c r="E45" s="5">
        <v>19246</v>
      </c>
      <c r="F45" s="88" t="str">
        <v>canceled</v>
      </c>
      <c r="G45" s="5">
        <v>5362</v>
      </c>
    </row>
    <row r="46" spans="1:7" x14ac:dyDescent="0.2">
      <c r="A46" s="16" t="str">
        <v>successful</v>
      </c>
      <c r="B46" s="5">
        <v>4022</v>
      </c>
      <c r="D46" s="17" t="str">
        <v>failed</v>
      </c>
      <c r="E46" s="5">
        <v>1</v>
      </c>
      <c r="F46" s="88" t="str">
        <v>canceled</v>
      </c>
      <c r="G46" s="5">
        <v>2769</v>
      </c>
    </row>
    <row r="47" spans="1:7" x14ac:dyDescent="0.2">
      <c r="A47" s="16" t="str">
        <v>successful</v>
      </c>
      <c r="B47" s="5">
        <v>9253</v>
      </c>
      <c r="D47" s="17" t="str">
        <v>failed</v>
      </c>
      <c r="E47" s="5">
        <v>88037</v>
      </c>
      <c r="F47" s="88" t="str">
        <v>canceled</v>
      </c>
      <c r="G47" s="5">
        <v>4414</v>
      </c>
    </row>
    <row r="48" spans="1:7" x14ac:dyDescent="0.2">
      <c r="A48" s="16" t="str">
        <v>successful</v>
      </c>
      <c r="B48" s="5">
        <v>4776</v>
      </c>
      <c r="D48" s="17" t="str">
        <v>failed</v>
      </c>
      <c r="E48" s="5">
        <v>176112</v>
      </c>
      <c r="F48" s="88" t="str">
        <v>canceled</v>
      </c>
      <c r="G48" s="5">
        <v>56774</v>
      </c>
    </row>
    <row r="49" spans="1:7" x14ac:dyDescent="0.2">
      <c r="A49" s="16" t="str">
        <v>successful</v>
      </c>
      <c r="B49" s="5">
        <v>14606</v>
      </c>
      <c r="D49" s="17" t="str">
        <v>failed</v>
      </c>
      <c r="E49" s="5">
        <v>100650</v>
      </c>
      <c r="F49" s="88" t="str">
        <v>canceled</v>
      </c>
      <c r="G49" s="5">
        <v>8747</v>
      </c>
    </row>
    <row r="50" spans="1:7" x14ac:dyDescent="0.2">
      <c r="A50" s="16" t="str">
        <v>successful</v>
      </c>
      <c r="B50" s="5">
        <v>13536</v>
      </c>
      <c r="D50" s="17" t="str">
        <v>failed</v>
      </c>
      <c r="E50" s="5">
        <v>90706</v>
      </c>
      <c r="F50" s="88" t="str">
        <v>canceled</v>
      </c>
      <c r="G50" s="5">
        <v>79045</v>
      </c>
    </row>
    <row r="51" spans="1:7" x14ac:dyDescent="0.2">
      <c r="A51" s="16" t="str">
        <v>successful</v>
      </c>
      <c r="B51" s="5">
        <v>7012</v>
      </c>
      <c r="D51" s="17" t="str">
        <v>failed</v>
      </c>
      <c r="E51" s="5">
        <v>2212</v>
      </c>
      <c r="F51" s="88" t="str">
        <v>canceled</v>
      </c>
      <c r="G51" s="5">
        <v>30215</v>
      </c>
    </row>
    <row r="52" spans="1:7" x14ac:dyDescent="0.2">
      <c r="A52" s="16" t="str">
        <v>successful</v>
      </c>
      <c r="B52" s="5">
        <v>37857</v>
      </c>
      <c r="D52" s="17" t="str">
        <v>failed</v>
      </c>
      <c r="E52" s="5">
        <v>4300</v>
      </c>
      <c r="F52" s="88" t="str">
        <v>canceled</v>
      </c>
      <c r="G52" s="5">
        <v>84891</v>
      </c>
    </row>
    <row r="53" spans="1:7" x14ac:dyDescent="0.2">
      <c r="A53" s="16" t="str">
        <v>successful</v>
      </c>
      <c r="B53" s="5">
        <v>14973</v>
      </c>
      <c r="D53" s="17" t="str">
        <v>failed</v>
      </c>
      <c r="E53" s="5">
        <v>40107</v>
      </c>
      <c r="F53" s="88" t="str">
        <v>canceled</v>
      </c>
      <c r="G53" s="5">
        <v>5918</v>
      </c>
    </row>
    <row r="54" spans="1:7" x14ac:dyDescent="0.2">
      <c r="A54" s="16" t="str">
        <v>successful</v>
      </c>
      <c r="B54" s="5">
        <v>41564</v>
      </c>
      <c r="D54" s="17" t="str">
        <v>failed</v>
      </c>
      <c r="E54" s="5">
        <v>5528</v>
      </c>
      <c r="F54" s="88" t="str">
        <v>canceled</v>
      </c>
      <c r="G54" s="5">
        <v>101987</v>
      </c>
    </row>
    <row r="55" spans="1:7" x14ac:dyDescent="0.2">
      <c r="A55" s="16" t="str">
        <v>successful</v>
      </c>
      <c r="B55" s="5">
        <v>6430</v>
      </c>
      <c r="D55" s="17" t="str">
        <v>failed</v>
      </c>
      <c r="E55" s="5">
        <v>521</v>
      </c>
      <c r="F55" s="88" t="str">
        <v>canceled</v>
      </c>
      <c r="G55" s="5">
        <v>7608</v>
      </c>
    </row>
    <row r="56" spans="1:7" x14ac:dyDescent="0.2">
      <c r="A56" s="16" t="str">
        <v>successful</v>
      </c>
      <c r="B56" s="5">
        <v>12405</v>
      </c>
      <c r="D56" s="17" t="str">
        <v>failed</v>
      </c>
      <c r="E56" s="5">
        <v>663</v>
      </c>
      <c r="F56" s="88" t="str">
        <v>canceled</v>
      </c>
      <c r="G56" s="5">
        <v>4603</v>
      </c>
    </row>
    <row r="57" spans="1:7" x14ac:dyDescent="0.2">
      <c r="A57" s="16" t="str">
        <v>successful</v>
      </c>
      <c r="B57" s="5">
        <v>12516</v>
      </c>
      <c r="D57" s="17" t="str">
        <v>failed</v>
      </c>
      <c r="E57" s="5">
        <v>47459</v>
      </c>
      <c r="F57" s="88" t="str">
        <v>canceled</v>
      </c>
      <c r="G57" s="5">
        <v>62819</v>
      </c>
    </row>
    <row r="58" spans="1:7" x14ac:dyDescent="0.2">
      <c r="A58" s="16" t="str">
        <v>successful</v>
      </c>
      <c r="B58" s="5">
        <v>8588</v>
      </c>
      <c r="D58" s="17" t="str">
        <v>failed</v>
      </c>
      <c r="E58" s="5">
        <v>86060</v>
      </c>
    </row>
    <row r="59" spans="1:7" x14ac:dyDescent="0.2">
      <c r="A59" s="16" t="str">
        <v>successful</v>
      </c>
      <c r="B59" s="5">
        <v>51775</v>
      </c>
      <c r="D59" s="17" t="str">
        <v>failed</v>
      </c>
      <c r="E59" s="5">
        <v>6927</v>
      </c>
    </row>
    <row r="60" spans="1:7" x14ac:dyDescent="0.2">
      <c r="A60" s="16" t="str">
        <v>successful</v>
      </c>
      <c r="B60" s="5">
        <v>8807</v>
      </c>
      <c r="D60" s="17" t="str">
        <v>failed</v>
      </c>
      <c r="E60" s="5">
        <v>5315</v>
      </c>
    </row>
    <row r="61" spans="1:7" x14ac:dyDescent="0.2">
      <c r="A61" s="16" t="str">
        <v>successful</v>
      </c>
      <c r="B61" s="5">
        <v>1017</v>
      </c>
      <c r="D61" s="17" t="str">
        <v>failed</v>
      </c>
      <c r="E61" s="5">
        <v>3525</v>
      </c>
    </row>
    <row r="62" spans="1:7" x14ac:dyDescent="0.2">
      <c r="A62" s="16" t="str">
        <v>successful</v>
      </c>
      <c r="B62" s="5">
        <v>151513</v>
      </c>
      <c r="D62" s="17" t="str">
        <v>failed</v>
      </c>
      <c r="E62" s="5">
        <v>718</v>
      </c>
    </row>
    <row r="63" spans="1:7" x14ac:dyDescent="0.2">
      <c r="A63" s="16" t="str">
        <v>successful</v>
      </c>
      <c r="B63" s="5">
        <v>12047</v>
      </c>
      <c r="D63" s="17" t="str">
        <v>failed</v>
      </c>
      <c r="E63" s="5">
        <v>28358</v>
      </c>
    </row>
    <row r="64" spans="1:7" x14ac:dyDescent="0.2">
      <c r="A64" s="16" t="str">
        <v>successful</v>
      </c>
      <c r="B64" s="5">
        <v>14951</v>
      </c>
      <c r="D64" s="17" t="str">
        <v>failed</v>
      </c>
      <c r="E64" s="5">
        <v>2625</v>
      </c>
    </row>
    <row r="65" spans="1:5" x14ac:dyDescent="0.2">
      <c r="A65" s="16" t="str">
        <v>successful</v>
      </c>
      <c r="B65" s="5">
        <v>9193</v>
      </c>
      <c r="D65" s="17" t="str">
        <v>failed</v>
      </c>
      <c r="E65" s="5">
        <v>2538</v>
      </c>
    </row>
    <row r="66" spans="1:5" x14ac:dyDescent="0.2">
      <c r="A66" s="16" t="str">
        <v>successful</v>
      </c>
      <c r="B66" s="5">
        <v>10422</v>
      </c>
      <c r="D66" s="17" t="str">
        <v>failed</v>
      </c>
      <c r="E66" s="5">
        <v>3188</v>
      </c>
    </row>
    <row r="67" spans="1:5" x14ac:dyDescent="0.2">
      <c r="A67" s="16" t="str">
        <v>successful</v>
      </c>
      <c r="B67" s="5">
        <v>170623</v>
      </c>
      <c r="D67" s="17" t="str">
        <v>failed</v>
      </c>
      <c r="E67" s="5">
        <v>8517</v>
      </c>
    </row>
    <row r="68" spans="1:5" x14ac:dyDescent="0.2">
      <c r="A68" s="16" t="str">
        <v>successful</v>
      </c>
      <c r="B68" s="5">
        <v>9829</v>
      </c>
      <c r="D68" s="17" t="str">
        <v>failed</v>
      </c>
      <c r="E68" s="5">
        <v>3012</v>
      </c>
    </row>
    <row r="69" spans="1:5" x14ac:dyDescent="0.2">
      <c r="A69" s="16" t="str">
        <v>successful</v>
      </c>
      <c r="B69" s="5">
        <v>14006</v>
      </c>
      <c r="D69" s="17" t="str">
        <v>failed</v>
      </c>
      <c r="E69" s="5">
        <v>5178</v>
      </c>
    </row>
    <row r="70" spans="1:5" x14ac:dyDescent="0.2">
      <c r="A70" s="16" t="str">
        <v>successful</v>
      </c>
      <c r="B70" s="5">
        <v>6527</v>
      </c>
      <c r="D70" s="17" t="str">
        <v>failed</v>
      </c>
      <c r="E70" s="5">
        <v>6041</v>
      </c>
    </row>
    <row r="71" spans="1:5" x14ac:dyDescent="0.2">
      <c r="A71" s="16" t="str">
        <v>successful</v>
      </c>
      <c r="B71" s="5">
        <v>8929</v>
      </c>
      <c r="D71" s="17" t="str">
        <v>failed</v>
      </c>
      <c r="E71" s="5">
        <v>968</v>
      </c>
    </row>
    <row r="72" spans="1:5" x14ac:dyDescent="0.2">
      <c r="A72" s="16" t="str">
        <v>successful</v>
      </c>
      <c r="B72" s="5">
        <v>73653</v>
      </c>
      <c r="D72" s="17" t="str">
        <v>failed</v>
      </c>
      <c r="E72" s="5">
        <v>2</v>
      </c>
    </row>
    <row r="73" spans="1:5" x14ac:dyDescent="0.2">
      <c r="A73" s="16" t="str">
        <v>successful</v>
      </c>
      <c r="B73" s="5">
        <v>12635</v>
      </c>
      <c r="D73" s="17" t="str">
        <v>failed</v>
      </c>
      <c r="E73" s="5">
        <v>2529</v>
      </c>
    </row>
    <row r="74" spans="1:5" x14ac:dyDescent="0.2">
      <c r="A74" s="16" t="str">
        <v>successful</v>
      </c>
      <c r="B74" s="5">
        <v>12437</v>
      </c>
      <c r="D74" s="17" t="str">
        <v>failed</v>
      </c>
      <c r="E74" s="5">
        <v>6338</v>
      </c>
    </row>
    <row r="75" spans="1:5" x14ac:dyDescent="0.2">
      <c r="A75" s="16" t="str">
        <v>successful</v>
      </c>
      <c r="B75" s="5">
        <v>13816</v>
      </c>
      <c r="D75" s="17" t="str">
        <v>failed</v>
      </c>
      <c r="E75" s="5">
        <v>99100</v>
      </c>
    </row>
    <row r="76" spans="1:5" x14ac:dyDescent="0.2">
      <c r="A76" s="16" t="str">
        <v>successful</v>
      </c>
      <c r="B76" s="5">
        <v>8523</v>
      </c>
      <c r="D76" s="17" t="str">
        <v>failed</v>
      </c>
      <c r="E76" s="5">
        <v>6024</v>
      </c>
    </row>
    <row r="77" spans="1:5" x14ac:dyDescent="0.2">
      <c r="A77" s="16" t="str">
        <v>successful</v>
      </c>
      <c r="B77" s="5">
        <v>6351</v>
      </c>
      <c r="D77" s="17" t="str">
        <v>failed</v>
      </c>
      <c r="E77" s="5">
        <v>57911</v>
      </c>
    </row>
    <row r="78" spans="1:5" x14ac:dyDescent="0.2">
      <c r="A78" s="16" t="str">
        <v>successful</v>
      </c>
      <c r="B78" s="5">
        <v>10748</v>
      </c>
      <c r="D78" s="17" t="str">
        <v>failed</v>
      </c>
      <c r="E78" s="5">
        <v>667</v>
      </c>
    </row>
    <row r="79" spans="1:5" x14ac:dyDescent="0.2">
      <c r="A79" s="16" t="str">
        <v>successful</v>
      </c>
      <c r="B79" s="5">
        <v>112272</v>
      </c>
      <c r="D79" s="17" t="str">
        <v>failed</v>
      </c>
      <c r="E79" s="5">
        <v>119830</v>
      </c>
    </row>
    <row r="80" spans="1:5" x14ac:dyDescent="0.2">
      <c r="A80" s="16" t="str">
        <v>successful</v>
      </c>
      <c r="B80" s="5">
        <v>99361</v>
      </c>
      <c r="D80" s="17" t="str">
        <v>failed</v>
      </c>
      <c r="E80" s="5">
        <v>81897</v>
      </c>
    </row>
    <row r="81" spans="1:5" x14ac:dyDescent="0.2">
      <c r="A81" s="16" t="str">
        <v>successful</v>
      </c>
      <c r="B81" s="5">
        <v>9562</v>
      </c>
      <c r="D81" s="17" t="str">
        <v>failed</v>
      </c>
      <c r="E81" s="5">
        <v>3589</v>
      </c>
    </row>
    <row r="82" spans="1:5" x14ac:dyDescent="0.2">
      <c r="A82" s="16" t="str">
        <v>successful</v>
      </c>
      <c r="B82" s="5">
        <v>8475</v>
      </c>
      <c r="D82" s="17" t="str">
        <v>failed</v>
      </c>
      <c r="E82" s="5">
        <v>4323</v>
      </c>
    </row>
    <row r="83" spans="1:5" x14ac:dyDescent="0.2">
      <c r="A83" s="16" t="str">
        <v>successful</v>
      </c>
      <c r="B83" s="5">
        <v>14925</v>
      </c>
      <c r="D83" s="17" t="str">
        <v>failed</v>
      </c>
      <c r="E83" s="5">
        <v>3127</v>
      </c>
    </row>
    <row r="84" spans="1:5" x14ac:dyDescent="0.2">
      <c r="A84" s="16" t="str">
        <v>successful</v>
      </c>
      <c r="B84" s="5">
        <v>166116</v>
      </c>
      <c r="D84" s="17" t="str">
        <v>failed</v>
      </c>
      <c r="E84" s="5">
        <v>3</v>
      </c>
    </row>
    <row r="85" spans="1:5" x14ac:dyDescent="0.2">
      <c r="A85" s="16" t="str">
        <v>successful</v>
      </c>
      <c r="B85" s="5">
        <v>3834</v>
      </c>
      <c r="D85" s="17" t="str">
        <v>failed</v>
      </c>
      <c r="E85" s="5">
        <v>3840</v>
      </c>
    </row>
    <row r="86" spans="1:5" x14ac:dyDescent="0.2">
      <c r="A86" s="16" t="str">
        <v>successful</v>
      </c>
      <c r="B86" s="5">
        <v>13985</v>
      </c>
      <c r="D86" s="17" t="str">
        <v>failed</v>
      </c>
      <c r="E86" s="5">
        <v>108161</v>
      </c>
    </row>
    <row r="87" spans="1:5" x14ac:dyDescent="0.2">
      <c r="A87" s="16" t="str">
        <v>successful</v>
      </c>
      <c r="B87" s="5">
        <v>4712</v>
      </c>
      <c r="D87" s="17" t="str">
        <v>failed</v>
      </c>
      <c r="E87" s="5">
        <v>959</v>
      </c>
    </row>
    <row r="88" spans="1:5" x14ac:dyDescent="0.2">
      <c r="A88" s="16" t="str">
        <v>successful</v>
      </c>
      <c r="B88" s="5">
        <v>12274</v>
      </c>
      <c r="D88" s="17" t="str">
        <v>failed</v>
      </c>
      <c r="E88" s="5">
        <v>26303</v>
      </c>
    </row>
    <row r="89" spans="1:5" x14ac:dyDescent="0.2">
      <c r="A89" s="16" t="str">
        <v>successful</v>
      </c>
      <c r="B89" s="5">
        <v>65323</v>
      </c>
      <c r="D89" s="17" t="str">
        <v>failed</v>
      </c>
      <c r="E89" s="5">
        <v>85902</v>
      </c>
    </row>
    <row r="90" spans="1:5" x14ac:dyDescent="0.2">
      <c r="A90" s="16" t="str">
        <v>successful</v>
      </c>
      <c r="B90" s="5">
        <v>11502</v>
      </c>
      <c r="D90" s="17" t="str">
        <v>failed</v>
      </c>
      <c r="E90" s="5">
        <v>773</v>
      </c>
    </row>
    <row r="91" spans="1:5" x14ac:dyDescent="0.2">
      <c r="A91" s="16" t="str">
        <v>successful</v>
      </c>
      <c r="B91" s="5">
        <v>7322</v>
      </c>
      <c r="D91" s="17" t="str">
        <v>failed</v>
      </c>
      <c r="E91" s="5">
        <v>5324</v>
      </c>
    </row>
    <row r="92" spans="1:5" x14ac:dyDescent="0.2">
      <c r="A92" s="16" t="str">
        <v>successful</v>
      </c>
      <c r="B92" s="5">
        <v>11619</v>
      </c>
      <c r="D92" s="17" t="str">
        <v>failed</v>
      </c>
      <c r="E92" s="5">
        <v>150552</v>
      </c>
    </row>
    <row r="93" spans="1:5" x14ac:dyDescent="0.2">
      <c r="A93" s="16" t="str">
        <v>successful</v>
      </c>
      <c r="B93" s="5">
        <v>59128</v>
      </c>
      <c r="D93" s="17" t="str">
        <v>failed</v>
      </c>
      <c r="E93" s="5">
        <v>1517</v>
      </c>
    </row>
    <row r="94" spans="1:5" x14ac:dyDescent="0.2">
      <c r="A94" s="16" t="str">
        <v>successful</v>
      </c>
      <c r="B94" s="5">
        <v>9337</v>
      </c>
      <c r="D94" s="17" t="str">
        <v>failed</v>
      </c>
      <c r="E94" s="5">
        <v>8153</v>
      </c>
    </row>
    <row r="95" spans="1:5" x14ac:dyDescent="0.2">
      <c r="A95" s="16" t="str">
        <v>successful</v>
      </c>
      <c r="B95" s="5">
        <v>11255</v>
      </c>
      <c r="D95" s="17" t="str">
        <v>failed</v>
      </c>
      <c r="E95" s="5">
        <v>5476</v>
      </c>
    </row>
    <row r="96" spans="1:5" x14ac:dyDescent="0.2">
      <c r="A96" s="16" t="str">
        <v>successful</v>
      </c>
      <c r="B96" s="5">
        <v>13632</v>
      </c>
      <c r="D96" s="17" t="str">
        <v>failed</v>
      </c>
      <c r="E96" s="5">
        <v>91722</v>
      </c>
    </row>
    <row r="97" spans="1:5" x14ac:dyDescent="0.2">
      <c r="A97" s="16" t="str">
        <v>successful</v>
      </c>
      <c r="B97" s="5">
        <v>175573</v>
      </c>
      <c r="D97" s="17" t="str">
        <v>failed</v>
      </c>
      <c r="E97" s="5">
        <v>717</v>
      </c>
    </row>
    <row r="98" spans="1:5" x14ac:dyDescent="0.2">
      <c r="A98" s="16" t="str">
        <v>successful</v>
      </c>
      <c r="B98" s="5">
        <v>4640</v>
      </c>
      <c r="D98" s="17" t="str">
        <v>failed</v>
      </c>
      <c r="E98" s="5">
        <v>68769</v>
      </c>
    </row>
    <row r="99" spans="1:5" x14ac:dyDescent="0.2">
      <c r="A99" s="16" t="str">
        <v>successful</v>
      </c>
      <c r="B99" s="5">
        <v>191222</v>
      </c>
      <c r="D99" s="17" t="str">
        <v>failed</v>
      </c>
      <c r="E99" s="5">
        <v>3352</v>
      </c>
    </row>
    <row r="100" spans="1:5" x14ac:dyDescent="0.2">
      <c r="A100" s="16" t="str">
        <v>successful</v>
      </c>
      <c r="B100" s="5">
        <v>12985</v>
      </c>
      <c r="D100" s="17" t="str">
        <v>failed</v>
      </c>
      <c r="E100" s="5">
        <v>6785</v>
      </c>
    </row>
    <row r="101" spans="1:5" x14ac:dyDescent="0.2">
      <c r="A101" s="16" t="str">
        <v>successful</v>
      </c>
      <c r="B101" s="5">
        <v>9134</v>
      </c>
      <c r="D101" s="17" t="str">
        <v>failed</v>
      </c>
      <c r="E101" s="5">
        <v>1954</v>
      </c>
    </row>
    <row r="102" spans="1:5" x14ac:dyDescent="0.2">
      <c r="A102" s="16" t="str">
        <v>successful</v>
      </c>
      <c r="B102" s="5">
        <v>8864</v>
      </c>
      <c r="D102" s="17" t="str">
        <v>failed</v>
      </c>
      <c r="E102" s="5">
        <v>5</v>
      </c>
    </row>
    <row r="103" spans="1:5" x14ac:dyDescent="0.2">
      <c r="A103" s="16" t="str">
        <v>successful</v>
      </c>
      <c r="B103" s="5">
        <v>150755</v>
      </c>
      <c r="D103" s="17" t="str">
        <v>failed</v>
      </c>
      <c r="E103" s="5">
        <v>24234</v>
      </c>
    </row>
    <row r="104" spans="1:5" x14ac:dyDescent="0.2">
      <c r="A104" s="16" t="str">
        <v>successful</v>
      </c>
      <c r="B104" s="5">
        <v>110279</v>
      </c>
      <c r="D104" s="17" t="str">
        <v>failed</v>
      </c>
      <c r="E104" s="5">
        <v>2809</v>
      </c>
    </row>
    <row r="105" spans="1:5" x14ac:dyDescent="0.2">
      <c r="A105" s="16" t="str">
        <v>successful</v>
      </c>
      <c r="B105" s="5">
        <v>13439</v>
      </c>
      <c r="D105" s="17" t="str">
        <v>failed</v>
      </c>
      <c r="E105" s="5">
        <v>514</v>
      </c>
    </row>
    <row r="106" spans="1:5" x14ac:dyDescent="0.2">
      <c r="A106" s="16" t="str">
        <v>successful</v>
      </c>
      <c r="B106" s="5">
        <v>10804</v>
      </c>
      <c r="D106" s="17" t="str">
        <v>failed</v>
      </c>
      <c r="E106" s="5">
        <v>87560</v>
      </c>
    </row>
    <row r="107" spans="1:5" x14ac:dyDescent="0.2">
      <c r="A107" s="16" t="str">
        <v>successful</v>
      </c>
      <c r="B107" s="5">
        <v>98811</v>
      </c>
      <c r="D107" s="17" t="str">
        <v>failed</v>
      </c>
      <c r="E107" s="5">
        <v>1586</v>
      </c>
    </row>
    <row r="108" spans="1:5" x14ac:dyDescent="0.2">
      <c r="A108" s="16" t="str">
        <v>successful</v>
      </c>
      <c r="B108" s="5">
        <v>157635</v>
      </c>
      <c r="D108" s="17" t="str">
        <v>failed</v>
      </c>
      <c r="E108" s="5">
        <v>3220</v>
      </c>
    </row>
    <row r="109" spans="1:5" x14ac:dyDescent="0.2">
      <c r="A109" s="16" t="str">
        <v>successful</v>
      </c>
      <c r="B109" s="5">
        <v>5368</v>
      </c>
      <c r="D109" s="17" t="str">
        <v>failed</v>
      </c>
      <c r="E109" s="5">
        <v>6401</v>
      </c>
    </row>
    <row r="110" spans="1:5" x14ac:dyDescent="0.2">
      <c r="A110" s="16" t="str">
        <v>successful</v>
      </c>
      <c r="B110" s="5">
        <v>161593</v>
      </c>
      <c r="D110" s="17" t="str">
        <v>failed</v>
      </c>
      <c r="E110" s="5">
        <v>1269</v>
      </c>
    </row>
    <row r="111" spans="1:5" x14ac:dyDescent="0.2">
      <c r="A111" s="16" t="str">
        <v>successful</v>
      </c>
      <c r="B111" s="5">
        <v>159185</v>
      </c>
      <c r="D111" s="17" t="str">
        <v>failed</v>
      </c>
      <c r="E111" s="5">
        <v>903</v>
      </c>
    </row>
    <row r="112" spans="1:5" x14ac:dyDescent="0.2">
      <c r="A112" s="16" t="str">
        <v>successful</v>
      </c>
      <c r="B112" s="5">
        <v>172736</v>
      </c>
      <c r="D112" s="17" t="str">
        <v>failed</v>
      </c>
      <c r="E112" s="5">
        <v>8092</v>
      </c>
    </row>
    <row r="113" spans="1:5" x14ac:dyDescent="0.2">
      <c r="A113" s="16" t="str">
        <v>successful</v>
      </c>
      <c r="B113" s="5">
        <v>195750</v>
      </c>
      <c r="D113" s="17" t="str">
        <v>failed</v>
      </c>
      <c r="E113" s="5">
        <v>160422</v>
      </c>
    </row>
    <row r="114" spans="1:5" x14ac:dyDescent="0.2">
      <c r="A114" s="16" t="str">
        <v>successful</v>
      </c>
      <c r="B114" s="5">
        <v>10550</v>
      </c>
      <c r="D114" s="17" t="str">
        <v>failed</v>
      </c>
      <c r="E114" s="5">
        <v>2148</v>
      </c>
    </row>
    <row r="115" spans="1:5" x14ac:dyDescent="0.2">
      <c r="A115" s="16" t="str">
        <v>successful</v>
      </c>
      <c r="B115" s="5">
        <v>138384</v>
      </c>
      <c r="D115" s="17" t="str">
        <v>failed</v>
      </c>
      <c r="E115" s="5">
        <v>5897</v>
      </c>
    </row>
    <row r="116" spans="1:5" x14ac:dyDescent="0.2">
      <c r="A116" s="16" t="str">
        <v>successful</v>
      </c>
      <c r="B116" s="5">
        <v>8716</v>
      </c>
      <c r="D116" s="17" t="str">
        <v>failed</v>
      </c>
      <c r="E116" s="5">
        <v>3326</v>
      </c>
    </row>
    <row r="117" spans="1:5" x14ac:dyDescent="0.2">
      <c r="A117" s="16" t="str">
        <v>successful</v>
      </c>
      <c r="B117" s="5">
        <v>57157</v>
      </c>
      <c r="D117" s="17" t="str">
        <v>failed</v>
      </c>
      <c r="E117" s="5">
        <v>1002</v>
      </c>
    </row>
    <row r="118" spans="1:5" x14ac:dyDescent="0.2">
      <c r="A118" s="16" t="str">
        <v>successful</v>
      </c>
      <c r="B118" s="5">
        <v>163118</v>
      </c>
      <c r="D118" s="17" t="str">
        <v>failed</v>
      </c>
      <c r="E118" s="5">
        <v>68602</v>
      </c>
    </row>
    <row r="119" spans="1:5" x14ac:dyDescent="0.2">
      <c r="A119" s="16" t="str">
        <v>successful</v>
      </c>
      <c r="B119" s="5">
        <v>14305</v>
      </c>
      <c r="D119" s="17" t="str">
        <v>failed</v>
      </c>
      <c r="E119" s="5">
        <v>34964</v>
      </c>
    </row>
    <row r="120" spans="1:5" x14ac:dyDescent="0.2">
      <c r="A120" s="16" t="str">
        <v>successful</v>
      </c>
      <c r="B120" s="5">
        <v>193413</v>
      </c>
      <c r="D120" s="17" t="str">
        <v>failed</v>
      </c>
      <c r="E120" s="5">
        <v>96777</v>
      </c>
    </row>
    <row r="121" spans="1:5" x14ac:dyDescent="0.2">
      <c r="A121" s="16" t="str">
        <v>successful</v>
      </c>
      <c r="B121" s="5">
        <v>5614</v>
      </c>
      <c r="D121" s="17" t="str">
        <v>failed</v>
      </c>
      <c r="E121" s="5">
        <v>31864</v>
      </c>
    </row>
    <row r="122" spans="1:5" x14ac:dyDescent="0.2">
      <c r="A122" s="16" t="str">
        <v>successful</v>
      </c>
      <c r="B122" s="5">
        <v>4257</v>
      </c>
      <c r="D122" s="17" t="str">
        <v>failed</v>
      </c>
      <c r="E122" s="5">
        <v>4853</v>
      </c>
    </row>
    <row r="123" spans="1:5" x14ac:dyDescent="0.2">
      <c r="A123" s="16" t="str">
        <v>successful</v>
      </c>
      <c r="B123" s="5">
        <v>199110</v>
      </c>
      <c r="D123" s="17" t="str">
        <v>failed</v>
      </c>
      <c r="E123" s="5">
        <v>82959</v>
      </c>
    </row>
    <row r="124" spans="1:5" x14ac:dyDescent="0.2">
      <c r="A124" s="16" t="str">
        <v>successful</v>
      </c>
      <c r="B124" s="5">
        <v>12300</v>
      </c>
      <c r="D124" s="17" t="str">
        <v>failed</v>
      </c>
      <c r="E124" s="5">
        <v>23159</v>
      </c>
    </row>
    <row r="125" spans="1:5" x14ac:dyDescent="0.2">
      <c r="A125" s="16" t="str">
        <v>successful</v>
      </c>
      <c r="B125" s="5">
        <v>171549</v>
      </c>
      <c r="D125" s="17" t="str">
        <v>failed</v>
      </c>
      <c r="E125" s="5">
        <v>2758</v>
      </c>
    </row>
    <row r="126" spans="1:5" x14ac:dyDescent="0.2">
      <c r="A126" s="16" t="str">
        <v>successful</v>
      </c>
      <c r="B126" s="5">
        <v>14324</v>
      </c>
      <c r="D126" s="17" t="str">
        <v>failed</v>
      </c>
      <c r="E126" s="5">
        <v>142823</v>
      </c>
    </row>
    <row r="127" spans="1:5" x14ac:dyDescent="0.2">
      <c r="A127" s="16" t="str">
        <v>successful</v>
      </c>
      <c r="B127" s="5">
        <v>188721</v>
      </c>
      <c r="D127" s="17" t="str">
        <v>failed</v>
      </c>
      <c r="E127" s="5">
        <v>95958</v>
      </c>
    </row>
    <row r="128" spans="1:5" x14ac:dyDescent="0.2">
      <c r="A128" s="16" t="str">
        <v>successful</v>
      </c>
      <c r="B128" s="5">
        <v>12309</v>
      </c>
      <c r="D128" s="17" t="str">
        <v>failed</v>
      </c>
      <c r="E128" s="5">
        <v>5</v>
      </c>
    </row>
    <row r="129" spans="1:5" x14ac:dyDescent="0.2">
      <c r="A129" s="16" t="str">
        <v>successful</v>
      </c>
      <c r="B129" s="5">
        <v>138497</v>
      </c>
      <c r="D129" s="17" t="str">
        <v>failed</v>
      </c>
      <c r="E129" s="5">
        <v>977</v>
      </c>
    </row>
    <row r="130" spans="1:5" x14ac:dyDescent="0.2">
      <c r="A130" s="16" t="str">
        <v>successful</v>
      </c>
      <c r="B130" s="5">
        <v>6623</v>
      </c>
      <c r="D130" s="17" t="str">
        <v>failed</v>
      </c>
      <c r="E130" s="5">
        <v>3431</v>
      </c>
    </row>
    <row r="131" spans="1:5" x14ac:dyDescent="0.2">
      <c r="A131" s="16" t="str">
        <v>successful</v>
      </c>
      <c r="B131" s="5">
        <v>186885</v>
      </c>
      <c r="D131" s="17" t="str">
        <v>failed</v>
      </c>
      <c r="E131" s="5">
        <v>1146</v>
      </c>
    </row>
    <row r="132" spans="1:5" x14ac:dyDescent="0.2">
      <c r="A132" s="16" t="str">
        <v>successful</v>
      </c>
      <c r="B132" s="5">
        <v>176398</v>
      </c>
      <c r="D132" s="17" t="str">
        <v>failed</v>
      </c>
      <c r="E132" s="5">
        <v>1870</v>
      </c>
    </row>
    <row r="133" spans="1:5" x14ac:dyDescent="0.2">
      <c r="A133" s="16" t="str">
        <v>successful</v>
      </c>
      <c r="B133" s="5">
        <v>10999</v>
      </c>
      <c r="D133" s="17" t="str">
        <v>failed</v>
      </c>
      <c r="E133" s="5">
        <v>128410</v>
      </c>
    </row>
    <row r="134" spans="1:5" x14ac:dyDescent="0.2">
      <c r="A134" s="16" t="str">
        <v>successful</v>
      </c>
      <c r="B134" s="5">
        <v>102751</v>
      </c>
      <c r="D134" s="17" t="str">
        <v>failed</v>
      </c>
      <c r="E134" s="5">
        <v>22073</v>
      </c>
    </row>
    <row r="135" spans="1:5" x14ac:dyDescent="0.2">
      <c r="A135" s="16" t="str">
        <v>successful</v>
      </c>
      <c r="B135" s="5">
        <v>165352</v>
      </c>
      <c r="D135" s="17" t="str">
        <v>failed</v>
      </c>
      <c r="E135" s="5">
        <v>1479</v>
      </c>
    </row>
    <row r="136" spans="1:5" x14ac:dyDescent="0.2">
      <c r="A136" s="16" t="str">
        <v>successful</v>
      </c>
      <c r="B136" s="5">
        <v>165798</v>
      </c>
      <c r="D136" s="17" t="str">
        <v>failed</v>
      </c>
      <c r="E136" s="5">
        <v>5098</v>
      </c>
    </row>
    <row r="137" spans="1:5" x14ac:dyDescent="0.2">
      <c r="A137" s="16" t="str">
        <v>successful</v>
      </c>
      <c r="B137" s="5">
        <v>10084</v>
      </c>
      <c r="D137" s="17" t="str">
        <v>failed</v>
      </c>
      <c r="E137" s="5">
        <v>24882</v>
      </c>
    </row>
    <row r="138" spans="1:5" x14ac:dyDescent="0.2">
      <c r="A138" s="16" t="str">
        <v>successful</v>
      </c>
      <c r="B138" s="5">
        <v>5823</v>
      </c>
      <c r="D138" s="17" t="str">
        <v>failed</v>
      </c>
      <c r="E138" s="5">
        <v>2912</v>
      </c>
    </row>
    <row r="139" spans="1:5" x14ac:dyDescent="0.2">
      <c r="A139" s="16" t="str">
        <v>successful</v>
      </c>
      <c r="B139" s="5">
        <v>6000</v>
      </c>
      <c r="D139" s="17" t="str">
        <v>failed</v>
      </c>
      <c r="E139" s="5">
        <v>5803</v>
      </c>
    </row>
    <row r="140" spans="1:5" x14ac:dyDescent="0.2">
      <c r="A140" s="16" t="str">
        <v>successful</v>
      </c>
      <c r="B140" s="5">
        <v>8181</v>
      </c>
      <c r="D140" s="17" t="str">
        <v>failed</v>
      </c>
      <c r="E140" s="5">
        <v>103554</v>
      </c>
    </row>
    <row r="141" spans="1:5" x14ac:dyDescent="0.2">
      <c r="A141" s="16" t="str">
        <v>successful</v>
      </c>
      <c r="B141" s="5">
        <v>14822</v>
      </c>
      <c r="D141" s="17" t="str">
        <v>failed</v>
      </c>
      <c r="E141" s="5">
        <v>42795</v>
      </c>
    </row>
    <row r="142" spans="1:5" x14ac:dyDescent="0.2">
      <c r="A142" s="16" t="str">
        <v>successful</v>
      </c>
      <c r="B142" s="5">
        <v>10138</v>
      </c>
      <c r="D142" s="17" t="str">
        <v>failed</v>
      </c>
      <c r="E142" s="5">
        <v>4393</v>
      </c>
    </row>
    <row r="143" spans="1:5" x14ac:dyDescent="0.2">
      <c r="A143" s="16" t="str">
        <v>successful</v>
      </c>
      <c r="B143" s="5">
        <v>123124</v>
      </c>
      <c r="D143" s="17" t="str">
        <v>failed</v>
      </c>
      <c r="E143" s="5">
        <v>67546</v>
      </c>
    </row>
    <row r="144" spans="1:5" x14ac:dyDescent="0.2">
      <c r="A144" s="16" t="str">
        <v>successful</v>
      </c>
      <c r="B144" s="5">
        <v>171729</v>
      </c>
      <c r="D144" s="17" t="str">
        <v>failed</v>
      </c>
      <c r="E144" s="5">
        <v>62127</v>
      </c>
    </row>
    <row r="145" spans="1:5" x14ac:dyDescent="0.2">
      <c r="A145" s="16" t="str">
        <v>successful</v>
      </c>
      <c r="B145" s="5">
        <v>10729</v>
      </c>
      <c r="D145" s="17" t="str">
        <v>failed</v>
      </c>
      <c r="E145" s="5">
        <v>2</v>
      </c>
    </row>
    <row r="146" spans="1:5" x14ac:dyDescent="0.2">
      <c r="A146" s="16" t="str">
        <v>successful</v>
      </c>
      <c r="B146" s="5">
        <v>10240</v>
      </c>
      <c r="D146" s="17" t="str">
        <v>failed</v>
      </c>
      <c r="E146" s="5">
        <v>2946</v>
      </c>
    </row>
    <row r="147" spans="1:5" x14ac:dyDescent="0.2">
      <c r="A147" s="16" t="str">
        <v>successful</v>
      </c>
      <c r="B147" s="5">
        <v>3988</v>
      </c>
      <c r="D147" s="17" t="str">
        <v>failed</v>
      </c>
      <c r="E147" s="5">
        <v>168820</v>
      </c>
    </row>
    <row r="148" spans="1:5" x14ac:dyDescent="0.2">
      <c r="A148" s="16" t="str">
        <v>successful</v>
      </c>
      <c r="B148" s="5">
        <v>14771</v>
      </c>
      <c r="D148" s="17" t="str">
        <v>failed</v>
      </c>
      <c r="E148" s="5">
        <v>26527</v>
      </c>
    </row>
    <row r="149" spans="1:5" x14ac:dyDescent="0.2">
      <c r="A149" s="16" t="str">
        <v>successful</v>
      </c>
      <c r="B149" s="5">
        <v>14649</v>
      </c>
      <c r="D149" s="17" t="str">
        <v>failed</v>
      </c>
      <c r="E149" s="5">
        <v>62804</v>
      </c>
    </row>
    <row r="150" spans="1:5" x14ac:dyDescent="0.2">
      <c r="A150" s="16" t="str">
        <v>successful</v>
      </c>
      <c r="B150" s="5">
        <v>184658</v>
      </c>
      <c r="D150" s="17" t="str">
        <v>failed</v>
      </c>
      <c r="E150" s="5">
        <v>159405</v>
      </c>
    </row>
    <row r="151" spans="1:5" x14ac:dyDescent="0.2">
      <c r="A151" s="16" t="str">
        <v>successful</v>
      </c>
      <c r="B151" s="5">
        <v>13103</v>
      </c>
      <c r="D151" s="17" t="str">
        <v>failed</v>
      </c>
      <c r="E151" s="5">
        <v>12552</v>
      </c>
    </row>
    <row r="152" spans="1:5" x14ac:dyDescent="0.2">
      <c r="A152" s="16" t="str">
        <v>successful</v>
      </c>
      <c r="B152" s="5">
        <v>168095</v>
      </c>
      <c r="D152" s="17" t="str">
        <v>failed</v>
      </c>
      <c r="E152" s="5">
        <v>59007</v>
      </c>
    </row>
    <row r="153" spans="1:5" x14ac:dyDescent="0.2">
      <c r="A153" s="16" t="str">
        <v>successful</v>
      </c>
      <c r="B153" s="5">
        <v>6263</v>
      </c>
      <c r="D153" s="17" t="str">
        <v>failed</v>
      </c>
      <c r="E153" s="5">
        <v>943</v>
      </c>
    </row>
    <row r="154" spans="1:5" x14ac:dyDescent="0.2">
      <c r="A154" s="16" t="str">
        <v>successful</v>
      </c>
      <c r="B154" s="5">
        <v>8505</v>
      </c>
      <c r="D154" s="17" t="str">
        <v>failed</v>
      </c>
      <c r="E154" s="5">
        <v>93963</v>
      </c>
    </row>
    <row r="155" spans="1:5" x14ac:dyDescent="0.2">
      <c r="A155" s="16" t="str">
        <v>successful</v>
      </c>
      <c r="B155" s="5">
        <v>96735</v>
      </c>
      <c r="D155" s="17" t="str">
        <v>failed</v>
      </c>
      <c r="E155" s="5">
        <v>6015</v>
      </c>
    </row>
    <row r="156" spans="1:5" x14ac:dyDescent="0.2">
      <c r="A156" s="16" t="str">
        <v>successful</v>
      </c>
      <c r="B156" s="5">
        <v>8322</v>
      </c>
      <c r="D156" s="17" t="str">
        <v>failed</v>
      </c>
      <c r="E156" s="5">
        <v>15723</v>
      </c>
    </row>
    <row r="157" spans="1:5" x14ac:dyDescent="0.2">
      <c r="A157" s="16" t="str">
        <v>successful</v>
      </c>
      <c r="B157" s="5">
        <v>13424</v>
      </c>
      <c r="D157" s="17" t="str">
        <v>failed</v>
      </c>
      <c r="E157" s="5">
        <v>2064</v>
      </c>
    </row>
    <row r="158" spans="1:5" x14ac:dyDescent="0.2">
      <c r="A158" s="16" t="str">
        <v>successful</v>
      </c>
      <c r="B158" s="5">
        <v>10755</v>
      </c>
      <c r="D158" s="17" t="str">
        <v>failed</v>
      </c>
      <c r="E158" s="5">
        <v>47037</v>
      </c>
    </row>
    <row r="159" spans="1:5" x14ac:dyDescent="0.2">
      <c r="A159" s="16" t="str">
        <v>successful</v>
      </c>
      <c r="B159" s="5">
        <v>9935</v>
      </c>
      <c r="D159" s="17" t="str">
        <v>failed</v>
      </c>
      <c r="E159" s="5">
        <v>5487</v>
      </c>
    </row>
    <row r="160" spans="1:5" x14ac:dyDescent="0.2">
      <c r="A160" s="16" t="str">
        <v>successful</v>
      </c>
      <c r="B160" s="5">
        <v>5328</v>
      </c>
      <c r="D160" s="17" t="str">
        <v>failed</v>
      </c>
      <c r="E160" s="5">
        <v>6369</v>
      </c>
    </row>
    <row r="161" spans="1:5" x14ac:dyDescent="0.2">
      <c r="A161" s="16" t="str">
        <v>successful</v>
      </c>
      <c r="B161" s="5">
        <v>10756</v>
      </c>
      <c r="D161" s="17" t="str">
        <v>failed</v>
      </c>
      <c r="E161" s="5">
        <v>65755</v>
      </c>
    </row>
    <row r="162" spans="1:5" x14ac:dyDescent="0.2">
      <c r="A162" s="16" t="str">
        <v>successful</v>
      </c>
      <c r="B162" s="5">
        <v>165375</v>
      </c>
      <c r="D162" s="17" t="str">
        <v>failed</v>
      </c>
      <c r="E162" s="5">
        <v>1744</v>
      </c>
    </row>
    <row r="163" spans="1:5" x14ac:dyDescent="0.2">
      <c r="A163" s="16" t="str">
        <v>successful</v>
      </c>
      <c r="B163" s="5">
        <v>6031</v>
      </c>
      <c r="D163" s="17" t="str">
        <v>failed</v>
      </c>
      <c r="E163" s="5">
        <v>5579</v>
      </c>
    </row>
    <row r="164" spans="1:5" x14ac:dyDescent="0.2">
      <c r="A164" s="16" t="str">
        <v>successful</v>
      </c>
      <c r="B164" s="5">
        <v>143910</v>
      </c>
      <c r="D164" s="17" t="str">
        <v>failed</v>
      </c>
      <c r="E164" s="5">
        <v>45384</v>
      </c>
    </row>
    <row r="165" spans="1:5" x14ac:dyDescent="0.2">
      <c r="A165" s="16" t="str">
        <v>successful</v>
      </c>
      <c r="B165" s="5">
        <v>2708</v>
      </c>
      <c r="D165" s="17" t="str">
        <v>failed</v>
      </c>
      <c r="E165" s="5">
        <v>4</v>
      </c>
    </row>
    <row r="166" spans="1:5" x14ac:dyDescent="0.2">
      <c r="A166" s="16" t="str">
        <v>successful</v>
      </c>
      <c r="B166" s="5">
        <v>8842</v>
      </c>
      <c r="D166" s="17" t="str">
        <v>failed</v>
      </c>
      <c r="E166" s="5">
        <v>3045</v>
      </c>
    </row>
    <row r="167" spans="1:5" x14ac:dyDescent="0.2">
      <c r="A167" s="16" t="str">
        <v>successful</v>
      </c>
      <c r="B167" s="5">
        <v>155349</v>
      </c>
      <c r="D167" s="17" t="str">
        <v>failed</v>
      </c>
      <c r="E167" s="5">
        <v>102749</v>
      </c>
    </row>
    <row r="168" spans="1:5" x14ac:dyDescent="0.2">
      <c r="A168" s="16" t="str">
        <v>successful</v>
      </c>
      <c r="B168" s="5">
        <v>10704</v>
      </c>
      <c r="D168" s="17" t="str">
        <v>failed</v>
      </c>
      <c r="E168" s="5">
        <v>1763</v>
      </c>
    </row>
    <row r="169" spans="1:5" x14ac:dyDescent="0.2">
      <c r="A169" s="16" t="str">
        <v>successful</v>
      </c>
      <c r="B169" s="5">
        <v>9419</v>
      </c>
      <c r="D169" s="17" t="str">
        <v>failed</v>
      </c>
      <c r="E169" s="5">
        <v>1332</v>
      </c>
    </row>
    <row r="170" spans="1:5" x14ac:dyDescent="0.2">
      <c r="A170" s="16" t="str">
        <v>successful</v>
      </c>
      <c r="B170" s="5">
        <v>7465</v>
      </c>
      <c r="D170" s="17" t="str">
        <v>failed</v>
      </c>
      <c r="E170" s="5">
        <v>5674</v>
      </c>
    </row>
    <row r="171" spans="1:5" x14ac:dyDescent="0.2">
      <c r="A171" s="16" t="str">
        <v>successful</v>
      </c>
      <c r="B171" s="5">
        <v>8799</v>
      </c>
      <c r="D171" s="17" t="str">
        <v>failed</v>
      </c>
      <c r="E171" s="5">
        <v>57734</v>
      </c>
    </row>
    <row r="172" spans="1:5" x14ac:dyDescent="0.2">
      <c r="A172" s="16" t="str">
        <v>successful</v>
      </c>
      <c r="B172" s="5">
        <v>13656</v>
      </c>
      <c r="D172" s="17" t="str">
        <v>failed</v>
      </c>
      <c r="E172" s="5">
        <v>1620</v>
      </c>
    </row>
    <row r="173" spans="1:5" x14ac:dyDescent="0.2">
      <c r="A173" s="16" t="str">
        <v>successful</v>
      </c>
      <c r="B173" s="5">
        <v>14536</v>
      </c>
      <c r="D173" s="17" t="str">
        <v>failed</v>
      </c>
      <c r="E173" s="5">
        <v>60342</v>
      </c>
    </row>
    <row r="174" spans="1:5" x14ac:dyDescent="0.2">
      <c r="A174" s="16" t="str">
        <v>successful</v>
      </c>
      <c r="B174" s="5">
        <v>9076</v>
      </c>
      <c r="D174" s="17" t="str">
        <v>failed</v>
      </c>
      <c r="E174" s="5">
        <v>57122</v>
      </c>
    </row>
    <row r="175" spans="1:5" x14ac:dyDescent="0.2">
      <c r="A175" s="16" t="str">
        <v>successful</v>
      </c>
      <c r="B175" s="5">
        <v>6357</v>
      </c>
      <c r="D175" s="17" t="str">
        <v>failed</v>
      </c>
      <c r="E175" s="5">
        <v>4613</v>
      </c>
    </row>
    <row r="176" spans="1:5" x14ac:dyDescent="0.2">
      <c r="A176" s="16" t="str">
        <v>successful</v>
      </c>
      <c r="B176" s="5">
        <v>13213</v>
      </c>
      <c r="D176" s="17" t="str">
        <v>failed</v>
      </c>
      <c r="E176" s="5">
        <v>159931</v>
      </c>
    </row>
    <row r="177" spans="1:5" x14ac:dyDescent="0.2">
      <c r="A177" s="16" t="str">
        <v>successful</v>
      </c>
      <c r="B177" s="5">
        <v>13474</v>
      </c>
      <c r="D177" s="17" t="str">
        <v>failed</v>
      </c>
      <c r="E177" s="5">
        <v>689</v>
      </c>
    </row>
    <row r="178" spans="1:5" x14ac:dyDescent="0.2">
      <c r="A178" s="16" t="str">
        <v>successful</v>
      </c>
      <c r="B178" s="5">
        <v>8219</v>
      </c>
      <c r="D178" s="17" t="str">
        <v>failed</v>
      </c>
      <c r="E178" s="5">
        <v>48236</v>
      </c>
    </row>
    <row r="179" spans="1:5" x14ac:dyDescent="0.2">
      <c r="A179" s="16" t="str">
        <v>successful</v>
      </c>
      <c r="B179" s="5">
        <v>8038</v>
      </c>
      <c r="D179" s="17" t="str">
        <v>failed</v>
      </c>
      <c r="E179" s="5">
        <v>27844</v>
      </c>
    </row>
    <row r="180" spans="1:5" x14ac:dyDescent="0.2">
      <c r="A180" s="16" t="str">
        <v>successful</v>
      </c>
      <c r="B180" s="5">
        <v>5037</v>
      </c>
      <c r="D180" s="17" t="str">
        <v>failed</v>
      </c>
      <c r="E180" s="5">
        <v>702</v>
      </c>
    </row>
    <row r="181" spans="1:5" x14ac:dyDescent="0.2">
      <c r="A181" s="16" t="str">
        <v>successful</v>
      </c>
      <c r="B181" s="5">
        <v>12102</v>
      </c>
      <c r="D181" s="17" t="str">
        <v>failed</v>
      </c>
      <c r="E181" s="5">
        <v>1667</v>
      </c>
    </row>
    <row r="182" spans="1:5" x14ac:dyDescent="0.2">
      <c r="A182" s="16" t="str">
        <v>successful</v>
      </c>
      <c r="B182" s="5">
        <v>11469</v>
      </c>
      <c r="D182" s="17" t="str">
        <v>failed</v>
      </c>
      <c r="E182" s="5">
        <v>3349</v>
      </c>
    </row>
    <row r="183" spans="1:5" x14ac:dyDescent="0.2">
      <c r="A183" s="16" t="str">
        <v>successful</v>
      </c>
      <c r="B183" s="5">
        <v>8014</v>
      </c>
      <c r="D183" s="17" t="str">
        <v>failed</v>
      </c>
      <c r="E183" s="5">
        <v>46317</v>
      </c>
    </row>
    <row r="184" spans="1:5" x14ac:dyDescent="0.2">
      <c r="A184" s="16" t="str">
        <v>successful</v>
      </c>
      <c r="B184" s="5">
        <v>43473</v>
      </c>
      <c r="D184" s="17" t="str">
        <v>failed</v>
      </c>
      <c r="E184" s="5">
        <v>78743</v>
      </c>
    </row>
    <row r="185" spans="1:5" x14ac:dyDescent="0.2">
      <c r="A185" s="16" t="str">
        <v>successful</v>
      </c>
      <c r="B185" s="5">
        <v>12812</v>
      </c>
      <c r="D185" s="17" t="str">
        <v>failed</v>
      </c>
      <c r="E185" s="5">
        <v>0</v>
      </c>
    </row>
    <row r="186" spans="1:5" x14ac:dyDescent="0.2">
      <c r="A186" s="16" t="str">
        <v>successful</v>
      </c>
      <c r="B186" s="5">
        <v>183345</v>
      </c>
      <c r="D186" s="17" t="str">
        <v>failed</v>
      </c>
      <c r="E186" s="5">
        <v>107743</v>
      </c>
    </row>
    <row r="187" spans="1:5" x14ac:dyDescent="0.2">
      <c r="A187" s="16" t="str">
        <v>successful</v>
      </c>
      <c r="B187" s="5">
        <v>8697</v>
      </c>
      <c r="D187" s="17" t="str">
        <v>failed</v>
      </c>
      <c r="E187" s="5">
        <v>6924</v>
      </c>
    </row>
    <row r="188" spans="1:5" x14ac:dyDescent="0.2">
      <c r="A188" s="16" t="str">
        <v>successful</v>
      </c>
      <c r="B188" s="5">
        <v>4126</v>
      </c>
      <c r="D188" s="17" t="str">
        <v>failed</v>
      </c>
      <c r="E188" s="5">
        <v>12497</v>
      </c>
    </row>
    <row r="189" spans="1:5" x14ac:dyDescent="0.2">
      <c r="A189" s="16" t="str">
        <v>successful</v>
      </c>
      <c r="B189" s="5">
        <v>196377</v>
      </c>
      <c r="D189" s="17" t="str">
        <v>failed</v>
      </c>
      <c r="E189" s="5">
        <v>837</v>
      </c>
    </row>
    <row r="190" spans="1:5" x14ac:dyDescent="0.2">
      <c r="A190" s="16" t="str">
        <v>successful</v>
      </c>
      <c r="B190" s="5">
        <v>11648</v>
      </c>
      <c r="D190" s="17" t="str">
        <v>failed</v>
      </c>
      <c r="E190" s="5">
        <v>119510</v>
      </c>
    </row>
    <row r="191" spans="1:5" x14ac:dyDescent="0.2">
      <c r="A191" s="16" t="str">
        <v>successful</v>
      </c>
      <c r="B191" s="5">
        <v>131826</v>
      </c>
      <c r="D191" s="17" t="str">
        <v>failed</v>
      </c>
      <c r="E191" s="5">
        <v>35498</v>
      </c>
    </row>
    <row r="192" spans="1:5" x14ac:dyDescent="0.2">
      <c r="A192" s="16" t="str">
        <v>successful</v>
      </c>
      <c r="B192" s="5">
        <v>62330</v>
      </c>
      <c r="D192" s="17" t="str">
        <v>failed</v>
      </c>
      <c r="E192" s="5">
        <v>4797</v>
      </c>
    </row>
    <row r="193" spans="1:5" x14ac:dyDescent="0.2">
      <c r="A193" s="16" t="str">
        <v>successful</v>
      </c>
      <c r="B193" s="5">
        <v>14643</v>
      </c>
      <c r="D193" s="17" t="str">
        <v>failed</v>
      </c>
      <c r="E193" s="5">
        <v>53324</v>
      </c>
    </row>
    <row r="194" spans="1:5" x14ac:dyDescent="0.2">
      <c r="A194" s="16" t="str">
        <v>successful</v>
      </c>
      <c r="B194" s="5">
        <v>41396</v>
      </c>
      <c r="D194" s="17" t="str">
        <v>failed</v>
      </c>
      <c r="E194" s="5">
        <v>622</v>
      </c>
    </row>
    <row r="195" spans="1:5" x14ac:dyDescent="0.2">
      <c r="A195" s="16" t="str">
        <v>successful</v>
      </c>
      <c r="B195" s="5">
        <v>11900</v>
      </c>
      <c r="D195" s="17" t="str">
        <v>failed</v>
      </c>
      <c r="E195" s="5">
        <v>16389</v>
      </c>
    </row>
    <row r="196" spans="1:5" x14ac:dyDescent="0.2">
      <c r="A196" s="16" t="str">
        <v>successful</v>
      </c>
      <c r="B196" s="5">
        <v>123538</v>
      </c>
      <c r="D196" s="17" t="str">
        <v>failed</v>
      </c>
      <c r="E196" s="5">
        <v>81136</v>
      </c>
    </row>
    <row r="197" spans="1:5" x14ac:dyDescent="0.2">
      <c r="A197" s="16" t="str">
        <v>successful</v>
      </c>
      <c r="B197" s="5">
        <v>198628</v>
      </c>
      <c r="D197" s="17" t="str">
        <v>failed</v>
      </c>
      <c r="E197" s="5">
        <v>1768</v>
      </c>
    </row>
    <row r="198" spans="1:5" x14ac:dyDescent="0.2">
      <c r="A198" s="16" t="str">
        <v>successful</v>
      </c>
      <c r="B198" s="5">
        <v>116064</v>
      </c>
      <c r="D198" s="17" t="str">
        <v>failed</v>
      </c>
      <c r="E198" s="5">
        <v>188480</v>
      </c>
    </row>
    <row r="199" spans="1:5" x14ac:dyDescent="0.2">
      <c r="A199" s="16" t="str">
        <v>successful</v>
      </c>
      <c r="B199" s="5">
        <v>125042</v>
      </c>
      <c r="D199" s="17" t="str">
        <v>failed</v>
      </c>
      <c r="E199" s="5">
        <v>7227</v>
      </c>
    </row>
    <row r="200" spans="1:5" x14ac:dyDescent="0.2">
      <c r="A200" s="16" t="str">
        <v>successful</v>
      </c>
      <c r="B200" s="5">
        <v>12607</v>
      </c>
      <c r="D200" s="17" t="str">
        <v>failed</v>
      </c>
      <c r="E200" s="5">
        <v>574</v>
      </c>
    </row>
    <row r="201" spans="1:5" x14ac:dyDescent="0.2">
      <c r="A201" s="16" t="str">
        <v>successful</v>
      </c>
      <c r="B201" s="5">
        <v>94631</v>
      </c>
      <c r="D201" s="17" t="str">
        <v>failed</v>
      </c>
      <c r="E201" s="5">
        <v>96328</v>
      </c>
    </row>
    <row r="202" spans="1:5" x14ac:dyDescent="0.2">
      <c r="A202" s="16" t="str">
        <v>successful</v>
      </c>
      <c r="B202" s="5">
        <v>137961</v>
      </c>
      <c r="D202" s="17" t="str">
        <v>failed</v>
      </c>
      <c r="E202" s="5">
        <v>13385</v>
      </c>
    </row>
    <row r="203" spans="1:5" x14ac:dyDescent="0.2">
      <c r="A203" s="16" t="str">
        <v>successful</v>
      </c>
      <c r="B203" s="5">
        <v>7548</v>
      </c>
      <c r="D203" s="17" t="str">
        <v>failed</v>
      </c>
      <c r="E203" s="5">
        <v>57034</v>
      </c>
    </row>
    <row r="204" spans="1:5" x14ac:dyDescent="0.2">
      <c r="A204" s="16" t="str">
        <v>successful</v>
      </c>
      <c r="B204" s="5">
        <v>4253</v>
      </c>
      <c r="D204" s="17" t="str">
        <v>failed</v>
      </c>
      <c r="E204" s="5">
        <v>7120</v>
      </c>
    </row>
    <row r="205" spans="1:5" x14ac:dyDescent="0.2">
      <c r="A205" s="16" t="str">
        <v>successful</v>
      </c>
      <c r="B205" s="5">
        <v>11948</v>
      </c>
      <c r="D205" s="17" t="str">
        <v>failed</v>
      </c>
      <c r="E205" s="5">
        <v>43086</v>
      </c>
    </row>
    <row r="206" spans="1:5" x14ac:dyDescent="0.2">
      <c r="A206" s="16" t="str">
        <v>successful</v>
      </c>
      <c r="B206" s="5">
        <v>135132</v>
      </c>
      <c r="D206" s="17" t="str">
        <v>failed</v>
      </c>
      <c r="E206" s="5">
        <v>1930</v>
      </c>
    </row>
    <row r="207" spans="1:5" x14ac:dyDescent="0.2">
      <c r="A207" s="16" t="str">
        <v>successful</v>
      </c>
      <c r="B207" s="5">
        <v>9546</v>
      </c>
      <c r="D207" s="17" t="str">
        <v>failed</v>
      </c>
      <c r="E207" s="5">
        <v>13864</v>
      </c>
    </row>
    <row r="208" spans="1:5" x14ac:dyDescent="0.2">
      <c r="A208" s="16" t="str">
        <v>successful</v>
      </c>
      <c r="B208" s="5">
        <v>13755</v>
      </c>
      <c r="D208" s="17" t="str">
        <v>failed</v>
      </c>
      <c r="E208" s="5">
        <v>164109</v>
      </c>
    </row>
    <row r="209" spans="1:5" x14ac:dyDescent="0.2">
      <c r="A209" s="16" t="str">
        <v>successful</v>
      </c>
      <c r="B209" s="5">
        <v>8330</v>
      </c>
      <c r="D209" s="17" t="str">
        <v>failed</v>
      </c>
      <c r="E209" s="5">
        <v>105598</v>
      </c>
    </row>
    <row r="210" spans="1:5" x14ac:dyDescent="0.2">
      <c r="A210" s="16" t="str">
        <v>successful</v>
      </c>
      <c r="B210" s="5">
        <v>14547</v>
      </c>
      <c r="D210" s="17" t="str">
        <v>failed</v>
      </c>
      <c r="E210" s="5">
        <v>8866</v>
      </c>
    </row>
    <row r="211" spans="1:5" x14ac:dyDescent="0.2">
      <c r="A211" s="16" t="str">
        <v>successful</v>
      </c>
      <c r="B211" s="5">
        <v>11735</v>
      </c>
      <c r="D211" s="17" t="str">
        <v>failed</v>
      </c>
      <c r="E211" s="5">
        <v>75022</v>
      </c>
    </row>
    <row r="212" spans="1:5" x14ac:dyDescent="0.2">
      <c r="A212" s="16" t="str">
        <v>successful</v>
      </c>
      <c r="B212" s="5">
        <v>10658</v>
      </c>
      <c r="D212" s="17" t="str">
        <v>failed</v>
      </c>
      <c r="E212" s="5">
        <v>1269</v>
      </c>
    </row>
    <row r="213" spans="1:5" x14ac:dyDescent="0.2">
      <c r="A213" s="16" t="str">
        <v>successful</v>
      </c>
      <c r="B213" s="5">
        <v>14394</v>
      </c>
      <c r="D213" s="17" t="str">
        <v>failed</v>
      </c>
      <c r="E213" s="5">
        <v>141393</v>
      </c>
    </row>
    <row r="214" spans="1:5" x14ac:dyDescent="0.2">
      <c r="A214" s="16" t="str">
        <v>successful</v>
      </c>
      <c r="B214" s="5">
        <v>14743</v>
      </c>
      <c r="D214" s="17" t="str">
        <v>failed</v>
      </c>
      <c r="E214" s="5">
        <v>4124</v>
      </c>
    </row>
    <row r="215" spans="1:5" x14ac:dyDescent="0.2">
      <c r="A215" s="16" t="str">
        <v>successful</v>
      </c>
      <c r="B215" s="5">
        <v>178965</v>
      </c>
      <c r="D215" s="17" t="str">
        <v>failed</v>
      </c>
      <c r="E215" s="5">
        <v>3295</v>
      </c>
    </row>
    <row r="216" spans="1:5" x14ac:dyDescent="0.2">
      <c r="A216" s="16" t="str">
        <v>successful</v>
      </c>
      <c r="B216" s="5">
        <v>14324</v>
      </c>
      <c r="D216" s="17" t="str">
        <v>failed</v>
      </c>
      <c r="E216" s="5">
        <v>52421</v>
      </c>
    </row>
    <row r="217" spans="1:5" x14ac:dyDescent="0.2">
      <c r="A217" s="16" t="str">
        <v>successful</v>
      </c>
      <c r="B217" s="5">
        <v>164291</v>
      </c>
      <c r="D217" s="17" t="str">
        <v>failed</v>
      </c>
      <c r="E217" s="5">
        <v>6298</v>
      </c>
    </row>
    <row r="218" spans="1:5" x14ac:dyDescent="0.2">
      <c r="A218" s="16" t="str">
        <v>successful</v>
      </c>
      <c r="B218" s="5">
        <v>12275</v>
      </c>
      <c r="D218" s="17" t="str">
        <v>failed</v>
      </c>
      <c r="E218" s="5">
        <v>16168</v>
      </c>
    </row>
    <row r="219" spans="1:5" x14ac:dyDescent="0.2">
      <c r="A219" s="16" t="str">
        <v>successful</v>
      </c>
      <c r="B219" s="5">
        <v>4008</v>
      </c>
      <c r="D219" s="17" t="str">
        <v>failed</v>
      </c>
      <c r="E219" s="5">
        <v>3841</v>
      </c>
    </row>
    <row r="220" spans="1:5" x14ac:dyDescent="0.2">
      <c r="A220" s="16" t="str">
        <v>successful</v>
      </c>
      <c r="B220" s="5">
        <v>9749</v>
      </c>
      <c r="D220" s="17" t="str">
        <v>failed</v>
      </c>
      <c r="E220" s="5">
        <v>4531</v>
      </c>
    </row>
    <row r="221" spans="1:5" x14ac:dyDescent="0.2">
      <c r="A221" s="16" t="str">
        <v>successful</v>
      </c>
      <c r="B221" s="5">
        <v>14199</v>
      </c>
      <c r="D221" s="17" t="str">
        <v>failed</v>
      </c>
      <c r="E221" s="5">
        <v>6852</v>
      </c>
    </row>
    <row r="222" spans="1:5" x14ac:dyDescent="0.2">
      <c r="A222" s="16" t="str">
        <v>successful</v>
      </c>
      <c r="B222" s="5">
        <v>196779</v>
      </c>
      <c r="D222" s="17" t="str">
        <v>failed</v>
      </c>
      <c r="E222" s="5">
        <v>124517</v>
      </c>
    </row>
    <row r="223" spans="1:5" x14ac:dyDescent="0.2">
      <c r="A223" s="16" t="str">
        <v>successful</v>
      </c>
      <c r="B223" s="5">
        <v>56859</v>
      </c>
      <c r="D223" s="17" t="str">
        <v>failed</v>
      </c>
      <c r="E223" s="5">
        <v>5113</v>
      </c>
    </row>
    <row r="224" spans="1:5" x14ac:dyDescent="0.2">
      <c r="A224" s="16" t="str">
        <v>successful</v>
      </c>
      <c r="B224" s="5">
        <v>101352</v>
      </c>
      <c r="D224" s="17" t="str">
        <v>failed</v>
      </c>
      <c r="E224" s="5">
        <v>5824</v>
      </c>
    </row>
    <row r="225" spans="1:5" x14ac:dyDescent="0.2">
      <c r="A225" s="16" t="str">
        <v>successful</v>
      </c>
      <c r="B225" s="5">
        <v>4477</v>
      </c>
      <c r="D225" s="17" t="str">
        <v>failed</v>
      </c>
      <c r="E225" s="5">
        <v>20243</v>
      </c>
    </row>
    <row r="226" spans="1:5" x14ac:dyDescent="0.2">
      <c r="A226" s="16" t="str">
        <v>successful</v>
      </c>
      <c r="B226" s="5">
        <v>143788</v>
      </c>
      <c r="D226" s="17" t="str">
        <v>failed</v>
      </c>
      <c r="E226" s="5">
        <v>11167</v>
      </c>
    </row>
    <row r="227" spans="1:5" x14ac:dyDescent="0.2">
      <c r="A227" s="16" t="str">
        <v>successful</v>
      </c>
      <c r="B227" s="5">
        <v>3755</v>
      </c>
      <c r="D227" s="17" t="str">
        <v>failed</v>
      </c>
      <c r="E227" s="5">
        <v>7875</v>
      </c>
    </row>
    <row r="228" spans="1:5" x14ac:dyDescent="0.2">
      <c r="A228" s="16" t="str">
        <v>successful</v>
      </c>
      <c r="B228" s="5">
        <v>9238</v>
      </c>
      <c r="D228" s="17" t="str">
        <v>failed</v>
      </c>
      <c r="E228" s="5">
        <v>5112</v>
      </c>
    </row>
    <row r="229" spans="1:5" x14ac:dyDescent="0.2">
      <c r="A229" s="16" t="str">
        <v>successful</v>
      </c>
      <c r="B229" s="5">
        <v>77012</v>
      </c>
      <c r="D229" s="17" t="str">
        <v>failed</v>
      </c>
      <c r="E229" s="5">
        <v>5</v>
      </c>
    </row>
    <row r="230" spans="1:5" x14ac:dyDescent="0.2">
      <c r="A230" s="16" t="str">
        <v>successful</v>
      </c>
      <c r="B230" s="5">
        <v>14083</v>
      </c>
      <c r="D230" s="17" t="str">
        <v>failed</v>
      </c>
      <c r="E230" s="5">
        <v>97037</v>
      </c>
    </row>
    <row r="231" spans="1:5" x14ac:dyDescent="0.2">
      <c r="A231" s="16" t="str">
        <v>successful</v>
      </c>
      <c r="B231" s="5">
        <v>12202</v>
      </c>
      <c r="D231" s="17" t="str">
        <v>failed</v>
      </c>
      <c r="E231" s="5">
        <v>55757</v>
      </c>
    </row>
    <row r="232" spans="1:5" x14ac:dyDescent="0.2">
      <c r="A232" s="16" t="str">
        <v>successful</v>
      </c>
      <c r="B232" s="5">
        <v>13772</v>
      </c>
      <c r="D232" s="17" t="str">
        <v>failed</v>
      </c>
      <c r="E232" s="5">
        <v>5916</v>
      </c>
    </row>
    <row r="233" spans="1:5" x14ac:dyDescent="0.2">
      <c r="A233" s="16" t="str">
        <v>successful</v>
      </c>
      <c r="B233" s="5">
        <v>154321</v>
      </c>
      <c r="D233" s="17" t="str">
        <v>failed</v>
      </c>
      <c r="E233" s="5">
        <v>5803</v>
      </c>
    </row>
    <row r="234" spans="1:5" x14ac:dyDescent="0.2">
      <c r="A234" s="16" t="str">
        <v>successful</v>
      </c>
      <c r="B234" s="5">
        <v>71583</v>
      </c>
      <c r="D234" s="17" t="str">
        <v>failed</v>
      </c>
      <c r="E234" s="5">
        <v>55476</v>
      </c>
    </row>
    <row r="235" spans="1:5" x14ac:dyDescent="0.2">
      <c r="A235" s="16" t="str">
        <v>successful</v>
      </c>
      <c r="B235" s="5">
        <v>12100</v>
      </c>
      <c r="D235" s="17" t="str">
        <v>failed</v>
      </c>
      <c r="E235" s="5">
        <v>5569</v>
      </c>
    </row>
    <row r="236" spans="1:5" x14ac:dyDescent="0.2">
      <c r="A236" s="16" t="str">
        <v>successful</v>
      </c>
      <c r="B236" s="5">
        <v>12129</v>
      </c>
      <c r="D236" s="17" t="str">
        <v>failed</v>
      </c>
      <c r="E236" s="5">
        <v>127591</v>
      </c>
    </row>
    <row r="237" spans="1:5" x14ac:dyDescent="0.2">
      <c r="A237" s="16" t="str">
        <v>successful</v>
      </c>
      <c r="B237" s="5">
        <v>8161</v>
      </c>
      <c r="D237" s="17" t="str">
        <v>failed</v>
      </c>
      <c r="E237" s="5">
        <v>6750</v>
      </c>
    </row>
    <row r="238" spans="1:5" x14ac:dyDescent="0.2">
      <c r="A238" s="16" t="str">
        <v>successful</v>
      </c>
      <c r="B238" s="5">
        <v>14046</v>
      </c>
      <c r="D238" s="17" t="str">
        <v>failed</v>
      </c>
      <c r="E238" s="5">
        <v>9318</v>
      </c>
    </row>
    <row r="239" spans="1:5" x14ac:dyDescent="0.2">
      <c r="A239" s="16" t="str">
        <v>successful</v>
      </c>
      <c r="B239" s="5">
        <v>140469</v>
      </c>
      <c r="D239" s="17" t="str">
        <v>failed</v>
      </c>
      <c r="E239" s="5">
        <v>19769</v>
      </c>
    </row>
    <row r="240" spans="1:5" x14ac:dyDescent="0.2">
      <c r="A240" s="16" t="str">
        <v>successful</v>
      </c>
      <c r="B240" s="5">
        <v>6423</v>
      </c>
      <c r="D240" s="17" t="str">
        <v>failed</v>
      </c>
      <c r="E240" s="5">
        <v>81984</v>
      </c>
    </row>
    <row r="241" spans="1:5" x14ac:dyDescent="0.2">
      <c r="A241" s="16" t="str">
        <v>successful</v>
      </c>
      <c r="B241" s="5">
        <v>11075</v>
      </c>
      <c r="D241" s="17" t="str">
        <v>failed</v>
      </c>
      <c r="E241" s="5">
        <v>178483</v>
      </c>
    </row>
    <row r="242" spans="1:5" x14ac:dyDescent="0.2">
      <c r="A242" s="16" t="str">
        <v>successful</v>
      </c>
      <c r="B242" s="5">
        <v>7767</v>
      </c>
      <c r="D242" s="17" t="str">
        <v>failed</v>
      </c>
      <c r="E242" s="5">
        <v>87448</v>
      </c>
    </row>
    <row r="243" spans="1:5" x14ac:dyDescent="0.2">
      <c r="A243" s="16" t="str">
        <v>successful</v>
      </c>
      <c r="B243" s="5">
        <v>10313</v>
      </c>
      <c r="D243" s="17" t="str">
        <v>failed</v>
      </c>
      <c r="E243" s="5">
        <v>1863</v>
      </c>
    </row>
    <row r="244" spans="1:5" x14ac:dyDescent="0.2">
      <c r="A244" s="16" t="str">
        <v>successful</v>
      </c>
      <c r="B244" s="5">
        <v>197018</v>
      </c>
      <c r="D244" s="17" t="str">
        <v>failed</v>
      </c>
      <c r="E244" s="5">
        <v>59003</v>
      </c>
    </row>
    <row r="245" spans="1:5" x14ac:dyDescent="0.2">
      <c r="A245" s="16" t="str">
        <v>successful</v>
      </c>
      <c r="B245" s="5">
        <v>9817</v>
      </c>
      <c r="D245" s="17" t="str">
        <v>failed</v>
      </c>
      <c r="E245" s="5">
        <v>2</v>
      </c>
    </row>
    <row r="246" spans="1:5" x14ac:dyDescent="0.2">
      <c r="A246" s="16" t="str">
        <v>successful</v>
      </c>
      <c r="B246" s="5">
        <v>178120</v>
      </c>
      <c r="D246" s="17" t="str">
        <v>failed</v>
      </c>
      <c r="E246" s="5">
        <v>174039</v>
      </c>
    </row>
    <row r="247" spans="1:5" x14ac:dyDescent="0.2">
      <c r="A247" s="16" t="str">
        <v>successful</v>
      </c>
      <c r="B247" s="5">
        <v>13678</v>
      </c>
      <c r="D247" s="17" t="str">
        <v>failed</v>
      </c>
      <c r="E247" s="5">
        <v>49879</v>
      </c>
    </row>
    <row r="248" spans="1:5" x14ac:dyDescent="0.2">
      <c r="A248" s="16" t="str">
        <v>successful</v>
      </c>
      <c r="B248" s="5">
        <v>9969</v>
      </c>
      <c r="D248" s="17" t="str">
        <v>failed</v>
      </c>
      <c r="E248" s="5">
        <v>824</v>
      </c>
    </row>
    <row r="249" spans="1:5" x14ac:dyDescent="0.2">
      <c r="A249" s="16" t="str">
        <v>successful</v>
      </c>
      <c r="B249" s="5">
        <v>14827</v>
      </c>
      <c r="D249" s="17" t="str">
        <v>failed</v>
      </c>
      <c r="E249" s="5">
        <v>57010</v>
      </c>
    </row>
    <row r="250" spans="1:5" x14ac:dyDescent="0.2">
      <c r="A250" s="16" t="str">
        <v>successful</v>
      </c>
      <c r="B250" s="5">
        <v>100900</v>
      </c>
      <c r="D250" s="17" t="str">
        <v>failed</v>
      </c>
      <c r="E250" s="5">
        <v>7438</v>
      </c>
    </row>
    <row r="251" spans="1:5" x14ac:dyDescent="0.2">
      <c r="A251" s="16" t="str">
        <v>successful</v>
      </c>
      <c r="B251" s="5">
        <v>165954</v>
      </c>
      <c r="D251" s="17" t="str">
        <v>failed</v>
      </c>
      <c r="E251" s="5">
        <v>57872</v>
      </c>
    </row>
    <row r="252" spans="1:5" x14ac:dyDescent="0.2">
      <c r="A252" s="16" t="str">
        <v>successful</v>
      </c>
      <c r="B252" s="5">
        <v>10731</v>
      </c>
      <c r="D252" s="17" t="str">
        <v>failed</v>
      </c>
      <c r="E252" s="5">
        <v>8906</v>
      </c>
    </row>
    <row r="253" spans="1:5" x14ac:dyDescent="0.2">
      <c r="A253" s="16" t="str">
        <v>successful</v>
      </c>
      <c r="B253" s="5">
        <v>10938</v>
      </c>
      <c r="D253" s="17" t="str">
        <v>failed</v>
      </c>
      <c r="E253" s="5">
        <v>7724</v>
      </c>
    </row>
    <row r="254" spans="1:5" x14ac:dyDescent="0.2">
      <c r="A254" s="16" t="str">
        <v>successful</v>
      </c>
      <c r="B254" s="5">
        <v>10739</v>
      </c>
      <c r="D254" s="17" t="str">
        <v>failed</v>
      </c>
      <c r="E254" s="5">
        <v>26571</v>
      </c>
    </row>
    <row r="255" spans="1:5" x14ac:dyDescent="0.2">
      <c r="A255" s="16" t="str">
        <v>successful</v>
      </c>
      <c r="B255" s="5">
        <v>8703</v>
      </c>
      <c r="D255" s="17" t="str">
        <v>failed</v>
      </c>
      <c r="E255" s="5">
        <v>5593</v>
      </c>
    </row>
    <row r="256" spans="1:5" x14ac:dyDescent="0.2">
      <c r="A256" s="16" t="str">
        <v>successful</v>
      </c>
      <c r="B256" s="5">
        <v>182302</v>
      </c>
      <c r="D256" s="17" t="str">
        <v>failed</v>
      </c>
      <c r="E256" s="5">
        <v>110689</v>
      </c>
    </row>
    <row r="257" spans="1:5" x14ac:dyDescent="0.2">
      <c r="A257" s="16" t="str">
        <v>successful</v>
      </c>
      <c r="B257" s="5">
        <v>137904</v>
      </c>
      <c r="D257" s="17" t="str">
        <v>failed</v>
      </c>
      <c r="E257" s="5">
        <v>2445</v>
      </c>
    </row>
    <row r="258" spans="1:5" x14ac:dyDescent="0.2">
      <c r="A258" s="16" t="str">
        <v>successful</v>
      </c>
      <c r="B258" s="5">
        <v>152438</v>
      </c>
      <c r="D258" s="17" t="str">
        <v>failed</v>
      </c>
      <c r="E258" s="5">
        <v>4432</v>
      </c>
    </row>
    <row r="259" spans="1:5" x14ac:dyDescent="0.2">
      <c r="A259" s="16" t="str">
        <v>successful</v>
      </c>
      <c r="B259" s="5">
        <v>118706</v>
      </c>
      <c r="D259" s="17" t="str">
        <v>failed</v>
      </c>
      <c r="E259" s="5">
        <v>141822</v>
      </c>
    </row>
    <row r="260" spans="1:5" x14ac:dyDescent="0.2">
      <c r="A260" s="16" t="str">
        <v>successful</v>
      </c>
      <c r="B260" s="5">
        <v>4119</v>
      </c>
      <c r="D260" s="17" t="str">
        <v>failed</v>
      </c>
      <c r="E260" s="5">
        <v>159037</v>
      </c>
    </row>
    <row r="261" spans="1:5" x14ac:dyDescent="0.2">
      <c r="A261" s="16" t="str">
        <v>successful</v>
      </c>
      <c r="B261" s="5">
        <v>139354</v>
      </c>
      <c r="D261" s="17" t="str">
        <v>failed</v>
      </c>
      <c r="E261" s="5">
        <v>94501</v>
      </c>
    </row>
    <row r="262" spans="1:5" x14ac:dyDescent="0.2">
      <c r="A262" s="16" t="str">
        <v>successful</v>
      </c>
      <c r="B262" s="5">
        <v>145265</v>
      </c>
      <c r="D262" s="17" t="str">
        <v>failed</v>
      </c>
      <c r="E262" s="5">
        <v>5438</v>
      </c>
    </row>
    <row r="263" spans="1:5" x14ac:dyDescent="0.2">
      <c r="A263" s="16" t="str">
        <v>successful</v>
      </c>
      <c r="B263" s="5">
        <v>95020</v>
      </c>
      <c r="D263" s="17" t="str">
        <v>failed</v>
      </c>
      <c r="E263" s="5">
        <v>115396</v>
      </c>
    </row>
    <row r="264" spans="1:5" x14ac:dyDescent="0.2">
      <c r="A264" s="16" t="str">
        <v>successful</v>
      </c>
      <c r="B264" s="5">
        <v>8829</v>
      </c>
      <c r="D264" s="17" t="str">
        <v>failed</v>
      </c>
      <c r="E264" s="5">
        <v>7656</v>
      </c>
    </row>
    <row r="265" spans="1:5" x14ac:dyDescent="0.2">
      <c r="A265" s="16" t="str">
        <v>successful</v>
      </c>
      <c r="B265" s="5">
        <v>3984</v>
      </c>
      <c r="D265" s="17" t="str">
        <v>failed</v>
      </c>
      <c r="E265" s="5">
        <v>96888</v>
      </c>
    </row>
    <row r="266" spans="1:5" x14ac:dyDescent="0.2">
      <c r="A266" s="16" t="str">
        <v>successful</v>
      </c>
      <c r="B266" s="5">
        <v>8053</v>
      </c>
      <c r="D266" s="17" t="str">
        <v>failed</v>
      </c>
      <c r="E266" s="5">
        <v>6245</v>
      </c>
    </row>
    <row r="267" spans="1:5" x14ac:dyDescent="0.2">
      <c r="A267" s="16" t="str">
        <v>successful</v>
      </c>
      <c r="B267" s="5">
        <v>10328</v>
      </c>
      <c r="D267" s="17" t="str">
        <v>failed</v>
      </c>
      <c r="E267" s="5">
        <v>3</v>
      </c>
    </row>
    <row r="268" spans="1:5" x14ac:dyDescent="0.2">
      <c r="A268" s="16" t="str">
        <v>successful</v>
      </c>
      <c r="B268" s="5">
        <v>10289</v>
      </c>
      <c r="D268" s="17" t="str">
        <v>failed</v>
      </c>
      <c r="E268" s="5">
        <v>4710</v>
      </c>
    </row>
    <row r="269" spans="1:5" x14ac:dyDescent="0.2">
      <c r="A269" s="16" t="str">
        <v>successful</v>
      </c>
      <c r="B269" s="5">
        <v>9889</v>
      </c>
      <c r="D269" s="17" t="str">
        <v>failed</v>
      </c>
      <c r="E269" s="5">
        <v>168048</v>
      </c>
    </row>
    <row r="270" spans="1:5" x14ac:dyDescent="0.2">
      <c r="A270" s="16" t="str">
        <v>successful</v>
      </c>
      <c r="B270" s="5">
        <v>8907</v>
      </c>
      <c r="D270" s="17" t="str">
        <v>failed</v>
      </c>
      <c r="E270" s="5">
        <v>1260</v>
      </c>
    </row>
    <row r="271" spans="1:5" x14ac:dyDescent="0.2">
      <c r="A271" s="16" t="str">
        <v>successful</v>
      </c>
      <c r="B271" s="5">
        <v>14606</v>
      </c>
      <c r="D271" s="17" t="str">
        <v>failed</v>
      </c>
      <c r="E271" s="5">
        <v>28870</v>
      </c>
    </row>
    <row r="272" spans="1:5" x14ac:dyDescent="0.2">
      <c r="A272" s="16" t="str">
        <v>successful</v>
      </c>
      <c r="B272" s="5">
        <v>8432</v>
      </c>
      <c r="D272" s="17" t="str">
        <v>failed</v>
      </c>
      <c r="E272" s="5">
        <v>97369</v>
      </c>
    </row>
    <row r="273" spans="1:5" x14ac:dyDescent="0.2">
      <c r="A273" s="16" t="str">
        <v>successful</v>
      </c>
      <c r="B273" s="5">
        <v>162603</v>
      </c>
      <c r="D273" s="17" t="str">
        <v>failed</v>
      </c>
      <c r="E273" s="5">
        <v>735</v>
      </c>
    </row>
    <row r="274" spans="1:5" x14ac:dyDescent="0.2">
      <c r="A274" s="16" t="str">
        <v>successful</v>
      </c>
      <c r="B274" s="5">
        <v>12310</v>
      </c>
      <c r="D274" s="17" t="str">
        <v>failed</v>
      </c>
      <c r="E274" s="5">
        <v>107622</v>
      </c>
    </row>
    <row r="275" spans="1:5" x14ac:dyDescent="0.2">
      <c r="A275" s="16" t="str">
        <v>successful</v>
      </c>
      <c r="B275" s="5">
        <v>8656</v>
      </c>
      <c r="D275" s="17" t="str">
        <v>failed</v>
      </c>
      <c r="E275" s="5">
        <v>1557</v>
      </c>
    </row>
    <row r="276" spans="1:5" x14ac:dyDescent="0.2">
      <c r="A276" s="16" t="str">
        <v>successful</v>
      </c>
      <c r="B276" s="5">
        <v>77021</v>
      </c>
      <c r="D276" s="17" t="str">
        <v>failed</v>
      </c>
      <c r="E276" s="5">
        <v>6100</v>
      </c>
    </row>
    <row r="277" spans="1:5" x14ac:dyDescent="0.2">
      <c r="A277" s="16" t="str">
        <v>successful</v>
      </c>
      <c r="B277" s="5">
        <v>197024</v>
      </c>
      <c r="D277" s="17" t="str">
        <v>failed</v>
      </c>
      <c r="E277" s="5">
        <v>1592</v>
      </c>
    </row>
    <row r="278" spans="1:5" x14ac:dyDescent="0.2">
      <c r="A278" s="16" t="str">
        <v>successful</v>
      </c>
      <c r="B278" s="5">
        <v>11663</v>
      </c>
      <c r="D278" s="17" t="str">
        <v>failed</v>
      </c>
      <c r="E278" s="5">
        <v>504</v>
      </c>
    </row>
    <row r="279" spans="1:5" x14ac:dyDescent="0.2">
      <c r="A279" s="16" t="str">
        <v>successful</v>
      </c>
      <c r="B279" s="5">
        <v>9339</v>
      </c>
      <c r="D279" s="17" t="str">
        <v>failed</v>
      </c>
      <c r="E279" s="5">
        <v>2091</v>
      </c>
    </row>
    <row r="280" spans="1:5" x14ac:dyDescent="0.2">
      <c r="A280" s="16" t="str">
        <v>successful</v>
      </c>
      <c r="B280" s="5">
        <v>4596</v>
      </c>
      <c r="D280" s="17" t="str">
        <v>failed</v>
      </c>
      <c r="E280" s="5">
        <v>1</v>
      </c>
    </row>
    <row r="281" spans="1:5" x14ac:dyDescent="0.2">
      <c r="A281" s="16" t="str">
        <v>successful</v>
      </c>
      <c r="B281" s="5">
        <v>173437</v>
      </c>
      <c r="D281" s="17" t="str">
        <v>failed</v>
      </c>
      <c r="E281" s="5">
        <v>114615</v>
      </c>
    </row>
    <row r="282" spans="1:5" x14ac:dyDescent="0.2">
      <c r="A282" s="16" t="str">
        <v>successful</v>
      </c>
      <c r="B282" s="5">
        <v>6514</v>
      </c>
      <c r="D282" s="17" t="str">
        <v>failed</v>
      </c>
      <c r="E282" s="5">
        <v>16592</v>
      </c>
    </row>
    <row r="283" spans="1:5" x14ac:dyDescent="0.2">
      <c r="A283" s="16" t="str">
        <v>successful</v>
      </c>
      <c r="B283" s="5">
        <v>13684</v>
      </c>
      <c r="D283" s="17" t="str">
        <v>failed</v>
      </c>
      <c r="E283" s="5">
        <v>13653</v>
      </c>
    </row>
    <row r="284" spans="1:5" x14ac:dyDescent="0.2">
      <c r="A284" s="16" t="str">
        <v>successful</v>
      </c>
      <c r="B284" s="5">
        <v>13264</v>
      </c>
      <c r="D284" s="17" t="str">
        <v>failed</v>
      </c>
      <c r="E284" s="5">
        <v>55372</v>
      </c>
    </row>
    <row r="285" spans="1:5" x14ac:dyDescent="0.2">
      <c r="A285" s="16" t="str">
        <v>successful</v>
      </c>
      <c r="B285" s="5">
        <v>6889</v>
      </c>
      <c r="D285" s="17" t="str">
        <v>failed</v>
      </c>
      <c r="E285" s="5">
        <v>109106</v>
      </c>
    </row>
    <row r="286" spans="1:5" x14ac:dyDescent="0.2">
      <c r="A286" s="16" t="str">
        <v>successful</v>
      </c>
      <c r="B286" s="5">
        <v>45983</v>
      </c>
      <c r="D286" s="17" t="str">
        <v>failed</v>
      </c>
      <c r="E286" s="5">
        <v>968</v>
      </c>
    </row>
    <row r="287" spans="1:5" x14ac:dyDescent="0.2">
      <c r="A287" s="16" t="str">
        <v>successful</v>
      </c>
      <c r="B287" s="5">
        <v>166874</v>
      </c>
      <c r="D287" s="17" t="str">
        <v>failed</v>
      </c>
      <c r="E287" s="5">
        <v>72623</v>
      </c>
    </row>
    <row r="288" spans="1:5" x14ac:dyDescent="0.2">
      <c r="A288" s="16" t="str">
        <v>successful</v>
      </c>
      <c r="B288" s="5">
        <v>193820</v>
      </c>
      <c r="D288" s="17" t="str">
        <v>failed</v>
      </c>
      <c r="E288" s="5">
        <v>45987</v>
      </c>
    </row>
    <row r="289" spans="1:5" x14ac:dyDescent="0.2">
      <c r="A289" s="16" t="str">
        <v>successful</v>
      </c>
      <c r="B289" s="5">
        <v>9289</v>
      </c>
      <c r="D289" s="17" t="str">
        <v>failed</v>
      </c>
      <c r="E289" s="5">
        <v>87293</v>
      </c>
    </row>
    <row r="290" spans="1:5" x14ac:dyDescent="0.2">
      <c r="A290" s="16" t="str">
        <v>successful</v>
      </c>
      <c r="B290" s="5">
        <v>12678</v>
      </c>
      <c r="D290" s="17" t="str">
        <v>failed</v>
      </c>
      <c r="E290" s="5">
        <v>60994</v>
      </c>
    </row>
    <row r="291" spans="1:5" x14ac:dyDescent="0.2">
      <c r="A291" s="16" t="str">
        <v>successful</v>
      </c>
      <c r="B291" s="5">
        <v>6608</v>
      </c>
      <c r="D291" s="17" t="str">
        <v>failed</v>
      </c>
      <c r="E291" s="5">
        <v>3351</v>
      </c>
    </row>
    <row r="292" spans="1:5" x14ac:dyDescent="0.2">
      <c r="A292" s="16" t="str">
        <v>successful</v>
      </c>
      <c r="B292" s="5">
        <v>180802</v>
      </c>
      <c r="D292" s="17" t="str">
        <v>failed</v>
      </c>
      <c r="E292" s="5">
        <v>540</v>
      </c>
    </row>
    <row r="293" spans="1:5" x14ac:dyDescent="0.2">
      <c r="A293" s="16" t="str">
        <v>successful</v>
      </c>
      <c r="B293" s="5">
        <v>3406</v>
      </c>
      <c r="D293" s="17" t="str">
        <v>failed</v>
      </c>
      <c r="E293" s="5">
        <v>680</v>
      </c>
    </row>
    <row r="294" spans="1:5" x14ac:dyDescent="0.2">
      <c r="A294" s="16" t="str">
        <v>successful</v>
      </c>
      <c r="B294" s="5">
        <v>11061</v>
      </c>
      <c r="D294" s="17" t="str">
        <v>failed</v>
      </c>
      <c r="E294" s="5">
        <v>1022</v>
      </c>
    </row>
    <row r="295" spans="1:5" x14ac:dyDescent="0.2">
      <c r="A295" s="16" t="str">
        <v>successful</v>
      </c>
      <c r="B295" s="5">
        <v>6303</v>
      </c>
      <c r="D295" s="17" t="str">
        <v>failed</v>
      </c>
      <c r="E295" s="5">
        <v>4275</v>
      </c>
    </row>
    <row r="296" spans="1:5" x14ac:dyDescent="0.2">
      <c r="A296" s="16" t="str">
        <v>successful</v>
      </c>
      <c r="B296" s="5">
        <v>12944</v>
      </c>
      <c r="D296" s="17" t="str">
        <v>failed</v>
      </c>
      <c r="E296" s="5">
        <v>73522</v>
      </c>
    </row>
    <row r="297" spans="1:5" x14ac:dyDescent="0.2">
      <c r="A297" s="16" t="str">
        <v>successful</v>
      </c>
      <c r="B297" s="5">
        <v>8046</v>
      </c>
      <c r="D297" s="17" t="str">
        <v>failed</v>
      </c>
      <c r="E297" s="5">
        <v>1</v>
      </c>
    </row>
    <row r="298" spans="1:5" x14ac:dyDescent="0.2">
      <c r="A298" s="16" t="str">
        <v>successful</v>
      </c>
      <c r="B298" s="5">
        <v>184086</v>
      </c>
      <c r="D298" s="17" t="str">
        <v>failed</v>
      </c>
      <c r="E298" s="5">
        <v>4932</v>
      </c>
    </row>
    <row r="299" spans="1:5" x14ac:dyDescent="0.2">
      <c r="A299" s="16" t="str">
        <v>successful</v>
      </c>
      <c r="B299" s="5">
        <v>12533</v>
      </c>
      <c r="D299" s="17" t="str">
        <v>failed</v>
      </c>
      <c r="E299" s="5">
        <v>1583</v>
      </c>
    </row>
    <row r="300" spans="1:5" x14ac:dyDescent="0.2">
      <c r="A300" s="16" t="str">
        <v>successful</v>
      </c>
      <c r="B300" s="5">
        <v>14697</v>
      </c>
      <c r="D300" s="17" t="str">
        <v>failed</v>
      </c>
      <c r="E300" s="5">
        <v>88536</v>
      </c>
    </row>
    <row r="301" spans="1:5" x14ac:dyDescent="0.2">
      <c r="A301" s="16" t="str">
        <v>successful</v>
      </c>
      <c r="B301" s="5">
        <v>98935</v>
      </c>
      <c r="D301" s="17" t="str">
        <v>failed</v>
      </c>
      <c r="E301" s="5">
        <v>71320</v>
      </c>
    </row>
    <row r="302" spans="1:5" x14ac:dyDescent="0.2">
      <c r="A302" s="16" t="str">
        <v>successful</v>
      </c>
      <c r="B302" s="5">
        <v>14097</v>
      </c>
      <c r="D302" s="17" t="str">
        <v>failed</v>
      </c>
      <c r="E302" s="5">
        <v>2950</v>
      </c>
    </row>
    <row r="303" spans="1:5" x14ac:dyDescent="0.2">
      <c r="A303" s="16" t="str">
        <v>successful</v>
      </c>
      <c r="B303" s="5">
        <v>7742</v>
      </c>
      <c r="D303" s="17" t="str">
        <v>failed</v>
      </c>
      <c r="E303" s="5">
        <v>4509</v>
      </c>
    </row>
    <row r="304" spans="1:5" x14ac:dyDescent="0.2">
      <c r="A304" s="16" t="str">
        <v>successful</v>
      </c>
      <c r="B304" s="5">
        <v>6870</v>
      </c>
      <c r="D304" s="17" t="str">
        <v>failed</v>
      </c>
      <c r="E304" s="5">
        <v>4899</v>
      </c>
    </row>
    <row r="305" spans="1:5" x14ac:dyDescent="0.2">
      <c r="A305" s="16" t="str">
        <v>successful</v>
      </c>
      <c r="B305" s="5">
        <v>12597</v>
      </c>
      <c r="D305" s="17" t="str">
        <v>failed</v>
      </c>
      <c r="E305" s="5">
        <v>4929</v>
      </c>
    </row>
    <row r="306" spans="1:5" x14ac:dyDescent="0.2">
      <c r="A306" s="16" t="str">
        <v>successful</v>
      </c>
      <c r="B306" s="5">
        <v>179074</v>
      </c>
      <c r="D306" s="17" t="str">
        <v>failed</v>
      </c>
      <c r="E306" s="5">
        <v>1424</v>
      </c>
    </row>
    <row r="307" spans="1:5" x14ac:dyDescent="0.2">
      <c r="A307" s="16" t="str">
        <v>successful</v>
      </c>
      <c r="B307" s="5">
        <v>83843</v>
      </c>
      <c r="D307" s="17" t="str">
        <v>failed</v>
      </c>
      <c r="E307" s="5">
        <v>77355</v>
      </c>
    </row>
    <row r="308" spans="1:5" x14ac:dyDescent="0.2">
      <c r="A308" s="16" t="str">
        <v>successful</v>
      </c>
      <c r="B308" s="5">
        <v>14408</v>
      </c>
      <c r="D308" s="17" t="str">
        <v>failed</v>
      </c>
      <c r="E308" s="5">
        <v>6086</v>
      </c>
    </row>
    <row r="309" spans="1:5" x14ac:dyDescent="0.2">
      <c r="A309" s="16" t="str">
        <v>successful</v>
      </c>
      <c r="B309" s="5">
        <v>14089</v>
      </c>
      <c r="D309" s="17" t="str">
        <v>failed</v>
      </c>
      <c r="E309" s="5">
        <v>2703</v>
      </c>
    </row>
    <row r="310" spans="1:5" x14ac:dyDescent="0.2">
      <c r="A310" s="16" t="str">
        <v>successful</v>
      </c>
      <c r="B310" s="5">
        <v>12467</v>
      </c>
      <c r="D310" s="17" t="str">
        <v>failed</v>
      </c>
      <c r="E310" s="5">
        <v>1</v>
      </c>
    </row>
    <row r="311" spans="1:5" x14ac:dyDescent="0.2">
      <c r="A311" s="16" t="str">
        <v>successful</v>
      </c>
      <c r="B311" s="5">
        <v>11960</v>
      </c>
      <c r="D311" s="17" t="str">
        <v>failed</v>
      </c>
      <c r="E311" s="5">
        <v>2505</v>
      </c>
    </row>
    <row r="312" spans="1:5" x14ac:dyDescent="0.2">
      <c r="A312" s="16" t="str">
        <v>successful</v>
      </c>
      <c r="B312" s="5">
        <v>7966</v>
      </c>
      <c r="D312" s="17" t="str">
        <v>failed</v>
      </c>
      <c r="E312" s="5">
        <v>2778</v>
      </c>
    </row>
    <row r="313" spans="1:5" x14ac:dyDescent="0.2">
      <c r="A313" s="16" t="str">
        <v>successful</v>
      </c>
      <c r="B313" s="5">
        <v>106321</v>
      </c>
      <c r="D313" s="17" t="str">
        <v>failed</v>
      </c>
      <c r="E313" s="5">
        <v>2594</v>
      </c>
    </row>
    <row r="314" spans="1:5" x14ac:dyDescent="0.2">
      <c r="A314" s="16" t="str">
        <v>successful</v>
      </c>
      <c r="B314" s="5">
        <v>158832</v>
      </c>
      <c r="D314" s="17" t="str">
        <v>failed</v>
      </c>
      <c r="E314" s="5">
        <v>38376</v>
      </c>
    </row>
    <row r="315" spans="1:5" x14ac:dyDescent="0.2">
      <c r="A315" s="16" t="str">
        <v>successful</v>
      </c>
      <c r="B315" s="5">
        <v>11091</v>
      </c>
      <c r="D315" s="17" t="str">
        <v>failed</v>
      </c>
      <c r="E315" s="5">
        <v>6920</v>
      </c>
    </row>
    <row r="316" spans="1:5" x14ac:dyDescent="0.2">
      <c r="A316" s="16" t="str">
        <v>successful</v>
      </c>
      <c r="B316" s="5">
        <v>5107</v>
      </c>
      <c r="D316" s="17" t="str">
        <v>failed</v>
      </c>
      <c r="E316" s="5">
        <v>5465</v>
      </c>
    </row>
    <row r="317" spans="1:5" x14ac:dyDescent="0.2">
      <c r="A317" s="16" t="str">
        <v>successful</v>
      </c>
      <c r="B317" s="5">
        <v>194166</v>
      </c>
      <c r="D317" s="17" t="str">
        <v>failed</v>
      </c>
      <c r="E317" s="5">
        <v>2111</v>
      </c>
    </row>
    <row r="318" spans="1:5" x14ac:dyDescent="0.2">
      <c r="A318" s="16" t="str">
        <v>successful</v>
      </c>
      <c r="B318" s="5">
        <v>14865</v>
      </c>
      <c r="D318" s="17" t="str">
        <v>failed</v>
      </c>
      <c r="E318" s="5">
        <v>126628</v>
      </c>
    </row>
    <row r="319" spans="1:5" x14ac:dyDescent="0.2">
      <c r="A319" s="16" t="str">
        <v>successful</v>
      </c>
      <c r="B319" s="5">
        <v>134688</v>
      </c>
      <c r="D319" s="17" t="str">
        <v>failed</v>
      </c>
      <c r="E319" s="5">
        <v>1012</v>
      </c>
    </row>
    <row r="320" spans="1:5" x14ac:dyDescent="0.2">
      <c r="A320" s="16" t="str">
        <v>successful</v>
      </c>
      <c r="B320" s="5">
        <v>47705</v>
      </c>
      <c r="D320" s="17" t="str">
        <v>failed</v>
      </c>
      <c r="E320" s="5">
        <v>31665</v>
      </c>
    </row>
    <row r="321" spans="1:5" x14ac:dyDescent="0.2">
      <c r="A321" s="16" t="str">
        <v>successful</v>
      </c>
      <c r="B321" s="5">
        <v>95364</v>
      </c>
      <c r="D321" s="17" t="str">
        <v>failed</v>
      </c>
      <c r="E321" s="5">
        <v>109374</v>
      </c>
    </row>
    <row r="322" spans="1:5" x14ac:dyDescent="0.2">
      <c r="A322" s="16" t="str">
        <v>successful</v>
      </c>
      <c r="B322" s="5">
        <v>7496</v>
      </c>
      <c r="D322" s="17" t="str">
        <v>failed</v>
      </c>
      <c r="E322" s="5">
        <v>127745</v>
      </c>
    </row>
    <row r="323" spans="1:5" x14ac:dyDescent="0.2">
      <c r="A323" s="16" t="str">
        <v>successful</v>
      </c>
      <c r="B323" s="5">
        <v>9967</v>
      </c>
      <c r="D323" s="17" t="str">
        <v>failed</v>
      </c>
      <c r="E323" s="5">
        <v>2289</v>
      </c>
    </row>
    <row r="324" spans="1:5" x14ac:dyDescent="0.2">
      <c r="A324" s="16" t="str">
        <v>successful</v>
      </c>
      <c r="B324" s="5">
        <v>6269</v>
      </c>
      <c r="D324" s="17" t="str">
        <v>failed</v>
      </c>
      <c r="E324" s="5">
        <v>11108</v>
      </c>
    </row>
    <row r="325" spans="1:5" x14ac:dyDescent="0.2">
      <c r="A325" s="16" t="str">
        <v>successful</v>
      </c>
      <c r="B325" s="5">
        <v>149578</v>
      </c>
      <c r="D325" s="17" t="str">
        <v>failed</v>
      </c>
      <c r="E325" s="5">
        <v>2437</v>
      </c>
    </row>
    <row r="326" spans="1:5" x14ac:dyDescent="0.2">
      <c r="A326" s="16" t="str">
        <v>successful</v>
      </c>
      <c r="B326" s="5">
        <v>60934</v>
      </c>
      <c r="D326" s="17" t="str">
        <v>failed</v>
      </c>
      <c r="E326" s="5">
        <v>93991</v>
      </c>
    </row>
    <row r="327" spans="1:5" x14ac:dyDescent="0.2">
      <c r="A327" s="16" t="str">
        <v>successful</v>
      </c>
      <c r="B327" s="5">
        <v>103255</v>
      </c>
      <c r="D327" s="17" t="str">
        <v>failed</v>
      </c>
      <c r="E327" s="5">
        <v>2</v>
      </c>
    </row>
    <row r="328" spans="1:5" x14ac:dyDescent="0.2">
      <c r="A328" s="16" t="str">
        <v>successful</v>
      </c>
      <c r="B328" s="5">
        <v>13065</v>
      </c>
      <c r="D328" s="17" t="str">
        <v>failed</v>
      </c>
      <c r="E328" s="5">
        <v>795</v>
      </c>
    </row>
    <row r="329" spans="1:5" x14ac:dyDescent="0.2">
      <c r="A329" s="16" t="str">
        <v>successful</v>
      </c>
      <c r="B329" s="5">
        <v>6654</v>
      </c>
      <c r="D329" s="17" t="str">
        <v>failed</v>
      </c>
      <c r="E329" s="5">
        <v>1843</v>
      </c>
    </row>
    <row r="330" spans="1:5" x14ac:dyDescent="0.2">
      <c r="A330" s="16" t="str">
        <v>successful</v>
      </c>
      <c r="B330" s="5">
        <v>6226</v>
      </c>
      <c r="D330" s="17" t="str">
        <v>failed</v>
      </c>
      <c r="E330" s="5">
        <v>35536</v>
      </c>
    </row>
    <row r="331" spans="1:5" x14ac:dyDescent="0.2">
      <c r="A331" s="16" t="str">
        <v>successful</v>
      </c>
      <c r="B331" s="5">
        <v>188288</v>
      </c>
      <c r="D331" s="17" t="str">
        <v>failed</v>
      </c>
      <c r="E331" s="5">
        <v>3676</v>
      </c>
    </row>
    <row r="332" spans="1:5" x14ac:dyDescent="0.2">
      <c r="A332" s="16" t="str">
        <v>successful</v>
      </c>
      <c r="B332" s="5">
        <v>146595</v>
      </c>
      <c r="D332" s="17" t="str">
        <v>failed</v>
      </c>
      <c r="E332" s="5">
        <v>1343</v>
      </c>
    </row>
    <row r="333" spans="1:5" x14ac:dyDescent="0.2">
      <c r="A333" s="16" t="str">
        <v>successful</v>
      </c>
      <c r="B333" s="5">
        <v>148779</v>
      </c>
      <c r="D333" s="17" t="str">
        <v>failed</v>
      </c>
      <c r="E333" s="5">
        <v>20915</v>
      </c>
    </row>
    <row r="334" spans="1:5" x14ac:dyDescent="0.2">
      <c r="A334" s="16" t="str">
        <v>successful</v>
      </c>
      <c r="B334" s="5">
        <v>175868</v>
      </c>
      <c r="D334" s="17" t="str">
        <v>failed</v>
      </c>
      <c r="E334" s="5">
        <v>1210</v>
      </c>
    </row>
    <row r="335" spans="1:5" x14ac:dyDescent="0.2">
      <c r="A335" s="16" t="str">
        <v>successful</v>
      </c>
      <c r="B335" s="5">
        <v>13018</v>
      </c>
      <c r="D335" s="17" t="str">
        <v>failed</v>
      </c>
      <c r="E335" s="5">
        <v>1577</v>
      </c>
    </row>
    <row r="336" spans="1:5" x14ac:dyDescent="0.2">
      <c r="A336" s="16" t="str">
        <v>successful</v>
      </c>
      <c r="B336" s="5">
        <v>91176</v>
      </c>
      <c r="D336" s="17" t="str">
        <v>failed</v>
      </c>
      <c r="E336" s="5">
        <v>3301</v>
      </c>
    </row>
    <row r="337" spans="1:5" x14ac:dyDescent="0.2">
      <c r="A337" s="16" t="str">
        <v>successful</v>
      </c>
      <c r="B337" s="5">
        <v>6342</v>
      </c>
      <c r="D337" s="17" t="str">
        <v>failed</v>
      </c>
      <c r="E337" s="5">
        <v>5729</v>
      </c>
    </row>
    <row r="338" spans="1:5" x14ac:dyDescent="0.2">
      <c r="A338" s="16" t="str">
        <v>successful</v>
      </c>
      <c r="B338" s="5">
        <v>151438</v>
      </c>
      <c r="D338" s="17" t="str">
        <v>failed</v>
      </c>
      <c r="E338" s="5">
        <v>1690</v>
      </c>
    </row>
    <row r="339" spans="1:5" x14ac:dyDescent="0.2">
      <c r="A339" s="16" t="str">
        <v>successful</v>
      </c>
      <c r="B339" s="5">
        <v>6178</v>
      </c>
      <c r="D339" s="17" t="str">
        <v>failed</v>
      </c>
      <c r="E339" s="5">
        <v>3839</v>
      </c>
    </row>
    <row r="340" spans="1:5" x14ac:dyDescent="0.2">
      <c r="A340" s="16" t="str">
        <v>successful</v>
      </c>
      <c r="B340" s="5">
        <v>6405</v>
      </c>
      <c r="D340" s="17" t="str">
        <v>failed</v>
      </c>
      <c r="E340" s="5">
        <v>5615</v>
      </c>
    </row>
    <row r="341" spans="1:5" x14ac:dyDescent="0.2">
      <c r="A341" s="16" t="str">
        <v>successful</v>
      </c>
      <c r="B341" s="5">
        <v>180667</v>
      </c>
      <c r="D341" s="17" t="str">
        <v>failed</v>
      </c>
      <c r="E341" s="5">
        <v>6205</v>
      </c>
    </row>
    <row r="342" spans="1:5" x14ac:dyDescent="0.2">
      <c r="A342" s="16" t="str">
        <v>successful</v>
      </c>
      <c r="B342" s="5">
        <v>11075</v>
      </c>
      <c r="D342" s="17" t="str">
        <v>failed</v>
      </c>
      <c r="E342" s="5">
        <v>8142</v>
      </c>
    </row>
    <row r="343" spans="1:5" x14ac:dyDescent="0.2">
      <c r="A343" s="16" t="str">
        <v>successful</v>
      </c>
      <c r="B343" s="5">
        <v>12042</v>
      </c>
      <c r="D343" s="17" t="str">
        <v>failed</v>
      </c>
      <c r="E343" s="5">
        <v>55805</v>
      </c>
    </row>
    <row r="344" spans="1:5" x14ac:dyDescent="0.2">
      <c r="A344" s="16" t="str">
        <v>successful</v>
      </c>
      <c r="B344" s="5">
        <v>179356</v>
      </c>
      <c r="D344" s="17" t="str">
        <v>failed</v>
      </c>
      <c r="E344" s="5">
        <v>15238</v>
      </c>
    </row>
    <row r="345" spans="1:5" x14ac:dyDescent="0.2">
      <c r="A345" s="16" t="str">
        <v>successful</v>
      </c>
      <c r="B345" s="5">
        <v>8645</v>
      </c>
      <c r="D345" s="17" t="str">
        <v>failed</v>
      </c>
      <c r="E345" s="5">
        <v>961</v>
      </c>
    </row>
    <row r="346" spans="1:5" x14ac:dyDescent="0.2">
      <c r="A346" s="16" t="str">
        <v>successful</v>
      </c>
      <c r="B346" s="5">
        <v>1914</v>
      </c>
      <c r="D346" s="17" t="str">
        <v>failed</v>
      </c>
      <c r="E346" s="5">
        <v>5</v>
      </c>
    </row>
    <row r="347" spans="1:5" x14ac:dyDescent="0.2">
      <c r="A347" s="16" t="str">
        <v>successful</v>
      </c>
      <c r="B347" s="5">
        <v>41205</v>
      </c>
      <c r="D347" s="17" t="str">
        <v>failed</v>
      </c>
      <c r="E347" s="5">
        <v>1980</v>
      </c>
    </row>
    <row r="348" spans="1:5" x14ac:dyDescent="0.2">
      <c r="A348" s="16" t="str">
        <v>successful</v>
      </c>
      <c r="B348" s="5">
        <v>14488</v>
      </c>
      <c r="D348" s="17" t="str">
        <v>failed</v>
      </c>
      <c r="E348" s="5">
        <v>35698</v>
      </c>
    </row>
    <row r="349" spans="1:5" x14ac:dyDescent="0.2">
      <c r="A349" s="16" t="str">
        <v>successful</v>
      </c>
      <c r="B349" s="5">
        <v>12129</v>
      </c>
      <c r="D349" s="17" t="str">
        <v>failed</v>
      </c>
      <c r="E349" s="5">
        <v>6631</v>
      </c>
    </row>
    <row r="350" spans="1:5" x14ac:dyDescent="0.2">
      <c r="A350" s="16" t="str">
        <v>successful</v>
      </c>
      <c r="B350" s="5">
        <v>3496</v>
      </c>
      <c r="D350" s="17" t="str">
        <v>failed</v>
      </c>
      <c r="E350" s="5">
        <v>4678</v>
      </c>
    </row>
    <row r="351" spans="1:5" x14ac:dyDescent="0.2">
      <c r="A351" s="16" t="str">
        <v>successful</v>
      </c>
      <c r="B351" s="5">
        <v>11525</v>
      </c>
      <c r="D351" s="17" t="str">
        <v>failed</v>
      </c>
      <c r="E351" s="5">
        <v>4997</v>
      </c>
    </row>
    <row r="352" spans="1:5" x14ac:dyDescent="0.2">
      <c r="A352" s="16" t="str">
        <v>successful</v>
      </c>
      <c r="B352" s="5">
        <v>158669</v>
      </c>
      <c r="D352" s="17" t="str">
        <v>failed</v>
      </c>
      <c r="E352" s="5">
        <v>57659</v>
      </c>
    </row>
    <row r="353" spans="1:5" x14ac:dyDescent="0.2">
      <c r="A353" s="16" t="str">
        <v>successful</v>
      </c>
      <c r="B353" s="5">
        <v>150806</v>
      </c>
      <c r="D353" s="17" t="str">
        <v>failed</v>
      </c>
      <c r="E353" s="5">
        <v>1414</v>
      </c>
    </row>
    <row r="354" spans="1:5" x14ac:dyDescent="0.2">
      <c r="A354" s="16" t="str">
        <v>successful</v>
      </c>
      <c r="B354" s="5">
        <v>14249</v>
      </c>
      <c r="D354" s="17" t="str">
        <v>failed</v>
      </c>
      <c r="E354" s="5">
        <v>26176</v>
      </c>
    </row>
    <row r="355" spans="1:5" x14ac:dyDescent="0.2">
      <c r="A355" s="16" t="str">
        <v>successful</v>
      </c>
      <c r="B355" s="5">
        <v>13205</v>
      </c>
      <c r="D355" s="17" t="str">
        <v>failed</v>
      </c>
      <c r="E355" s="5">
        <v>5177</v>
      </c>
    </row>
    <row r="356" spans="1:5" x14ac:dyDescent="0.2">
      <c r="A356" s="16" t="str">
        <v>successful</v>
      </c>
      <c r="B356" s="5">
        <v>11108</v>
      </c>
      <c r="D356" s="17" t="str">
        <v>failed</v>
      </c>
      <c r="E356" s="5">
        <v>78630</v>
      </c>
    </row>
    <row r="357" spans="1:5" x14ac:dyDescent="0.2">
      <c r="A357" s="16" t="str">
        <v>successful</v>
      </c>
      <c r="B357" s="5">
        <v>2884</v>
      </c>
      <c r="D357" s="17" t="str">
        <v>failed</v>
      </c>
      <c r="E357" s="5">
        <v>6115</v>
      </c>
    </row>
    <row r="358" spans="1:5" x14ac:dyDescent="0.2">
      <c r="A358" s="16" t="str">
        <v>successful</v>
      </c>
      <c r="B358" s="5">
        <v>183756</v>
      </c>
      <c r="D358" s="17" t="str">
        <v>failed</v>
      </c>
      <c r="E358" s="5">
        <v>114523</v>
      </c>
    </row>
    <row r="359" spans="1:5" x14ac:dyDescent="0.2">
      <c r="A359" s="16" t="str">
        <v>successful</v>
      </c>
      <c r="B359" s="5">
        <v>158590</v>
      </c>
      <c r="D359" s="17" t="str">
        <v>failed</v>
      </c>
      <c r="E359" s="5">
        <v>3144</v>
      </c>
    </row>
    <row r="360" spans="1:5" x14ac:dyDescent="0.2">
      <c r="A360" s="16" t="str">
        <v>successful</v>
      </c>
      <c r="B360" s="5">
        <v>11277</v>
      </c>
      <c r="D360" s="17" t="str">
        <v>failed</v>
      </c>
      <c r="E360" s="5">
        <v>4899</v>
      </c>
    </row>
    <row r="361" spans="1:5" x14ac:dyDescent="0.2">
      <c r="A361" s="16" t="str">
        <v>successful</v>
      </c>
      <c r="B361" s="5">
        <v>13382</v>
      </c>
      <c r="D361" s="17" t="str">
        <v>failed</v>
      </c>
      <c r="E361" s="5">
        <v>6839</v>
      </c>
    </row>
    <row r="362" spans="1:5" x14ac:dyDescent="0.2">
      <c r="A362" s="16" t="str">
        <v>successful</v>
      </c>
      <c r="B362" s="5">
        <v>32986</v>
      </c>
      <c r="D362" s="17" t="str">
        <v>failed</v>
      </c>
      <c r="E362" s="5">
        <v>74073</v>
      </c>
    </row>
    <row r="363" spans="1:5" x14ac:dyDescent="0.2">
      <c r="A363" s="16" t="str">
        <v>successful</v>
      </c>
      <c r="B363" s="5">
        <v>12684</v>
      </c>
      <c r="D363" s="17" t="str">
        <v>failed</v>
      </c>
      <c r="E363" s="5">
        <v>4814</v>
      </c>
    </row>
    <row r="364" spans="1:5" x14ac:dyDescent="0.2">
      <c r="A364" s="16" t="str">
        <v>successful</v>
      </c>
      <c r="B364" s="5">
        <v>14033</v>
      </c>
      <c r="D364" s="17" t="str">
        <v>failed</v>
      </c>
      <c r="E364" s="5">
        <v>37823</v>
      </c>
    </row>
    <row r="365" spans="1:5" x14ac:dyDescent="0.2">
      <c r="A365" s="16" t="str">
        <v>successful</v>
      </c>
      <c r="B365" s="5">
        <v>177936</v>
      </c>
    </row>
    <row r="366" spans="1:5" x14ac:dyDescent="0.2">
      <c r="A366" s="16" t="str">
        <v>successful</v>
      </c>
      <c r="B366" s="5">
        <v>13212</v>
      </c>
    </row>
    <row r="367" spans="1:5" x14ac:dyDescent="0.2">
      <c r="A367" s="16" t="str">
        <v>successful</v>
      </c>
      <c r="B367" s="5">
        <v>12219</v>
      </c>
    </row>
    <row r="368" spans="1:5" x14ac:dyDescent="0.2">
      <c r="A368" s="16" t="str">
        <v>successful</v>
      </c>
      <c r="B368" s="5">
        <v>12155</v>
      </c>
    </row>
    <row r="369" spans="1:2" x14ac:dyDescent="0.2">
      <c r="A369" s="16" t="str">
        <v>successful</v>
      </c>
      <c r="B369" s="5">
        <v>175020</v>
      </c>
    </row>
    <row r="370" spans="1:2" x14ac:dyDescent="0.2">
      <c r="A370" s="16" t="str">
        <v>successful</v>
      </c>
      <c r="B370" s="5">
        <v>75955</v>
      </c>
    </row>
    <row r="371" spans="1:2" x14ac:dyDescent="0.2">
      <c r="A371" s="16" t="str">
        <v>successful</v>
      </c>
      <c r="B371" s="5">
        <v>119127</v>
      </c>
    </row>
    <row r="372" spans="1:2" x14ac:dyDescent="0.2">
      <c r="A372" s="16" t="str">
        <v>successful</v>
      </c>
      <c r="B372" s="5">
        <v>11929</v>
      </c>
    </row>
    <row r="373" spans="1:2" x14ac:dyDescent="0.2">
      <c r="A373" s="16" t="str">
        <v>successful</v>
      </c>
      <c r="B373" s="5">
        <v>118214</v>
      </c>
    </row>
    <row r="374" spans="1:2" x14ac:dyDescent="0.2">
      <c r="A374" s="16" t="str">
        <v>successful</v>
      </c>
      <c r="B374" s="5">
        <v>14511</v>
      </c>
    </row>
    <row r="375" spans="1:2" x14ac:dyDescent="0.2">
      <c r="A375" s="16" t="str">
        <v>successful</v>
      </c>
      <c r="B375" s="5">
        <v>8109</v>
      </c>
    </row>
    <row r="376" spans="1:2" x14ac:dyDescent="0.2">
      <c r="A376" s="16" t="str">
        <v>successful</v>
      </c>
      <c r="B376" s="5">
        <v>8244</v>
      </c>
    </row>
    <row r="377" spans="1:2" x14ac:dyDescent="0.2">
      <c r="A377" s="16" t="str">
        <v>successful</v>
      </c>
      <c r="B377" s="5">
        <v>7600</v>
      </c>
    </row>
    <row r="378" spans="1:2" x14ac:dyDescent="0.2">
      <c r="A378" s="16" t="str">
        <v>successful</v>
      </c>
      <c r="B378" s="5">
        <v>14381</v>
      </c>
    </row>
    <row r="379" spans="1:2" x14ac:dyDescent="0.2">
      <c r="A379" s="16" t="str">
        <v>successful</v>
      </c>
      <c r="B379" s="5">
        <v>13980</v>
      </c>
    </row>
    <row r="380" spans="1:2" x14ac:dyDescent="0.2">
      <c r="A380" s="16" t="str">
        <v>successful</v>
      </c>
      <c r="B380" s="5">
        <v>12449</v>
      </c>
    </row>
    <row r="381" spans="1:2" x14ac:dyDescent="0.2">
      <c r="A381" s="16" t="str">
        <v>successful</v>
      </c>
      <c r="B381" s="5">
        <v>7348</v>
      </c>
    </row>
    <row r="382" spans="1:2" x14ac:dyDescent="0.2">
      <c r="A382" s="16" t="str">
        <v>successful</v>
      </c>
      <c r="B382" s="5">
        <v>8158</v>
      </c>
    </row>
    <row r="383" spans="1:2" x14ac:dyDescent="0.2">
      <c r="A383" s="16" t="str">
        <v>successful</v>
      </c>
      <c r="B383" s="5">
        <v>7119</v>
      </c>
    </row>
    <row r="384" spans="1:2" x14ac:dyDescent="0.2">
      <c r="A384" s="16" t="str">
        <v>successful</v>
      </c>
      <c r="B384" s="5">
        <v>12322</v>
      </c>
    </row>
    <row r="385" spans="1:2" x14ac:dyDescent="0.2">
      <c r="A385" s="16" t="str">
        <v>successful</v>
      </c>
      <c r="B385" s="5">
        <v>196960</v>
      </c>
    </row>
    <row r="386" spans="1:2" x14ac:dyDescent="0.2">
      <c r="A386" s="16" t="str">
        <v>successful</v>
      </c>
      <c r="B386" s="5">
        <v>188057</v>
      </c>
    </row>
    <row r="387" spans="1:2" x14ac:dyDescent="0.2">
      <c r="A387" s="16" t="str">
        <v>successful</v>
      </c>
      <c r="B387" s="5">
        <v>91014</v>
      </c>
    </row>
    <row r="388" spans="1:2" x14ac:dyDescent="0.2">
      <c r="A388" s="16" t="str">
        <v>successful</v>
      </c>
      <c r="B388" s="5">
        <v>197728</v>
      </c>
    </row>
    <row r="389" spans="1:2" x14ac:dyDescent="0.2">
      <c r="A389" s="16" t="str">
        <v>successful</v>
      </c>
      <c r="B389" s="5">
        <v>10682</v>
      </c>
    </row>
    <row r="390" spans="1:2" x14ac:dyDescent="0.2">
      <c r="A390" s="16" t="str">
        <v>successful</v>
      </c>
      <c r="B390" s="5">
        <v>138586</v>
      </c>
    </row>
    <row r="391" spans="1:2" x14ac:dyDescent="0.2">
      <c r="A391" s="16" t="str">
        <v>successful</v>
      </c>
      <c r="B391" s="5">
        <v>11579</v>
      </c>
    </row>
    <row r="392" spans="1:2" x14ac:dyDescent="0.2">
      <c r="A392" s="16" t="str">
        <v>successful</v>
      </c>
      <c r="B392" s="5">
        <v>12020</v>
      </c>
    </row>
    <row r="393" spans="1:2" x14ac:dyDescent="0.2">
      <c r="A393" s="16" t="str">
        <v>successful</v>
      </c>
      <c r="B393" s="5">
        <v>13954</v>
      </c>
    </row>
    <row r="394" spans="1:2" x14ac:dyDescent="0.2">
      <c r="A394" s="16" t="str">
        <v>successful</v>
      </c>
      <c r="B394" s="5">
        <v>6358</v>
      </c>
    </row>
    <row r="395" spans="1:2" x14ac:dyDescent="0.2">
      <c r="A395" s="16" t="str">
        <v>successful</v>
      </c>
      <c r="B395" s="5">
        <v>14725</v>
      </c>
    </row>
    <row r="396" spans="1:2" x14ac:dyDescent="0.2">
      <c r="A396" s="16" t="str">
        <v>successful</v>
      </c>
      <c r="B396" s="5">
        <v>11174</v>
      </c>
    </row>
    <row r="397" spans="1:2" x14ac:dyDescent="0.2">
      <c r="A397" s="16" t="str">
        <v>successful</v>
      </c>
      <c r="B397" s="5">
        <v>182036</v>
      </c>
    </row>
    <row r="398" spans="1:2" x14ac:dyDescent="0.2">
      <c r="A398" s="16" t="str">
        <v>successful</v>
      </c>
      <c r="B398" s="5">
        <v>10353</v>
      </c>
    </row>
    <row r="399" spans="1:2" x14ac:dyDescent="0.2">
      <c r="A399" s="16" t="str">
        <v>successful</v>
      </c>
      <c r="B399" s="5">
        <v>13868</v>
      </c>
    </row>
    <row r="400" spans="1:2" x14ac:dyDescent="0.2">
      <c r="A400" s="16" t="str">
        <v>successful</v>
      </c>
      <c r="B400" s="5">
        <v>8317</v>
      </c>
    </row>
    <row r="401" spans="1:2" x14ac:dyDescent="0.2">
      <c r="A401" s="16" t="str">
        <v>successful</v>
      </c>
      <c r="B401" s="5">
        <v>10557</v>
      </c>
    </row>
    <row r="402" spans="1:2" x14ac:dyDescent="0.2">
      <c r="A402" s="16" t="str">
        <v>successful</v>
      </c>
      <c r="B402" s="5">
        <v>75906</v>
      </c>
    </row>
    <row r="403" spans="1:2" x14ac:dyDescent="0.2">
      <c r="A403" s="16" t="str">
        <v>successful</v>
      </c>
      <c r="B403" s="5">
        <v>13250</v>
      </c>
    </row>
    <row r="404" spans="1:2" x14ac:dyDescent="0.2">
      <c r="A404" s="16" t="str">
        <v>successful</v>
      </c>
      <c r="B404" s="5">
        <v>11261</v>
      </c>
    </row>
    <row r="405" spans="1:2" x14ac:dyDescent="0.2">
      <c r="A405" s="16" t="str">
        <v>successful</v>
      </c>
      <c r="B405" s="5">
        <v>14685</v>
      </c>
    </row>
    <row r="406" spans="1:2" x14ac:dyDescent="0.2">
      <c r="A406" s="16" t="str">
        <v>successful</v>
      </c>
      <c r="B406" s="5">
        <v>10397</v>
      </c>
    </row>
    <row r="407" spans="1:2" x14ac:dyDescent="0.2">
      <c r="A407" s="16" t="str">
        <v>successful</v>
      </c>
      <c r="B407" s="5">
        <v>118847</v>
      </c>
    </row>
    <row r="408" spans="1:2" x14ac:dyDescent="0.2">
      <c r="A408" s="16" t="str">
        <v>successful</v>
      </c>
      <c r="B408" s="5">
        <v>83267</v>
      </c>
    </row>
    <row r="409" spans="1:2" x14ac:dyDescent="0.2">
      <c r="A409" s="16" t="str">
        <v>successful</v>
      </c>
      <c r="B409" s="5">
        <v>13404</v>
      </c>
    </row>
    <row r="410" spans="1:2" x14ac:dyDescent="0.2">
      <c r="A410" s="16" t="str">
        <v>successful</v>
      </c>
      <c r="B410" s="5">
        <v>131404</v>
      </c>
    </row>
    <row r="411" spans="1:2" x14ac:dyDescent="0.2">
      <c r="A411" s="16" t="str">
        <v>successful</v>
      </c>
      <c r="B411" s="5">
        <v>5028</v>
      </c>
    </row>
    <row r="412" spans="1:2" x14ac:dyDescent="0.2">
      <c r="A412" s="16" t="str">
        <v>successful</v>
      </c>
      <c r="B412" s="5">
        <v>14150</v>
      </c>
    </row>
    <row r="413" spans="1:2" x14ac:dyDescent="0.2">
      <c r="A413" s="16" t="str">
        <v>successful</v>
      </c>
      <c r="B413" s="5">
        <v>13513</v>
      </c>
    </row>
    <row r="414" spans="1:2" x14ac:dyDescent="0.2">
      <c r="A414" s="16" t="str">
        <v>successful</v>
      </c>
      <c r="B414" s="5">
        <v>14240</v>
      </c>
    </row>
    <row r="415" spans="1:2" x14ac:dyDescent="0.2">
      <c r="A415" s="16" t="str">
        <v>successful</v>
      </c>
      <c r="B415" s="5">
        <v>118580</v>
      </c>
    </row>
    <row r="416" spans="1:2" x14ac:dyDescent="0.2">
      <c r="A416" s="16" t="str">
        <v>successful</v>
      </c>
      <c r="B416" s="5">
        <v>11214</v>
      </c>
    </row>
    <row r="417" spans="1:2" x14ac:dyDescent="0.2">
      <c r="A417" s="16" t="str">
        <v>successful</v>
      </c>
      <c r="B417" s="5">
        <v>13527</v>
      </c>
    </row>
    <row r="418" spans="1:2" x14ac:dyDescent="0.2">
      <c r="A418" s="16" t="str">
        <v>successful</v>
      </c>
      <c r="B418" s="5">
        <v>8363</v>
      </c>
    </row>
    <row r="419" spans="1:2" x14ac:dyDescent="0.2">
      <c r="A419" s="16" t="str">
        <v>successful</v>
      </c>
      <c r="B419" s="5">
        <v>12065</v>
      </c>
    </row>
    <row r="420" spans="1:2" x14ac:dyDescent="0.2">
      <c r="A420" s="16" t="str">
        <v>successful</v>
      </c>
      <c r="B420" s="5">
        <v>118603</v>
      </c>
    </row>
    <row r="421" spans="1:2" x14ac:dyDescent="0.2">
      <c r="A421" s="16" t="str">
        <v>successful</v>
      </c>
      <c r="B421" s="5">
        <v>7496</v>
      </c>
    </row>
    <row r="422" spans="1:2" x14ac:dyDescent="0.2">
      <c r="A422" s="16" t="str">
        <v>successful</v>
      </c>
      <c r="B422" s="5">
        <v>10037</v>
      </c>
    </row>
    <row r="423" spans="1:2" x14ac:dyDescent="0.2">
      <c r="A423" s="16" t="str">
        <v>successful</v>
      </c>
      <c r="B423" s="5">
        <v>5696</v>
      </c>
    </row>
    <row r="424" spans="1:2" x14ac:dyDescent="0.2">
      <c r="A424" s="16" t="str">
        <v>successful</v>
      </c>
      <c r="B424" s="5">
        <v>167005</v>
      </c>
    </row>
    <row r="425" spans="1:2" x14ac:dyDescent="0.2">
      <c r="A425" s="16" t="str">
        <v>successful</v>
      </c>
      <c r="B425" s="5">
        <v>14420</v>
      </c>
    </row>
    <row r="426" spans="1:2" x14ac:dyDescent="0.2">
      <c r="A426" s="16" t="str">
        <v>successful</v>
      </c>
      <c r="B426" s="5">
        <v>6204</v>
      </c>
    </row>
    <row r="427" spans="1:2" x14ac:dyDescent="0.2">
      <c r="A427" s="16" t="str">
        <v>successful</v>
      </c>
      <c r="B427" s="5">
        <v>6338</v>
      </c>
    </row>
    <row r="428" spans="1:2" x14ac:dyDescent="0.2">
      <c r="A428" s="16" t="str">
        <v>successful</v>
      </c>
      <c r="B428" s="5">
        <v>8010</v>
      </c>
    </row>
    <row r="429" spans="1:2" x14ac:dyDescent="0.2">
      <c r="A429" s="16" t="str">
        <v>successful</v>
      </c>
      <c r="B429" s="5">
        <v>8125</v>
      </c>
    </row>
    <row r="430" spans="1:2" x14ac:dyDescent="0.2">
      <c r="A430" s="16" t="str">
        <v>successful</v>
      </c>
      <c r="B430" s="5">
        <v>11088</v>
      </c>
    </row>
    <row r="431" spans="1:2" x14ac:dyDescent="0.2">
      <c r="A431" s="16" t="str">
        <v>successful</v>
      </c>
      <c r="B431" s="5">
        <v>11642</v>
      </c>
    </row>
    <row r="432" spans="1:2" x14ac:dyDescent="0.2">
      <c r="A432" s="16" t="str">
        <v>successful</v>
      </c>
      <c r="B432" s="5">
        <v>169586</v>
      </c>
    </row>
    <row r="433" spans="1:2" x14ac:dyDescent="0.2">
      <c r="A433" s="16" t="str">
        <v>successful</v>
      </c>
      <c r="B433" s="5">
        <v>101185</v>
      </c>
    </row>
    <row r="434" spans="1:2" x14ac:dyDescent="0.2">
      <c r="A434" s="16" t="str">
        <v>successful</v>
      </c>
      <c r="B434" s="5">
        <v>6775</v>
      </c>
    </row>
    <row r="435" spans="1:2" x14ac:dyDescent="0.2">
      <c r="A435" s="16" t="str">
        <v>successful</v>
      </c>
      <c r="B435" s="5">
        <v>10243</v>
      </c>
    </row>
    <row r="436" spans="1:2" x14ac:dyDescent="0.2">
      <c r="A436" s="16" t="str">
        <v>successful</v>
      </c>
      <c r="B436" s="5">
        <v>5421</v>
      </c>
    </row>
    <row r="437" spans="1:2" x14ac:dyDescent="0.2">
      <c r="A437" s="16" t="str">
        <v>successful</v>
      </c>
      <c r="B437" s="5">
        <v>10981</v>
      </c>
    </row>
    <row r="438" spans="1:2" x14ac:dyDescent="0.2">
      <c r="A438" s="16" t="str">
        <v>successful</v>
      </c>
      <c r="B438" s="5">
        <v>10451</v>
      </c>
    </row>
    <row r="439" spans="1:2" x14ac:dyDescent="0.2">
      <c r="A439" s="16" t="str">
        <v>successful</v>
      </c>
      <c r="B439" s="5">
        <v>102535</v>
      </c>
    </row>
    <row r="440" spans="1:2" x14ac:dyDescent="0.2">
      <c r="A440" s="16" t="str">
        <v>successful</v>
      </c>
      <c r="B440" s="5">
        <v>12939</v>
      </c>
    </row>
    <row r="441" spans="1:2" x14ac:dyDescent="0.2">
      <c r="A441" s="16" t="str">
        <v>successful</v>
      </c>
      <c r="B441" s="5">
        <v>10946</v>
      </c>
    </row>
    <row r="442" spans="1:2" x14ac:dyDescent="0.2">
      <c r="A442" s="16" t="str">
        <v>successful</v>
      </c>
      <c r="B442" s="5">
        <v>13045</v>
      </c>
    </row>
    <row r="443" spans="1:2" x14ac:dyDescent="0.2">
      <c r="A443" s="16" t="str">
        <v>successful</v>
      </c>
      <c r="B443" s="5">
        <v>8276</v>
      </c>
    </row>
    <row r="444" spans="1:2" x14ac:dyDescent="0.2">
      <c r="A444" s="16" t="str">
        <v>successful</v>
      </c>
      <c r="B444" s="5">
        <v>8332</v>
      </c>
    </row>
    <row r="445" spans="1:2" x14ac:dyDescent="0.2">
      <c r="A445" s="16" t="str">
        <v>successful</v>
      </c>
      <c r="B445" s="5">
        <v>6408</v>
      </c>
    </row>
    <row r="446" spans="1:2" x14ac:dyDescent="0.2">
      <c r="A446" s="16" t="str">
        <v>successful</v>
      </c>
      <c r="B446" s="5">
        <v>4667</v>
      </c>
    </row>
    <row r="447" spans="1:2" x14ac:dyDescent="0.2">
      <c r="A447" s="16" t="str">
        <v>successful</v>
      </c>
      <c r="B447" s="5">
        <v>12216</v>
      </c>
    </row>
    <row r="448" spans="1:2" x14ac:dyDescent="0.2">
      <c r="A448" s="16" t="str">
        <v>successful</v>
      </c>
      <c r="B448" s="5">
        <v>6527</v>
      </c>
    </row>
    <row r="449" spans="1:2" x14ac:dyDescent="0.2">
      <c r="A449" s="16" t="str">
        <v>successful</v>
      </c>
      <c r="B449" s="5">
        <v>6987</v>
      </c>
    </row>
    <row r="450" spans="1:2" x14ac:dyDescent="0.2">
      <c r="A450" s="16" t="str">
        <v>successful</v>
      </c>
      <c r="B450" s="5">
        <v>8262</v>
      </c>
    </row>
    <row r="451" spans="1:2" x14ac:dyDescent="0.2">
      <c r="A451" s="16" t="str">
        <v>successful</v>
      </c>
      <c r="B451" s="5">
        <v>1848</v>
      </c>
    </row>
    <row r="452" spans="1:2" x14ac:dyDescent="0.2">
      <c r="A452" s="16" t="str">
        <v>successful</v>
      </c>
      <c r="B452" s="5">
        <v>12360</v>
      </c>
    </row>
    <row r="453" spans="1:2" x14ac:dyDescent="0.2">
      <c r="A453" s="16" t="str">
        <v>successful</v>
      </c>
      <c r="B453" s="5">
        <v>134640</v>
      </c>
    </row>
    <row r="454" spans="1:2" x14ac:dyDescent="0.2">
      <c r="A454" s="16" t="str">
        <v>successful</v>
      </c>
      <c r="B454" s="5">
        <v>7661</v>
      </c>
    </row>
    <row r="455" spans="1:2" x14ac:dyDescent="0.2">
      <c r="A455" s="16" t="str">
        <v>successful</v>
      </c>
      <c r="B455" s="5">
        <v>11721</v>
      </c>
    </row>
    <row r="456" spans="1:2" x14ac:dyDescent="0.2">
      <c r="A456" s="16" t="str">
        <v>successful</v>
      </c>
      <c r="B456" s="5">
        <v>14150</v>
      </c>
    </row>
    <row r="457" spans="1:2" x14ac:dyDescent="0.2">
      <c r="A457" s="16" t="str">
        <v>successful</v>
      </c>
      <c r="B457" s="5">
        <v>189192</v>
      </c>
    </row>
    <row r="458" spans="1:2" x14ac:dyDescent="0.2">
      <c r="A458" s="16" t="str">
        <v>successful</v>
      </c>
      <c r="B458" s="5">
        <v>7664</v>
      </c>
    </row>
    <row r="459" spans="1:2" x14ac:dyDescent="0.2">
      <c r="A459" s="16" t="str">
        <v>successful</v>
      </c>
      <c r="B459" s="5">
        <v>12009</v>
      </c>
    </row>
    <row r="460" spans="1:2" x14ac:dyDescent="0.2">
      <c r="A460" s="16" t="str">
        <v>successful</v>
      </c>
      <c r="B460" s="5">
        <v>14273</v>
      </c>
    </row>
    <row r="461" spans="1:2" x14ac:dyDescent="0.2">
      <c r="A461" s="16" t="str">
        <v>successful</v>
      </c>
      <c r="B461" s="5">
        <v>188982</v>
      </c>
    </row>
    <row r="462" spans="1:2" x14ac:dyDescent="0.2">
      <c r="A462" s="16" t="str">
        <v>successful</v>
      </c>
      <c r="B462" s="5">
        <v>14640</v>
      </c>
    </row>
    <row r="463" spans="1:2" x14ac:dyDescent="0.2">
      <c r="A463" s="16" t="str">
        <v>successful</v>
      </c>
      <c r="B463" s="5">
        <v>107516</v>
      </c>
    </row>
    <row r="464" spans="1:2" x14ac:dyDescent="0.2">
      <c r="A464" s="16" t="str">
        <v>successful</v>
      </c>
      <c r="B464" s="5">
        <v>13950</v>
      </c>
    </row>
    <row r="465" spans="1:2" x14ac:dyDescent="0.2">
      <c r="A465" s="16" t="str">
        <v>successful</v>
      </c>
      <c r="B465" s="5">
        <v>12797</v>
      </c>
    </row>
    <row r="466" spans="1:2" x14ac:dyDescent="0.2">
      <c r="A466" s="16" t="str">
        <v>successful</v>
      </c>
      <c r="B466" s="5">
        <v>6134</v>
      </c>
    </row>
    <row r="467" spans="1:2" x14ac:dyDescent="0.2">
      <c r="A467" s="16" t="str">
        <v>successful</v>
      </c>
      <c r="B467" s="5">
        <v>105817</v>
      </c>
    </row>
    <row r="468" spans="1:2" x14ac:dyDescent="0.2">
      <c r="A468" s="16" t="str">
        <v>successful</v>
      </c>
      <c r="B468" s="5">
        <v>136156</v>
      </c>
    </row>
    <row r="469" spans="1:2" x14ac:dyDescent="0.2">
      <c r="A469" s="16" t="str">
        <v>successful</v>
      </c>
      <c r="B469" s="5">
        <v>10723</v>
      </c>
    </row>
    <row r="470" spans="1:2" x14ac:dyDescent="0.2">
      <c r="A470" s="16" t="str">
        <v>successful</v>
      </c>
      <c r="B470" s="5">
        <v>11228</v>
      </c>
    </row>
    <row r="471" spans="1:2" x14ac:dyDescent="0.2">
      <c r="A471" s="16" t="str">
        <v>successful</v>
      </c>
      <c r="B471" s="5">
        <v>150960</v>
      </c>
    </row>
    <row r="472" spans="1:2" x14ac:dyDescent="0.2">
      <c r="A472" s="16" t="str">
        <v>successful</v>
      </c>
      <c r="B472" s="5">
        <v>8890</v>
      </c>
    </row>
    <row r="473" spans="1:2" x14ac:dyDescent="0.2">
      <c r="A473" s="16" t="str">
        <v>successful</v>
      </c>
      <c r="B473" s="5">
        <v>14644</v>
      </c>
    </row>
    <row r="474" spans="1:2" x14ac:dyDescent="0.2">
      <c r="A474" s="16" t="str">
        <v>successful</v>
      </c>
      <c r="B474" s="5">
        <v>116583</v>
      </c>
    </row>
    <row r="475" spans="1:2" x14ac:dyDescent="0.2">
      <c r="A475" s="16" t="str">
        <v>successful</v>
      </c>
      <c r="B475" s="5">
        <v>12991</v>
      </c>
    </row>
    <row r="476" spans="1:2" x14ac:dyDescent="0.2">
      <c r="A476" s="16" t="str">
        <v>successful</v>
      </c>
      <c r="B476" s="5">
        <v>8447</v>
      </c>
    </row>
    <row r="477" spans="1:2" x14ac:dyDescent="0.2">
      <c r="A477" s="16" t="str">
        <v>successful</v>
      </c>
      <c r="B477" s="5">
        <v>138087</v>
      </c>
    </row>
    <row r="478" spans="1:2" x14ac:dyDescent="0.2">
      <c r="A478" s="16" t="str">
        <v>successful</v>
      </c>
      <c r="B478" s="5">
        <v>5085</v>
      </c>
    </row>
    <row r="479" spans="1:2" x14ac:dyDescent="0.2">
      <c r="A479" s="16" t="str">
        <v>successful</v>
      </c>
      <c r="B479" s="5">
        <v>11174</v>
      </c>
    </row>
    <row r="480" spans="1:2" x14ac:dyDescent="0.2">
      <c r="A480" s="16" t="str">
        <v>successful</v>
      </c>
      <c r="B480" s="5">
        <v>10831</v>
      </c>
    </row>
    <row r="481" spans="1:2" x14ac:dyDescent="0.2">
      <c r="A481" s="16" t="str">
        <v>successful</v>
      </c>
      <c r="B481" s="5">
        <v>8917</v>
      </c>
    </row>
    <row r="482" spans="1:2" x14ac:dyDescent="0.2">
      <c r="A482" s="16" t="str">
        <v>successful</v>
      </c>
      <c r="B482" s="5">
        <v>12468</v>
      </c>
    </row>
    <row r="483" spans="1:2" x14ac:dyDescent="0.2">
      <c r="A483" s="16" t="str">
        <v>successful</v>
      </c>
      <c r="B483" s="5">
        <v>111502</v>
      </c>
    </row>
    <row r="484" spans="1:2" x14ac:dyDescent="0.2">
      <c r="A484" s="16" t="str">
        <v>successful</v>
      </c>
      <c r="B484" s="5">
        <v>194309</v>
      </c>
    </row>
    <row r="485" spans="1:2" x14ac:dyDescent="0.2">
      <c r="A485" s="16" t="str">
        <v>successful</v>
      </c>
      <c r="B485" s="5">
        <v>23956</v>
      </c>
    </row>
    <row r="486" spans="1:2" x14ac:dyDescent="0.2">
      <c r="A486" s="16" t="str">
        <v>successful</v>
      </c>
      <c r="B486" s="5">
        <v>8558</v>
      </c>
    </row>
    <row r="487" spans="1:2" x14ac:dyDescent="0.2">
      <c r="A487" s="16" t="str">
        <v>successful</v>
      </c>
      <c r="B487" s="5">
        <v>7413</v>
      </c>
    </row>
    <row r="488" spans="1:2" x14ac:dyDescent="0.2">
      <c r="A488" s="16" t="str">
        <v>successful</v>
      </c>
      <c r="B488" s="5">
        <v>5033</v>
      </c>
    </row>
    <row r="489" spans="1:2" x14ac:dyDescent="0.2">
      <c r="A489" s="16" t="str">
        <v>successful</v>
      </c>
      <c r="B489" s="5">
        <v>9317</v>
      </c>
    </row>
    <row r="490" spans="1:2" x14ac:dyDescent="0.2">
      <c r="A490" s="16" t="str">
        <v>successful</v>
      </c>
      <c r="B490" s="5">
        <v>6560</v>
      </c>
    </row>
    <row r="491" spans="1:2" x14ac:dyDescent="0.2">
      <c r="A491" s="16" t="str">
        <v>successful</v>
      </c>
      <c r="B491" s="5">
        <v>5415</v>
      </c>
    </row>
    <row r="492" spans="1:2" x14ac:dyDescent="0.2">
      <c r="A492" s="16" t="str">
        <v>successful</v>
      </c>
      <c r="B492" s="5">
        <v>14577</v>
      </c>
    </row>
    <row r="493" spans="1:2" x14ac:dyDescent="0.2">
      <c r="A493" s="16" t="str">
        <v>successful</v>
      </c>
      <c r="B493" s="5">
        <v>150515</v>
      </c>
    </row>
    <row r="494" spans="1:2" x14ac:dyDescent="0.2">
      <c r="A494" s="16" t="str">
        <v>successful</v>
      </c>
      <c r="B494" s="5">
        <v>7797</v>
      </c>
    </row>
    <row r="495" spans="1:2" x14ac:dyDescent="0.2">
      <c r="A495" s="16" t="str">
        <v>successful</v>
      </c>
      <c r="B495" s="5">
        <v>12939</v>
      </c>
    </row>
    <row r="496" spans="1:2" x14ac:dyDescent="0.2">
      <c r="A496" s="16" t="str">
        <v>successful</v>
      </c>
      <c r="B496" s="5">
        <v>194912</v>
      </c>
    </row>
    <row r="497" spans="1:2" x14ac:dyDescent="0.2">
      <c r="A497" s="16" t="str">
        <v>successful</v>
      </c>
      <c r="B497" s="5">
        <v>7992</v>
      </c>
    </row>
    <row r="498" spans="1:2" x14ac:dyDescent="0.2">
      <c r="A498" s="16" t="str">
        <v>successful</v>
      </c>
      <c r="B498" s="5">
        <v>79268</v>
      </c>
    </row>
    <row r="499" spans="1:2" x14ac:dyDescent="0.2">
      <c r="A499" s="16" t="str">
        <v>successful</v>
      </c>
      <c r="B499" s="5">
        <v>139468</v>
      </c>
    </row>
    <row r="500" spans="1:2" x14ac:dyDescent="0.2">
      <c r="A500" s="16" t="str">
        <v>successful</v>
      </c>
      <c r="B500" s="5">
        <v>5438</v>
      </c>
    </row>
    <row r="501" spans="1:2" x14ac:dyDescent="0.2">
      <c r="A501" s="16" t="str">
        <v>successful</v>
      </c>
      <c r="B501" s="5">
        <v>193101</v>
      </c>
    </row>
    <row r="502" spans="1:2" x14ac:dyDescent="0.2">
      <c r="A502" s="16" t="str">
        <v>successful</v>
      </c>
      <c r="B502" s="5">
        <v>2960</v>
      </c>
    </row>
    <row r="503" spans="1:2" x14ac:dyDescent="0.2">
      <c r="A503" s="16" t="str">
        <v>successful</v>
      </c>
      <c r="B503" s="5">
        <v>8089</v>
      </c>
    </row>
    <row r="504" spans="1:2" x14ac:dyDescent="0.2">
      <c r="A504" s="16" t="str">
        <v>successful</v>
      </c>
      <c r="B504" s="5">
        <v>2129</v>
      </c>
    </row>
    <row r="505" spans="1:2" x14ac:dyDescent="0.2">
      <c r="A505" s="16" t="str">
        <v>successful</v>
      </c>
      <c r="B505" s="5">
        <v>12174</v>
      </c>
    </row>
    <row r="506" spans="1:2" x14ac:dyDescent="0.2">
      <c r="A506" s="16" t="str">
        <v>successful</v>
      </c>
      <c r="B506" s="5">
        <v>9508</v>
      </c>
    </row>
    <row r="507" spans="1:2" x14ac:dyDescent="0.2">
      <c r="A507" s="16" t="str">
        <v>successful</v>
      </c>
      <c r="B507" s="5">
        <v>155849</v>
      </c>
    </row>
    <row r="508" spans="1:2" x14ac:dyDescent="0.2">
      <c r="A508" s="16" t="str">
        <v>successful</v>
      </c>
      <c r="B508" s="5">
        <v>7758</v>
      </c>
    </row>
    <row r="509" spans="1:2" x14ac:dyDescent="0.2">
      <c r="A509" s="16" t="str">
        <v>successful</v>
      </c>
      <c r="B509" s="5">
        <v>13835</v>
      </c>
    </row>
    <row r="510" spans="1:2" x14ac:dyDescent="0.2">
      <c r="A510" s="16" t="str">
        <v>successful</v>
      </c>
      <c r="B510" s="5">
        <v>10770</v>
      </c>
    </row>
    <row r="511" spans="1:2" x14ac:dyDescent="0.2">
      <c r="A511" s="16" t="str">
        <v>successful</v>
      </c>
      <c r="B511" s="5">
        <v>3208</v>
      </c>
    </row>
    <row r="512" spans="1:2" x14ac:dyDescent="0.2">
      <c r="A512" s="16" t="str">
        <v>successful</v>
      </c>
      <c r="B512" s="5">
        <v>153338</v>
      </c>
    </row>
    <row r="513" spans="1:2" x14ac:dyDescent="0.2">
      <c r="A513" s="16" t="str">
        <v>successful</v>
      </c>
      <c r="B513" s="5">
        <v>12620</v>
      </c>
    </row>
    <row r="514" spans="1:2" x14ac:dyDescent="0.2">
      <c r="A514" s="16" t="str">
        <v>successful</v>
      </c>
      <c r="B514" s="5">
        <v>8746</v>
      </c>
    </row>
    <row r="515" spans="1:2" x14ac:dyDescent="0.2">
      <c r="A515" s="16" t="str">
        <v>successful</v>
      </c>
      <c r="B515" s="5">
        <v>3534</v>
      </c>
    </row>
    <row r="516" spans="1:2" x14ac:dyDescent="0.2">
      <c r="A516" s="16" t="str">
        <v>successful</v>
      </c>
      <c r="B516" s="5">
        <v>12955</v>
      </c>
    </row>
    <row r="517" spans="1:2" x14ac:dyDescent="0.2">
      <c r="A517" s="16" t="str">
        <v>successful</v>
      </c>
      <c r="B517" s="5">
        <v>8964</v>
      </c>
    </row>
    <row r="518" spans="1:2" x14ac:dyDescent="0.2">
      <c r="A518" s="16" t="str">
        <v>successful</v>
      </c>
      <c r="B518" s="5">
        <v>121950</v>
      </c>
    </row>
    <row r="519" spans="1:2" x14ac:dyDescent="0.2">
      <c r="A519" s="16" t="str">
        <v>successful</v>
      </c>
      <c r="B519" s="5">
        <v>8621</v>
      </c>
    </row>
    <row r="520" spans="1:2" x14ac:dyDescent="0.2">
      <c r="A520" s="16" t="str">
        <v>successful</v>
      </c>
      <c r="B520" s="5">
        <v>11539</v>
      </c>
    </row>
    <row r="521" spans="1:2" x14ac:dyDescent="0.2">
      <c r="A521" s="16" t="str">
        <v>successful</v>
      </c>
      <c r="B521" s="5">
        <v>14310</v>
      </c>
    </row>
    <row r="522" spans="1:2" x14ac:dyDescent="0.2">
      <c r="A522" s="16" t="str">
        <v>successful</v>
      </c>
      <c r="B522" s="5">
        <v>195936</v>
      </c>
    </row>
    <row r="523" spans="1:2" x14ac:dyDescent="0.2">
      <c r="A523" s="16" t="str">
        <v>successful</v>
      </c>
      <c r="B523" s="5">
        <v>9021</v>
      </c>
    </row>
    <row r="524" spans="1:2" x14ac:dyDescent="0.2">
      <c r="A524" s="16" t="str">
        <v>successful</v>
      </c>
      <c r="B524" s="5">
        <v>9676</v>
      </c>
    </row>
    <row r="525" spans="1:2" x14ac:dyDescent="0.2">
      <c r="A525" s="16" t="str">
        <v>successful</v>
      </c>
      <c r="B525" s="5">
        <v>90440</v>
      </c>
    </row>
    <row r="526" spans="1:2" x14ac:dyDescent="0.2">
      <c r="A526" s="16" t="str">
        <v>successful</v>
      </c>
      <c r="B526" s="5">
        <v>4044</v>
      </c>
    </row>
    <row r="527" spans="1:2" x14ac:dyDescent="0.2">
      <c r="A527" s="16" t="str">
        <v>successful</v>
      </c>
      <c r="B527" s="5">
        <v>192292</v>
      </c>
    </row>
    <row r="528" spans="1:2" x14ac:dyDescent="0.2">
      <c r="A528" s="16" t="str">
        <v>successful</v>
      </c>
      <c r="B528" s="5">
        <v>6722</v>
      </c>
    </row>
    <row r="529" spans="1:2" x14ac:dyDescent="0.2">
      <c r="A529" s="16" t="str">
        <v>successful</v>
      </c>
      <c r="B529" s="5">
        <v>196386</v>
      </c>
    </row>
    <row r="530" spans="1:2" x14ac:dyDescent="0.2">
      <c r="A530" s="16" t="str">
        <v>successful</v>
      </c>
      <c r="B530" s="5">
        <v>11952</v>
      </c>
    </row>
    <row r="531" spans="1:2" x14ac:dyDescent="0.2">
      <c r="A531" s="16" t="str">
        <v>successful</v>
      </c>
      <c r="B531" s="5">
        <v>3930</v>
      </c>
    </row>
    <row r="532" spans="1:2" x14ac:dyDescent="0.2">
      <c r="A532" s="16" t="str">
        <v>successful</v>
      </c>
      <c r="B532" s="5">
        <v>4883</v>
      </c>
    </row>
    <row r="533" spans="1:2" x14ac:dyDescent="0.2">
      <c r="A533" s="16" t="str">
        <v>successful</v>
      </c>
      <c r="B533" s="5">
        <v>175015</v>
      </c>
    </row>
    <row r="534" spans="1:2" x14ac:dyDescent="0.2">
      <c r="A534" s="16" t="str">
        <v>successful</v>
      </c>
      <c r="B534" s="5">
        <v>11280</v>
      </c>
    </row>
    <row r="535" spans="1:2" x14ac:dyDescent="0.2">
      <c r="A535" s="16" t="str">
        <v>successful</v>
      </c>
      <c r="B535" s="5">
        <v>10012</v>
      </c>
    </row>
    <row r="536" spans="1:2" x14ac:dyDescent="0.2">
      <c r="A536" s="16" t="str">
        <v>successful</v>
      </c>
      <c r="B536" s="5">
        <v>10093</v>
      </c>
    </row>
    <row r="537" spans="1:2" x14ac:dyDescent="0.2">
      <c r="A537" s="16" t="str">
        <v>successful</v>
      </c>
      <c r="B537" s="5">
        <v>11969</v>
      </c>
    </row>
    <row r="538" spans="1:2" x14ac:dyDescent="0.2">
      <c r="A538" s="16" t="str">
        <v>successful</v>
      </c>
      <c r="B538" s="5">
        <v>9520</v>
      </c>
    </row>
    <row r="539" spans="1:2" x14ac:dyDescent="0.2">
      <c r="A539" s="16" t="str">
        <v>successful</v>
      </c>
      <c r="B539" s="5">
        <v>159056</v>
      </c>
    </row>
    <row r="540" spans="1:2" x14ac:dyDescent="0.2">
      <c r="A540" s="16" t="str">
        <v>successful</v>
      </c>
      <c r="B540" s="5">
        <v>156384</v>
      </c>
    </row>
    <row r="541" spans="1:2" x14ac:dyDescent="0.2">
      <c r="A541" s="16" t="str">
        <v>successful</v>
      </c>
      <c r="B541" s="5">
        <v>7763</v>
      </c>
    </row>
    <row r="542" spans="1:2" x14ac:dyDescent="0.2">
      <c r="A542" s="16" t="str">
        <v>successful</v>
      </c>
      <c r="B542" s="5">
        <v>12434</v>
      </c>
    </row>
    <row r="543" spans="1:2" x14ac:dyDescent="0.2">
      <c r="A543" s="16" t="str">
        <v>successful</v>
      </c>
      <c r="B543" s="5">
        <v>8081</v>
      </c>
    </row>
    <row r="544" spans="1:2" x14ac:dyDescent="0.2">
      <c r="A544" s="16" t="str">
        <v>successful</v>
      </c>
      <c r="B544" s="5">
        <v>6800</v>
      </c>
    </row>
    <row r="545" spans="1:2" x14ac:dyDescent="0.2">
      <c r="A545" s="16" t="str">
        <v>successful</v>
      </c>
      <c r="B545" s="5">
        <v>10657</v>
      </c>
    </row>
    <row r="546" spans="1:2" x14ac:dyDescent="0.2">
      <c r="A546" s="16" t="str">
        <v>successful</v>
      </c>
      <c r="B546" s="5">
        <v>13164</v>
      </c>
    </row>
    <row r="547" spans="1:2" x14ac:dyDescent="0.2">
      <c r="A547" s="16" t="str">
        <v>successful</v>
      </c>
      <c r="B547" s="5">
        <v>8501</v>
      </c>
    </row>
    <row r="548" spans="1:2" x14ac:dyDescent="0.2">
      <c r="A548" s="16" t="str">
        <v>successful</v>
      </c>
      <c r="B548" s="5">
        <v>13468</v>
      </c>
    </row>
    <row r="549" spans="1:2" x14ac:dyDescent="0.2">
      <c r="A549" s="16" t="str">
        <v>successful</v>
      </c>
      <c r="B549" s="5">
        <v>121138</v>
      </c>
    </row>
    <row r="550" spans="1:2" x14ac:dyDescent="0.2">
      <c r="A550" s="16" t="str">
        <v>successful</v>
      </c>
      <c r="B550" s="5">
        <v>8117</v>
      </c>
    </row>
    <row r="551" spans="1:2" x14ac:dyDescent="0.2">
      <c r="A551" s="16" t="str">
        <v>successful</v>
      </c>
      <c r="B551" s="5">
        <v>8550</v>
      </c>
    </row>
    <row r="552" spans="1:2" x14ac:dyDescent="0.2">
      <c r="A552" s="16" t="str">
        <v>successful</v>
      </c>
      <c r="B552" s="5">
        <v>97524</v>
      </c>
    </row>
    <row r="553" spans="1:2" x14ac:dyDescent="0.2">
      <c r="A553" s="16" t="str">
        <v>successful</v>
      </c>
      <c r="B553" s="5">
        <v>2991</v>
      </c>
    </row>
    <row r="554" spans="1:2" x14ac:dyDescent="0.2">
      <c r="A554" s="16" t="str">
        <v>successful</v>
      </c>
      <c r="B554" s="5">
        <v>8366</v>
      </c>
    </row>
    <row r="555" spans="1:2" x14ac:dyDescent="0.2">
      <c r="A555" s="16" t="str">
        <v>successful</v>
      </c>
      <c r="B555" s="5">
        <v>12886</v>
      </c>
    </row>
    <row r="556" spans="1:2" x14ac:dyDescent="0.2">
      <c r="A556" s="16" t="str">
        <v>successful</v>
      </c>
      <c r="B556" s="5">
        <v>8641</v>
      </c>
    </row>
    <row r="557" spans="1:2" x14ac:dyDescent="0.2">
      <c r="A557" s="16" t="str">
        <v>successful</v>
      </c>
      <c r="B557" s="5">
        <v>86244</v>
      </c>
    </row>
    <row r="558" spans="1:2" x14ac:dyDescent="0.2">
      <c r="A558" s="16" t="str">
        <v>successful</v>
      </c>
      <c r="B558" s="5">
        <v>11941</v>
      </c>
    </row>
    <row r="559" spans="1:2" x14ac:dyDescent="0.2">
      <c r="A559" s="16" t="str">
        <v>successful</v>
      </c>
      <c r="B559" s="5">
        <v>188404</v>
      </c>
    </row>
    <row r="560" spans="1:2" x14ac:dyDescent="0.2">
      <c r="A560" s="16" t="str">
        <v>successful</v>
      </c>
      <c r="B560" s="5">
        <v>9910</v>
      </c>
    </row>
    <row r="561" spans="1:2" x14ac:dyDescent="0.2">
      <c r="A561" s="16" t="str">
        <v>successful</v>
      </c>
      <c r="B561" s="5">
        <v>13441</v>
      </c>
    </row>
    <row r="562" spans="1:2" x14ac:dyDescent="0.2">
      <c r="A562" s="16" t="str">
        <v>successful</v>
      </c>
      <c r="B562" s="5">
        <v>11990</v>
      </c>
    </row>
    <row r="563" spans="1:2" x14ac:dyDescent="0.2">
      <c r="A563" s="16" t="str">
        <v>successful</v>
      </c>
      <c r="B563" s="5">
        <v>11091</v>
      </c>
    </row>
    <row r="564" spans="1:2" x14ac:dyDescent="0.2">
      <c r="A564" s="16" t="str">
        <v>successful</v>
      </c>
      <c r="B564" s="5">
        <v>13223</v>
      </c>
    </row>
    <row r="565" spans="1:2" x14ac:dyDescent="0.2">
      <c r="A565" s="16" t="str">
        <v>successful</v>
      </c>
      <c r="B565" s="5">
        <v>153216</v>
      </c>
    </row>
  </sheetData>
  <phoneticPr fontId="18" type="noConversion"/>
  <pageMargins left="0.7" right="0.7" top="0.75" bottom="0.75" header="0.3" footer="0.3"/>
  <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02AC6-A38F-844A-BB19-E5A457216C6A}">
  <dimension ref="A1:P39"/>
  <sheetViews>
    <sheetView zoomScaleNormal="100" workbookViewId="0"/>
  </sheetViews>
  <sheetFormatPr baseColWidth="10" defaultRowHeight="16" x14ac:dyDescent="0.2"/>
  <cols>
    <col min="1" max="1" width="20.83203125" style="5" customWidth="1"/>
    <col min="2" max="2" width="15.83203125" style="35" customWidth="1"/>
    <col min="3" max="4" width="15.83203125" style="31" customWidth="1"/>
    <col min="5" max="6" width="15.83203125" style="21" customWidth="1"/>
    <col min="7" max="16" width="12.83203125" style="21" customWidth="1"/>
    <col min="17" max="16384" width="10.83203125" style="5"/>
  </cols>
  <sheetData>
    <row r="1" spans="1:16" x14ac:dyDescent="0.2">
      <c r="A1"/>
      <c r="B1"/>
      <c r="D1" s="36"/>
    </row>
    <row r="3" spans="1:16" x14ac:dyDescent="0.2">
      <c r="A3" s="9" t="s">
        <v>2031</v>
      </c>
      <c r="B3" s="37" t="s">
        <v>2133</v>
      </c>
      <c r="C3" s="37" t="s">
        <v>2080</v>
      </c>
      <c r="D3" s="25" t="s">
        <v>2134</v>
      </c>
      <c r="E3" s="25" t="s">
        <v>2137</v>
      </c>
      <c r="F3" s="25" t="s">
        <v>2145</v>
      </c>
      <c r="G3" s="41" t="s">
        <v>2135</v>
      </c>
      <c r="H3" s="42" t="s">
        <v>2139</v>
      </c>
      <c r="I3" s="41" t="s">
        <v>2138</v>
      </c>
      <c r="J3" s="43" t="s">
        <v>2140</v>
      </c>
      <c r="K3" s="43" t="s">
        <v>2136</v>
      </c>
      <c r="L3" s="44" t="s">
        <v>2141</v>
      </c>
      <c r="M3" s="44" t="s">
        <v>2142</v>
      </c>
      <c r="N3" s="44" t="s">
        <v>2143</v>
      </c>
      <c r="O3" s="44" t="s">
        <v>2144</v>
      </c>
      <c r="P3" s="44" t="s">
        <v>2104</v>
      </c>
    </row>
    <row r="4" spans="1:16" x14ac:dyDescent="0.2">
      <c r="A4" s="10" t="s">
        <v>2032</v>
      </c>
      <c r="B4" s="37">
        <v>178</v>
      </c>
      <c r="C4" s="37">
        <v>8744700</v>
      </c>
      <c r="D4" s="25">
        <v>49127.528089887637</v>
      </c>
      <c r="E4" s="25">
        <v>4171861657.9346042</v>
      </c>
      <c r="F4" s="25">
        <v>64589.950131073827</v>
      </c>
      <c r="G4" s="51" cm="1">
        <f t="array" ref="G4">MIN(_xlfn._xlws.FILTER(CrowdfundingTable[goal],CrowdfundingTable[primary_category]=A4))</f>
        <v>100</v>
      </c>
      <c r="H4" s="51" cm="1">
        <f t="array" ref="H4">_xlfn.QUARTILE.EXC(_xlfn._xlws.FILTER(CrowdfundingTable[goal],CrowdfundingTable[primary_category]=A4),1)</f>
        <v>4775</v>
      </c>
      <c r="I4" s="51" cm="1">
        <f t="array" ref="I4">MEDIAN(_xlfn._xlws.FILTER(CrowdfundingTable[goal],CrowdfundingTable[primary_category]=A4))</f>
        <v>8450</v>
      </c>
      <c r="J4" s="51" cm="1">
        <f t="array" ref="J4">_xlfn.QUARTILE.EXC(_xlfn._xlws.FILTER(CrowdfundingTable[goal],CrowdfundingTable[primary_category]=A4),3)</f>
        <v>99875</v>
      </c>
      <c r="K4" s="51" cm="1">
        <f t="array" ref="K4">MAX(_xlfn._xlws.FILTER(CrowdfundingTable[goal],CrowdfundingTable[primary_category]=A4))</f>
        <v>197700</v>
      </c>
      <c r="L4" s="51">
        <f>J4-H4</f>
        <v>95100</v>
      </c>
      <c r="M4" s="51">
        <f>J4+(1.5*L4)</f>
        <v>242525</v>
      </c>
      <c r="N4" s="51">
        <f>H4-(1.5*L4)</f>
        <v>-137875</v>
      </c>
      <c r="O4" s="51" cm="1">
        <f t="array" aca="1" ref="O4" ca="1">COUNT(IF(_xlfn._xlws.FILTER(CrowdfundingTable[goal],CrowdfundingTable[primary_category]=A4) &gt; M4,1,Null()))</f>
        <v>0</v>
      </c>
      <c r="P4" s="52" cm="1">
        <f t="array" ref="P4">_xlfn.SKEW.P(_xlfn._xlws.FILTER(CrowdfundingTable[goal],CrowdfundingTable[primary_category]=A4))</f>
        <v>1.0946420574999836</v>
      </c>
    </row>
    <row r="5" spans="1:16" x14ac:dyDescent="0.2">
      <c r="A5" s="18" t="s">
        <v>2042</v>
      </c>
      <c r="B5" s="37">
        <v>34</v>
      </c>
      <c r="C5" s="37">
        <v>1728400</v>
      </c>
      <c r="D5" s="25">
        <v>50835.294117647056</v>
      </c>
      <c r="E5" s="25">
        <v>4921186989.6193771</v>
      </c>
      <c r="F5" s="25">
        <v>70151.172403740886</v>
      </c>
      <c r="G5" s="46" cm="1">
        <f t="array" ref="G5">MIN(_xlfn._xlws.FILTER(CrowdfundingTable[goal],CrowdfundingTable[subcategory]=A5))</f>
        <v>100</v>
      </c>
      <c r="H5" s="46" cm="1">
        <f t="array" ref="H5">_xlfn.QUARTILE.EXC(_xlfn._xlws.FILTER(CrowdfundingTable[goal],CrowdfundingTable[subcategory]=A5),1)</f>
        <v>3950</v>
      </c>
      <c r="I5" s="46" cm="1">
        <f t="array" ref="I5">MEDIAN(_xlfn._xlws.FILTER(CrowdfundingTable[goal],CrowdfundingTable[subcategory]=A5))</f>
        <v>8750</v>
      </c>
      <c r="J5" s="46" cm="1">
        <f t="array" ref="J5">_xlfn.QUARTILE.EXC(_xlfn._xlws.FILTER(CrowdfundingTable[goal],CrowdfundingTable[subcategory]=A5),3)</f>
        <v>106450</v>
      </c>
      <c r="K5" s="46" cm="1">
        <f t="array" ref="K5">MAX(_xlfn._xlws.FILTER(CrowdfundingTable[goal],CrowdfundingTable[subcategory]=A5))</f>
        <v>197700</v>
      </c>
      <c r="L5" s="46">
        <f t="shared" ref="L5:L36" si="0">J5-H5</f>
        <v>102500</v>
      </c>
      <c r="M5" s="46">
        <f t="shared" ref="M5:M36" si="1">J5+(1.5*L5)</f>
        <v>260200</v>
      </c>
      <c r="N5" s="46">
        <f t="shared" ref="N5:N36" si="2">H5-(1.5*L5)</f>
        <v>-149800</v>
      </c>
      <c r="O5" s="46" cm="1">
        <f t="array" aca="1" ref="O5" ca="1">COUNT(IF(_xlfn._xlws.FILTER(CrowdfundingTable[goal],CrowdfundingTable[subcategory]=A5) &gt; M5,1,Null()))</f>
        <v>0</v>
      </c>
      <c r="P5" s="47" cm="1">
        <f t="array" ref="P5">_xlfn.SKEW.P(_xlfn._xlws.FILTER(CrowdfundingTable[goal],CrowdfundingTable[subcategory]=A5))</f>
        <v>1.1517927314954581</v>
      </c>
    </row>
    <row r="6" spans="1:16" x14ac:dyDescent="0.2">
      <c r="A6" s="18" t="s">
        <v>2044</v>
      </c>
      <c r="B6" s="37">
        <v>60</v>
      </c>
      <c r="C6" s="37">
        <v>3386600</v>
      </c>
      <c r="D6" s="25">
        <v>56443.333333333336</v>
      </c>
      <c r="E6" s="25">
        <v>4730814122.2222223</v>
      </c>
      <c r="F6" s="25">
        <v>68780.913938550002</v>
      </c>
      <c r="G6" s="46" cm="1">
        <f t="array" ref="G6">MIN(_xlfn._xlws.FILTER(CrowdfundingTable[goal],CrowdfundingTable[subcategory]=A6))</f>
        <v>800</v>
      </c>
      <c r="H6" s="46" cm="1">
        <f t="array" ref="H6">_xlfn.QUARTILE.EXC(_xlfn._xlws.FILTER(CrowdfundingTable[goal],CrowdfundingTable[subcategory]=A6),1)</f>
        <v>5000</v>
      </c>
      <c r="I6" s="46" cm="1">
        <f t="array" ref="I6">MEDIAN(_xlfn._xlws.FILTER(CrowdfundingTable[goal],CrowdfundingTable[subcategory]=A6))</f>
        <v>8850</v>
      </c>
      <c r="J6" s="46" cm="1">
        <f t="array" ref="J6">_xlfn.QUARTILE.EXC(_xlfn._xlws.FILTER(CrowdfundingTable[goal],CrowdfundingTable[subcategory]=A6),3)</f>
        <v>127175</v>
      </c>
      <c r="K6" s="46" cm="1">
        <f t="array" ref="K6">MAX(_xlfn._xlws.FILTER(CrowdfundingTable[goal],CrowdfundingTable[subcategory]=A6))</f>
        <v>196900</v>
      </c>
      <c r="L6" s="46">
        <f t="shared" si="0"/>
        <v>122175</v>
      </c>
      <c r="M6" s="46">
        <f t="shared" si="1"/>
        <v>310437.5</v>
      </c>
      <c r="N6" s="46">
        <f t="shared" si="2"/>
        <v>-178262.5</v>
      </c>
      <c r="O6" s="46" cm="1">
        <f t="array" aca="1" ref="O6" ca="1">COUNT(IF(_xlfn._xlws.FILTER(CrowdfundingTable[goal],CrowdfundingTable[subcategory]=A6) &gt; M6,1,Null()))</f>
        <v>0</v>
      </c>
      <c r="P6" s="47" cm="1">
        <f t="array" ref="P6">_xlfn.SKEW.P(_xlfn._xlws.FILTER(CrowdfundingTable[goal],CrowdfundingTable[subcategory]=A6))</f>
        <v>0.79622663590117471</v>
      </c>
    </row>
    <row r="7" spans="1:16" x14ac:dyDescent="0.2">
      <c r="A7" s="18" t="s">
        <v>2045</v>
      </c>
      <c r="B7" s="37">
        <v>37</v>
      </c>
      <c r="C7" s="37">
        <v>1395300</v>
      </c>
      <c r="D7" s="25">
        <v>37710.810810810814</v>
      </c>
      <c r="E7" s="25">
        <v>2495622585.8290725</v>
      </c>
      <c r="F7" s="25">
        <v>49956.206679741736</v>
      </c>
      <c r="G7" s="46" cm="1">
        <f t="array" ref="G7">MIN(_xlfn._xlws.FILTER(CrowdfundingTable[goal],CrowdfundingTable[subcategory]=A7))</f>
        <v>700</v>
      </c>
      <c r="H7" s="46" cm="1">
        <f t="array" ref="H7">_xlfn.QUARTILE.EXC(_xlfn._xlws.FILTER(CrowdfundingTable[goal],CrowdfundingTable[subcategory]=A7),1)</f>
        <v>4950</v>
      </c>
      <c r="I7" s="46" cm="1">
        <f t="array" ref="I7">MEDIAN(_xlfn._xlws.FILTER(CrowdfundingTable[goal],CrowdfundingTable[subcategory]=A7))</f>
        <v>7800</v>
      </c>
      <c r="J7" s="46" cm="1">
        <f t="array" ref="J7">_xlfn.QUARTILE.EXC(_xlfn._xlws.FILTER(CrowdfundingTable[goal],CrowdfundingTable[subcategory]=A7),3)</f>
        <v>76500</v>
      </c>
      <c r="K7" s="46" cm="1">
        <f t="array" ref="K7">MAX(_xlfn._xlws.FILTER(CrowdfundingTable[goal],CrowdfundingTable[subcategory]=A7))</f>
        <v>161900</v>
      </c>
      <c r="L7" s="46">
        <f t="shared" si="0"/>
        <v>71550</v>
      </c>
      <c r="M7" s="46">
        <f t="shared" si="1"/>
        <v>183825</v>
      </c>
      <c r="N7" s="46">
        <f t="shared" si="2"/>
        <v>-102375</v>
      </c>
      <c r="O7" s="46" cm="1">
        <f t="array" aca="1" ref="O7" ca="1">COUNT(IF(_xlfn._xlws.FILTER(CrowdfundingTable[goal],CrowdfundingTable[subcategory]=A7) &gt; M7,1,Null()))</f>
        <v>0</v>
      </c>
      <c r="P7" s="47" cm="1">
        <f t="array" ref="P7">_xlfn.SKEW.P(_xlfn._xlws.FILTER(CrowdfundingTable[goal],CrowdfundingTable[subcategory]=A7))</f>
        <v>1.2231584513194318</v>
      </c>
    </row>
    <row r="8" spans="1:16" x14ac:dyDescent="0.2">
      <c r="A8" s="18" t="s">
        <v>2058</v>
      </c>
      <c r="B8" s="37">
        <v>14</v>
      </c>
      <c r="C8" s="37">
        <v>766300</v>
      </c>
      <c r="D8" s="25">
        <v>54735.714285714283</v>
      </c>
      <c r="E8" s="25">
        <v>4133888010.2040815</v>
      </c>
      <c r="F8" s="25">
        <v>64295.318726981059</v>
      </c>
      <c r="G8" s="46" cm="1">
        <f t="array" ref="G8">MIN(_xlfn._xlws.FILTER(CrowdfundingTable[goal],CrowdfundingTable[subcategory]=A8))</f>
        <v>3300</v>
      </c>
      <c r="H8" s="46" cm="1">
        <f t="array" ref="H8">_xlfn.QUARTILE.EXC(_xlfn._xlws.FILTER(CrowdfundingTable[goal],CrowdfundingTable[subcategory]=A8),1)</f>
        <v>7875</v>
      </c>
      <c r="I8" s="46" cm="1">
        <f t="array" ref="I8">MEDIAN(_xlfn._xlws.FILTER(CrowdfundingTable[goal],CrowdfundingTable[subcategory]=A8))</f>
        <v>19200</v>
      </c>
      <c r="J8" s="46" cm="1">
        <f t="array" ref="J8">_xlfn.QUARTILE.EXC(_xlfn._xlws.FILTER(CrowdfundingTable[goal],CrowdfundingTable[subcategory]=A8),3)</f>
        <v>104725</v>
      </c>
      <c r="K8" s="46" cm="1">
        <f t="array" ref="K8">MAX(_xlfn._xlws.FILTER(CrowdfundingTable[goal],CrowdfundingTable[subcategory]=A8))</f>
        <v>187600</v>
      </c>
      <c r="L8" s="46">
        <f t="shared" si="0"/>
        <v>96850</v>
      </c>
      <c r="M8" s="46">
        <f t="shared" si="1"/>
        <v>250000</v>
      </c>
      <c r="N8" s="46">
        <f t="shared" si="2"/>
        <v>-137400</v>
      </c>
      <c r="O8" s="46" cm="1">
        <f t="array" aca="1" ref="O8" ca="1">COUNT(IF(_xlfn._xlws.FILTER(CrowdfundingTable[goal],CrowdfundingTable[subcategory]=A8) &gt; M8,1,Null()))</f>
        <v>0</v>
      </c>
      <c r="P8" s="47" cm="1">
        <f t="array" ref="P8">_xlfn.SKEW.P(_xlfn._xlws.FILTER(CrowdfundingTable[goal],CrowdfundingTable[subcategory]=A8))</f>
        <v>1.1144324388177722</v>
      </c>
    </row>
    <row r="9" spans="1:16" x14ac:dyDescent="0.2">
      <c r="A9" s="18" t="s">
        <v>2059</v>
      </c>
      <c r="B9" s="37">
        <v>16</v>
      </c>
      <c r="C9" s="37">
        <v>775500</v>
      </c>
      <c r="D9" s="25">
        <v>48468.75</v>
      </c>
      <c r="E9" s="25">
        <v>4726660898.4375</v>
      </c>
      <c r="F9" s="25">
        <v>68750.715621275536</v>
      </c>
      <c r="G9" s="46" cm="1">
        <f t="array" ref="G9">MIN(_xlfn._xlws.FILTER(CrowdfundingTable[goal],CrowdfundingTable[subcategory]=A9))</f>
        <v>900</v>
      </c>
      <c r="H9" s="46" cm="1">
        <f t="array" ref="H9">_xlfn.QUARTILE.EXC(_xlfn._xlws.FILTER(CrowdfundingTable[goal],CrowdfundingTable[subcategory]=A9),1)</f>
        <v>3600</v>
      </c>
      <c r="I9" s="46" cm="1">
        <f t="array" ref="I9">MEDIAN(_xlfn._xlws.FILTER(CrowdfundingTable[goal],CrowdfundingTable[subcategory]=A9))</f>
        <v>6500</v>
      </c>
      <c r="J9" s="46" cm="1">
        <f t="array" ref="J9">_xlfn.QUARTILE.EXC(_xlfn._xlws.FILTER(CrowdfundingTable[goal],CrowdfundingTable[subcategory]=A9),3)</f>
        <v>57775</v>
      </c>
      <c r="K9" s="46" cm="1">
        <f t="array" ref="K9">MAX(_xlfn._xlws.FILTER(CrowdfundingTable[goal],CrowdfundingTable[subcategory]=A9))</f>
        <v>196700</v>
      </c>
      <c r="L9" s="46">
        <f t="shared" si="0"/>
        <v>54175</v>
      </c>
      <c r="M9" s="46">
        <f t="shared" si="1"/>
        <v>139037.5</v>
      </c>
      <c r="N9" s="46">
        <f t="shared" si="2"/>
        <v>-77662.5</v>
      </c>
      <c r="O9" s="46" cm="1">
        <f t="array" aca="1" ref="O9" ca="1">COUNT(IF(_xlfn._xlws.FILTER(CrowdfundingTable[goal],CrowdfundingTable[subcategory]=A9) &gt; M9,1,Null()))</f>
        <v>3</v>
      </c>
      <c r="P9" s="47" cm="1">
        <f t="array" ref="P9">_xlfn.SKEW.P(_xlfn._xlws.FILTER(CrowdfundingTable[goal],CrowdfundingTable[subcategory]=A9))</f>
        <v>1.3780513956639509</v>
      </c>
    </row>
    <row r="10" spans="1:16" x14ac:dyDescent="0.2">
      <c r="A10" s="18" t="s">
        <v>2060</v>
      </c>
      <c r="B10" s="37">
        <v>17</v>
      </c>
      <c r="C10" s="37">
        <v>692600</v>
      </c>
      <c r="D10" s="25">
        <v>40741.176470588238</v>
      </c>
      <c r="E10" s="25">
        <v>3282775363.3217993</v>
      </c>
      <c r="F10" s="25">
        <v>57295.509102562297</v>
      </c>
      <c r="G10" s="46" cm="1">
        <f t="array" ref="G10">MIN(_xlfn._xlws.FILTER(CrowdfundingTable[goal],CrowdfundingTable[subcategory]=A10))</f>
        <v>1000</v>
      </c>
      <c r="H10" s="46" cm="1">
        <f t="array" ref="H10">_xlfn.QUARTILE.EXC(_xlfn._xlws.FILTER(CrowdfundingTable[goal],CrowdfundingTable[subcategory]=A10),1)</f>
        <v>3200</v>
      </c>
      <c r="I10" s="46" cm="1">
        <f t="array" ref="I10">MEDIAN(_xlfn._xlws.FILTER(CrowdfundingTable[goal],CrowdfundingTable[subcategory]=A10))</f>
        <v>5200</v>
      </c>
      <c r="J10" s="46" cm="1">
        <f t="array" ref="J10">_xlfn.QUARTILE.EXC(_xlfn._xlws.FILTER(CrowdfundingTable[goal],CrowdfundingTable[subcategory]=A10),3)</f>
        <v>110350</v>
      </c>
      <c r="K10" s="46" cm="1">
        <f t="array" ref="K10">MAX(_xlfn._xlws.FILTER(CrowdfundingTable[goal],CrowdfundingTable[subcategory]=A10))</f>
        <v>155200</v>
      </c>
      <c r="L10" s="46">
        <f t="shared" si="0"/>
        <v>107150</v>
      </c>
      <c r="M10" s="46">
        <f t="shared" si="1"/>
        <v>271075</v>
      </c>
      <c r="N10" s="46">
        <f t="shared" si="2"/>
        <v>-157525</v>
      </c>
      <c r="O10" s="46" cm="1">
        <f t="array" aca="1" ref="O10" ca="1">COUNT(IF(_xlfn._xlws.FILTER(CrowdfundingTable[goal],CrowdfundingTable[subcategory]=A10) &gt; M10,1,Null()))</f>
        <v>0</v>
      </c>
      <c r="P10" s="47" cm="1">
        <f t="array" ref="P10">_xlfn.SKEW.P(_xlfn._xlws.FILTER(CrowdfundingTable[goal],CrowdfundingTable[subcategory]=A10))</f>
        <v>0.99425472443770035</v>
      </c>
    </row>
    <row r="11" spans="1:16" x14ac:dyDescent="0.2">
      <c r="A11" s="10" t="s">
        <v>2033</v>
      </c>
      <c r="B11" s="37">
        <v>46</v>
      </c>
      <c r="C11" s="37">
        <v>1921300</v>
      </c>
      <c r="D11" s="25">
        <v>41767.391304347824</v>
      </c>
      <c r="E11" s="25">
        <v>3703157849.7164459</v>
      </c>
      <c r="F11" s="25">
        <v>60853.577131639897</v>
      </c>
      <c r="G11" s="51" cm="1">
        <f t="array" ref="G11">MIN(_xlfn._xlws.FILTER(CrowdfundingTable[goal],CrowdfundingTable[primary_category]=A11))</f>
        <v>100</v>
      </c>
      <c r="H11" s="51" cm="1">
        <f t="array" ref="H11">_xlfn.QUARTILE.EXC(_xlfn._xlws.FILTER(CrowdfundingTable[goal],CrowdfundingTable[primary_category]=A11),1)</f>
        <v>3000</v>
      </c>
      <c r="I11" s="51" cm="1">
        <f t="array" ref="I11">MEDIAN(_xlfn._xlws.FILTER(CrowdfundingTable[goal],CrowdfundingTable[primary_category]=A11))</f>
        <v>7100</v>
      </c>
      <c r="J11" s="51" cm="1">
        <f t="array" ref="J11">_xlfn.QUARTILE.EXC(_xlfn._xlws.FILTER(CrowdfundingTable[goal],CrowdfundingTable[primary_category]=A11),3)</f>
        <v>97625</v>
      </c>
      <c r="K11" s="51" cm="1">
        <f t="array" ref="K11">MAX(_xlfn._xlws.FILTER(CrowdfundingTable[goal],CrowdfundingTable[primary_category]=A11))</f>
        <v>199000</v>
      </c>
      <c r="L11" s="51">
        <f t="shared" si="0"/>
        <v>94625</v>
      </c>
      <c r="M11" s="51">
        <f t="shared" si="1"/>
        <v>239562.5</v>
      </c>
      <c r="N11" s="51">
        <f t="shared" si="2"/>
        <v>-138937.5</v>
      </c>
      <c r="O11" s="51" cm="1">
        <f t="array" aca="1" ref="O11" ca="1">COUNT(IF(_xlfn._xlws.FILTER(CrowdfundingTable[goal],CrowdfundingTable[primary_category]=A11) &gt; M11,1,Null()))</f>
        <v>0</v>
      </c>
      <c r="P11" s="52" cm="1">
        <f t="array" ref="P11">_xlfn.SKEW.P(_xlfn._xlws.FILTER(CrowdfundingTable[goal],CrowdfundingTable[primary_category]=A11))</f>
        <v>1.2688608837053412</v>
      </c>
    </row>
    <row r="12" spans="1:16" x14ac:dyDescent="0.2">
      <c r="A12" s="18" t="s">
        <v>2048</v>
      </c>
      <c r="B12" s="37">
        <v>46</v>
      </c>
      <c r="C12" s="37">
        <v>1921300</v>
      </c>
      <c r="D12" s="25">
        <v>41767.391304347824</v>
      </c>
      <c r="E12" s="25">
        <v>3703157849.7164459</v>
      </c>
      <c r="F12" s="25">
        <v>60853.577131639897</v>
      </c>
      <c r="G12" s="46" cm="1">
        <f t="array" ref="G12">MIN(_xlfn._xlws.FILTER(CrowdfundingTable[goal],CrowdfundingTable[subcategory]=A12))</f>
        <v>100</v>
      </c>
      <c r="H12" s="46" cm="1">
        <f t="array" ref="H12">_xlfn.QUARTILE.EXC(_xlfn._xlws.FILTER(CrowdfundingTable[goal],CrowdfundingTable[subcategory]=A12),1)</f>
        <v>3000</v>
      </c>
      <c r="I12" s="46" cm="1">
        <f t="array" ref="I12">MEDIAN(_xlfn._xlws.FILTER(CrowdfundingTable[goal],CrowdfundingTable[subcategory]=A12))</f>
        <v>7100</v>
      </c>
      <c r="J12" s="46" cm="1">
        <f t="array" ref="J12">_xlfn.QUARTILE.EXC(_xlfn._xlws.FILTER(CrowdfundingTable[goal],CrowdfundingTable[subcategory]=A12),3)</f>
        <v>97625</v>
      </c>
      <c r="K12" s="46" cm="1">
        <f t="array" ref="K12">MAX(_xlfn._xlws.FILTER(CrowdfundingTable[goal],CrowdfundingTable[subcategory]=A12))</f>
        <v>199000</v>
      </c>
      <c r="L12" s="46">
        <f t="shared" si="0"/>
        <v>94625</v>
      </c>
      <c r="M12" s="46">
        <f t="shared" si="1"/>
        <v>239562.5</v>
      </c>
      <c r="N12" s="46">
        <f t="shared" si="2"/>
        <v>-138937.5</v>
      </c>
      <c r="O12" s="46" cm="1">
        <f t="array" aca="1" ref="O12" ca="1">COUNT(IF(_xlfn._xlws.FILTER(CrowdfundingTable[goal],CrowdfundingTable[subcategory]=A12) &gt; M12,1,Null()))</f>
        <v>0</v>
      </c>
      <c r="P12" s="47" cm="1">
        <f t="array" ref="P12">_xlfn.SKEW.P(_xlfn._xlws.FILTER(CrowdfundingTable[goal],CrowdfundingTable[subcategory]=A12))</f>
        <v>1.2688608837053412</v>
      </c>
    </row>
    <row r="13" spans="1:16" x14ac:dyDescent="0.2">
      <c r="A13" s="10" t="s">
        <v>2034</v>
      </c>
      <c r="B13" s="37">
        <v>48</v>
      </c>
      <c r="C13" s="37">
        <v>2858000</v>
      </c>
      <c r="D13" s="25">
        <v>59541.666666666664</v>
      </c>
      <c r="E13" s="25">
        <v>4410017013.8888893</v>
      </c>
      <c r="F13" s="25">
        <v>66407.958964938007</v>
      </c>
      <c r="G13" s="51" cm="1">
        <f t="array" ref="G13">MIN(_xlfn._xlws.FILTER(CrowdfundingTable[goal],CrowdfundingTable[primary_category]=A13))</f>
        <v>600</v>
      </c>
      <c r="H13" s="51" cm="1">
        <f t="array" ref="H13">_xlfn.QUARTILE.EXC(_xlfn._xlws.FILTER(CrowdfundingTable[goal],CrowdfundingTable[primary_category]=A13),1)</f>
        <v>4950</v>
      </c>
      <c r="I13" s="51" cm="1">
        <f t="array" ref="I13">MEDIAN(_xlfn._xlws.FILTER(CrowdfundingTable[goal],CrowdfundingTable[primary_category]=A13))</f>
        <v>14800</v>
      </c>
      <c r="J13" s="51" cm="1">
        <f t="array" ref="J13">_xlfn.QUARTILE.EXC(_xlfn._xlws.FILTER(CrowdfundingTable[goal],CrowdfundingTable[primary_category]=A13),3)</f>
        <v>98475</v>
      </c>
      <c r="K13" s="51" cm="1">
        <f t="array" ref="K13">MAX(_xlfn._xlws.FILTER(CrowdfundingTable[goal],CrowdfundingTable[primary_category]=A13))</f>
        <v>197600</v>
      </c>
      <c r="L13" s="51">
        <f t="shared" si="0"/>
        <v>93525</v>
      </c>
      <c r="M13" s="51">
        <f t="shared" si="1"/>
        <v>238762.5</v>
      </c>
      <c r="N13" s="51">
        <f t="shared" si="2"/>
        <v>-135337.5</v>
      </c>
      <c r="O13" s="51" cm="1">
        <f t="array" aca="1" ref="O13" ca="1">COUNT(IF(_xlfn._xlws.FILTER(CrowdfundingTable[goal],CrowdfundingTable[primary_category]=A13) &gt; M13,1,Null()))</f>
        <v>0</v>
      </c>
      <c r="P13" s="52" cm="1">
        <f t="array" ref="P13">_xlfn.SKEW.P(_xlfn._xlws.FILTER(CrowdfundingTable[goal],CrowdfundingTable[primary_category]=A13))</f>
        <v>0.80592296531604768</v>
      </c>
    </row>
    <row r="14" spans="1:16" x14ac:dyDescent="0.2">
      <c r="A14" s="18" t="s">
        <v>2052</v>
      </c>
      <c r="B14" s="37">
        <v>13</v>
      </c>
      <c r="C14" s="37">
        <v>1373800</v>
      </c>
      <c r="D14" s="25">
        <v>105676.92307692308</v>
      </c>
      <c r="E14" s="25">
        <v>4460237159.7633133</v>
      </c>
      <c r="F14" s="25">
        <v>66785.006998302502</v>
      </c>
      <c r="G14" s="46" cm="1">
        <f t="array" ref="G14">MIN(_xlfn._xlws.FILTER(CrowdfundingTable[goal],CrowdfundingTable[subcategory]=A14))</f>
        <v>6200</v>
      </c>
      <c r="H14" s="46" cm="1">
        <f t="array" ref="H14">_xlfn.QUARTILE.EXC(_xlfn._xlws.FILTER(CrowdfundingTable[goal],CrowdfundingTable[subcategory]=A14),1)</f>
        <v>35250</v>
      </c>
      <c r="I14" s="46" cm="1">
        <f t="array" ref="I14">MEDIAN(_xlfn._xlws.FILTER(CrowdfundingTable[goal],CrowdfundingTable[subcategory]=A14))</f>
        <v>118000</v>
      </c>
      <c r="J14" s="46" cm="1">
        <f t="array" ref="J14">_xlfn.QUARTILE.EXC(_xlfn._xlws.FILTER(CrowdfundingTable[goal],CrowdfundingTable[subcategory]=A14),3)</f>
        <v>165850</v>
      </c>
      <c r="K14" s="46" cm="1">
        <f t="array" ref="K14">MAX(_xlfn._xlws.FILTER(CrowdfundingTable[goal],CrowdfundingTable[subcategory]=A14))</f>
        <v>193200</v>
      </c>
      <c r="L14" s="46">
        <f t="shared" si="0"/>
        <v>130600</v>
      </c>
      <c r="M14" s="46">
        <f t="shared" si="1"/>
        <v>361750</v>
      </c>
      <c r="N14" s="46">
        <f t="shared" si="2"/>
        <v>-160650</v>
      </c>
      <c r="O14" s="46" cm="1">
        <f t="array" aca="1" ref="O14" ca="1">COUNT(IF(_xlfn._xlws.FILTER(CrowdfundingTable[goal],CrowdfundingTable[subcategory]=A14) &gt; M14,1,Null()))</f>
        <v>0</v>
      </c>
      <c r="P14" s="47" cm="1">
        <f t="array" ref="P14">_xlfn.SKEW.P(_xlfn._xlws.FILTER(CrowdfundingTable[goal],CrowdfundingTable[subcategory]=A14))</f>
        <v>-0.2688416774226785</v>
      </c>
    </row>
    <row r="15" spans="1:16" x14ac:dyDescent="0.2">
      <c r="A15" s="18" t="s">
        <v>2062</v>
      </c>
      <c r="B15" s="37">
        <v>35</v>
      </c>
      <c r="C15" s="37">
        <v>1484200</v>
      </c>
      <c r="D15" s="25">
        <v>42405.714285714283</v>
      </c>
      <c r="E15" s="25">
        <v>3307151395.9183674</v>
      </c>
      <c r="F15" s="25">
        <v>57507.837691208384</v>
      </c>
      <c r="G15" s="46" cm="1">
        <f t="array" ref="G15">MIN(_xlfn._xlws.FILTER(CrowdfundingTable[goal],CrowdfundingTable[subcategory]=A15))</f>
        <v>600</v>
      </c>
      <c r="H15" s="46" cm="1">
        <f t="array" ref="H15">_xlfn.QUARTILE.EXC(_xlfn._xlws.FILTER(CrowdfundingTable[goal],CrowdfundingTable[subcategory]=A15),1)</f>
        <v>2900</v>
      </c>
      <c r="I15" s="46" cm="1">
        <f t="array" ref="I15">MEDIAN(_xlfn._xlws.FILTER(CrowdfundingTable[goal],CrowdfundingTable[subcategory]=A15))</f>
        <v>7800</v>
      </c>
      <c r="J15" s="46" cm="1">
        <f t="array" ref="J15">_xlfn.QUARTILE.EXC(_xlfn._xlws.FILTER(CrowdfundingTable[goal],CrowdfundingTable[subcategory]=A15),3)</f>
        <v>89900</v>
      </c>
      <c r="K15" s="46" cm="1">
        <f t="array" ref="K15">MAX(_xlfn._xlws.FILTER(CrowdfundingTable[goal],CrowdfundingTable[subcategory]=A15))</f>
        <v>197600</v>
      </c>
      <c r="L15" s="46">
        <f t="shared" si="0"/>
        <v>87000</v>
      </c>
      <c r="M15" s="46">
        <f t="shared" si="1"/>
        <v>220400</v>
      </c>
      <c r="N15" s="46">
        <f t="shared" si="2"/>
        <v>-127600</v>
      </c>
      <c r="O15" s="46" cm="1">
        <f t="array" aca="1" ref="O15" ca="1">COUNT(IF(_xlfn._xlws.FILTER(CrowdfundingTable[goal],CrowdfundingTable[subcategory]=A15) &gt; M15,1,Null()))</f>
        <v>0</v>
      </c>
      <c r="P15" s="47" cm="1">
        <f t="array" ref="P15">_xlfn.SKEW.P(_xlfn._xlws.FILTER(CrowdfundingTable[goal],CrowdfundingTable[subcategory]=A15))</f>
        <v>1.3813446239886458</v>
      </c>
    </row>
    <row r="16" spans="1:16" x14ac:dyDescent="0.2">
      <c r="A16" s="19" t="s">
        <v>2035</v>
      </c>
      <c r="B16" s="38">
        <v>4</v>
      </c>
      <c r="C16" s="38">
        <v>25700</v>
      </c>
      <c r="D16" s="39">
        <v>6425</v>
      </c>
      <c r="E16" s="39">
        <v>6806875</v>
      </c>
      <c r="F16" s="39">
        <v>2608.9988501338976</v>
      </c>
      <c r="G16" s="53" cm="1">
        <f t="array" ref="G16">MIN(_xlfn._xlws.FILTER(CrowdfundingTable[goal],CrowdfundingTable[primary_category]=A16))</f>
        <v>2400</v>
      </c>
      <c r="H16" s="53" cm="1">
        <f t="array" ref="H16">_xlfn.QUARTILE.EXC(_xlfn._xlws.FILTER(CrowdfundingTable[goal],CrowdfundingTable[primary_category]=A16),1)</f>
        <v>3475</v>
      </c>
      <c r="I16" s="53" cm="1">
        <f t="array" ref="I16">MEDIAN(_xlfn._xlws.FILTER(CrowdfundingTable[goal],CrowdfundingTable[primary_category]=A16))</f>
        <v>6800</v>
      </c>
      <c r="J16" s="53" cm="1">
        <f t="array" ref="J16">_xlfn.QUARTILE.EXC(_xlfn._xlws.FILTER(CrowdfundingTable[goal],CrowdfundingTable[primary_category]=A16),3)</f>
        <v>9000</v>
      </c>
      <c r="K16" s="53" cm="1">
        <f t="array" ref="K16">MAX(_xlfn._xlws.FILTER(CrowdfundingTable[goal],CrowdfundingTable[primary_category]=A16))</f>
        <v>9700</v>
      </c>
      <c r="L16" s="53">
        <f t="shared" si="0"/>
        <v>5525</v>
      </c>
      <c r="M16" s="53">
        <f t="shared" si="1"/>
        <v>17287.5</v>
      </c>
      <c r="N16" s="53">
        <f t="shared" si="2"/>
        <v>-4812.5</v>
      </c>
      <c r="O16" s="53" cm="1">
        <f t="array" aca="1" ref="O16" ca="1">COUNT(IF(_xlfn._xlws.FILTER(CrowdfundingTable[goal],CrowdfundingTable[primary_category]=A16) &gt; M16,1,Null()))</f>
        <v>0</v>
      </c>
      <c r="P16" s="54" cm="1">
        <f t="array" ref="P16">_xlfn.SKEW.P(_xlfn._xlws.FILTER(CrowdfundingTable[goal],CrowdfundingTable[primary_category]=A16))</f>
        <v>-0.42165813592312035</v>
      </c>
    </row>
    <row r="17" spans="1:16" x14ac:dyDescent="0.2">
      <c r="A17" s="20" t="s">
        <v>2043</v>
      </c>
      <c r="B17" s="38">
        <v>4</v>
      </c>
      <c r="C17" s="38">
        <v>25700</v>
      </c>
      <c r="D17" s="39">
        <v>6425</v>
      </c>
      <c r="E17" s="39">
        <v>6806875</v>
      </c>
      <c r="F17" s="39">
        <v>2608.9988501338976</v>
      </c>
      <c r="G17" s="48" cm="1">
        <f t="array" ref="G17">MIN(_xlfn._xlws.FILTER(CrowdfundingTable[goal],CrowdfundingTable[subcategory]=A17))</f>
        <v>2400</v>
      </c>
      <c r="H17" s="48" cm="1">
        <f t="array" ref="H17">_xlfn.QUARTILE.EXC(_xlfn._xlws.FILTER(CrowdfundingTable[goal],CrowdfundingTable[subcategory]=A17),1)</f>
        <v>3475</v>
      </c>
      <c r="I17" s="48" cm="1">
        <f t="array" ref="I17">MEDIAN(_xlfn._xlws.FILTER(CrowdfundingTable[goal],CrowdfundingTable[subcategory]=A17))</f>
        <v>6800</v>
      </c>
      <c r="J17" s="48" cm="1">
        <f t="array" ref="J17">_xlfn.QUARTILE.EXC(_xlfn._xlws.FILTER(CrowdfundingTable[goal],CrowdfundingTable[subcategory]=A17),3)</f>
        <v>9000</v>
      </c>
      <c r="K17" s="48" cm="1">
        <f t="array" ref="K17">MAX(_xlfn._xlws.FILTER(CrowdfundingTable[goal],CrowdfundingTable[subcategory]=A17))</f>
        <v>9700</v>
      </c>
      <c r="L17" s="48">
        <f t="shared" si="0"/>
        <v>5525</v>
      </c>
      <c r="M17" s="48">
        <f t="shared" si="1"/>
        <v>17287.5</v>
      </c>
      <c r="N17" s="48">
        <f t="shared" si="2"/>
        <v>-4812.5</v>
      </c>
      <c r="O17" s="48" cm="1">
        <f t="array" aca="1" ref="O17" ca="1">COUNT(IF(_xlfn._xlws.FILTER(CrowdfundingTable[goal],CrowdfundingTable[subcategory]=A17) &gt; M17,1,Null()))</f>
        <v>0</v>
      </c>
      <c r="P17" s="39" cm="1">
        <f t="array" ref="P17">_xlfn.SKEW.P(_xlfn._xlws.FILTER(CrowdfundingTable[goal],CrowdfundingTable[subcategory]=A17))</f>
        <v>-0.42165813592312035</v>
      </c>
    </row>
    <row r="18" spans="1:16" x14ac:dyDescent="0.2">
      <c r="A18" s="10" t="s">
        <v>2036</v>
      </c>
      <c r="B18" s="37">
        <v>175</v>
      </c>
      <c r="C18" s="37">
        <v>7026300</v>
      </c>
      <c r="D18" s="25">
        <v>40150.285714285717</v>
      </c>
      <c r="E18" s="25">
        <v>3035298042.7755103</v>
      </c>
      <c r="F18" s="25">
        <v>55093.539029322761</v>
      </c>
      <c r="G18" s="51" cm="1">
        <f t="array" ref="G18">MIN(_xlfn._xlws.FILTER(CrowdfundingTable[goal],CrowdfundingTable[primary_category]=A18))</f>
        <v>100</v>
      </c>
      <c r="H18" s="51" cm="1">
        <f t="array" ref="H18">_xlfn.QUARTILE.EXC(_xlfn._xlws.FILTER(CrowdfundingTable[goal],CrowdfundingTable[primary_category]=A18),1)</f>
        <v>3700</v>
      </c>
      <c r="I18" s="51" cm="1">
        <f t="array" ref="I18">MEDIAN(_xlfn._xlws.FILTER(CrowdfundingTable[goal],CrowdfundingTable[primary_category]=A18))</f>
        <v>7800</v>
      </c>
      <c r="J18" s="51" cm="1">
        <f t="array" ref="J18">_xlfn.QUARTILE.EXC(_xlfn._xlws.FILTER(CrowdfundingTable[goal],CrowdfundingTable[primary_category]=A18),3)</f>
        <v>70600</v>
      </c>
      <c r="K18" s="51" cm="1">
        <f t="array" ref="K18">MAX(_xlfn._xlws.FILTER(CrowdfundingTable[goal],CrowdfundingTable[primary_category]=A18))</f>
        <v>198500</v>
      </c>
      <c r="L18" s="51">
        <f t="shared" si="0"/>
        <v>66900</v>
      </c>
      <c r="M18" s="51">
        <f t="shared" si="1"/>
        <v>170950</v>
      </c>
      <c r="N18" s="51">
        <f t="shared" si="2"/>
        <v>-96650</v>
      </c>
      <c r="O18" s="51" cm="1">
        <f t="array" aca="1" ref="O18" ca="1">COUNT(IF(_xlfn._xlws.FILTER(CrowdfundingTable[goal],CrowdfundingTable[primary_category]=A18) &gt; M18,1,Null()))</f>
        <v>7</v>
      </c>
      <c r="P18" s="52" cm="1">
        <f t="array" ref="P18">_xlfn.SKEW.P(_xlfn._xlws.FILTER(CrowdfundingTable[goal],CrowdfundingTable[primary_category]=A18))</f>
        <v>1.3535087809945414</v>
      </c>
    </row>
    <row r="19" spans="1:16" x14ac:dyDescent="0.2">
      <c r="A19" s="18" t="s">
        <v>2046</v>
      </c>
      <c r="B19" s="37">
        <v>18</v>
      </c>
      <c r="C19" s="37">
        <v>760300</v>
      </c>
      <c r="D19" s="25">
        <v>42238.888888888891</v>
      </c>
      <c r="E19" s="25">
        <v>3026880154.3209877</v>
      </c>
      <c r="F19" s="25">
        <v>55017.08965695103</v>
      </c>
      <c r="G19" s="46" cm="1">
        <f t="array" ref="G19">MIN(_xlfn._xlws.FILTER(CrowdfundingTable[goal],CrowdfundingTable[subcategory]=A19))</f>
        <v>100</v>
      </c>
      <c r="H19" s="46" cm="1">
        <f t="array" ref="H19">_xlfn.QUARTILE.EXC(_xlfn._xlws.FILTER(CrowdfundingTable[goal],CrowdfundingTable[subcategory]=A19),1)</f>
        <v>5450</v>
      </c>
      <c r="I19" s="46" cm="1">
        <f t="array" ref="I19">MEDIAN(_xlfn._xlws.FILTER(CrowdfundingTable[goal],CrowdfundingTable[subcategory]=A19))</f>
        <v>7800</v>
      </c>
      <c r="J19" s="46" cm="1">
        <f t="array" ref="J19">_xlfn.QUARTILE.EXC(_xlfn._xlws.FILTER(CrowdfundingTable[goal],CrowdfundingTable[subcategory]=A19),3)</f>
        <v>89975</v>
      </c>
      <c r="K19" s="46" cm="1">
        <f t="array" ref="K19">MAX(_xlfn._xlws.FILTER(CrowdfundingTable[goal],CrowdfundingTable[subcategory]=A19))</f>
        <v>167500</v>
      </c>
      <c r="L19" s="46">
        <f t="shared" si="0"/>
        <v>84525</v>
      </c>
      <c r="M19" s="46">
        <f t="shared" si="1"/>
        <v>216762.5</v>
      </c>
      <c r="N19" s="46">
        <f t="shared" si="2"/>
        <v>-121337.5</v>
      </c>
      <c r="O19" s="46" cm="1">
        <f t="array" aca="1" ref="O19" ca="1">COUNT(IF(_xlfn._xlws.FILTER(CrowdfundingTable[goal],CrowdfundingTable[subcategory]=A19) &gt; M19,1,Null()))</f>
        <v>0</v>
      </c>
      <c r="P19" s="47" cm="1">
        <f t="array" ref="P19">_xlfn.SKEW.P(_xlfn._xlws.FILTER(CrowdfundingTable[goal],CrowdfundingTable[subcategory]=A19))</f>
        <v>1.0777511229738839</v>
      </c>
    </row>
    <row r="20" spans="1:16" x14ac:dyDescent="0.2">
      <c r="A20" s="18" t="s">
        <v>2049</v>
      </c>
      <c r="B20" s="37">
        <v>45</v>
      </c>
      <c r="C20" s="37">
        <v>2278300</v>
      </c>
      <c r="D20" s="25">
        <v>50628.888888888891</v>
      </c>
      <c r="E20" s="25">
        <v>3807087387.6543212</v>
      </c>
      <c r="F20" s="25">
        <v>61701.599555070869</v>
      </c>
      <c r="G20" s="46" cm="1">
        <f t="array" ref="G20">MIN(_xlfn._xlws.FILTER(CrowdfundingTable[goal],CrowdfundingTable[subcategory]=A20))</f>
        <v>100</v>
      </c>
      <c r="H20" s="46" cm="1">
        <f t="array" ref="H20">_xlfn.QUARTILE.EXC(_xlfn._xlws.FILTER(CrowdfundingTable[goal],CrowdfundingTable[subcategory]=A20),1)</f>
        <v>4550</v>
      </c>
      <c r="I20" s="46" cm="1">
        <f t="array" ref="I20">MEDIAN(_xlfn._xlws.FILTER(CrowdfundingTable[goal],CrowdfundingTable[subcategory]=A20))</f>
        <v>9000</v>
      </c>
      <c r="J20" s="46" cm="1">
        <f t="array" ref="J20">_xlfn.QUARTILE.EXC(_xlfn._xlws.FILTER(CrowdfundingTable[goal],CrowdfundingTable[subcategory]=A20),3)</f>
        <v>114550</v>
      </c>
      <c r="K20" s="46" cm="1">
        <f t="array" ref="K20">MAX(_xlfn._xlws.FILTER(CrowdfundingTable[goal],CrowdfundingTable[subcategory]=A20))</f>
        <v>189000</v>
      </c>
      <c r="L20" s="46">
        <f t="shared" si="0"/>
        <v>110000</v>
      </c>
      <c r="M20" s="46">
        <f t="shared" si="1"/>
        <v>279550</v>
      </c>
      <c r="N20" s="46">
        <f t="shared" si="2"/>
        <v>-160450</v>
      </c>
      <c r="O20" s="46" cm="1">
        <f t="array" aca="1" ref="O20" ca="1">COUNT(IF(_xlfn._xlws.FILTER(CrowdfundingTable[goal],CrowdfundingTable[subcategory]=A20) &gt; M20,1,Null()))</f>
        <v>0</v>
      </c>
      <c r="P20" s="47" cm="1">
        <f t="array" ref="P20">_xlfn.SKEW.P(_xlfn._xlws.FILTER(CrowdfundingTable[goal],CrowdfundingTable[subcategory]=A20))</f>
        <v>0.91852545791211593</v>
      </c>
    </row>
    <row r="21" spans="1:16" x14ac:dyDescent="0.2">
      <c r="A21" s="18" t="s">
        <v>2050</v>
      </c>
      <c r="B21" s="37">
        <v>17</v>
      </c>
      <c r="C21" s="37">
        <v>489500</v>
      </c>
      <c r="D21" s="25">
        <v>28794.117647058825</v>
      </c>
      <c r="E21" s="25">
        <v>1541873494.8096886</v>
      </c>
      <c r="F21" s="25">
        <v>39266.697019353291</v>
      </c>
      <c r="G21" s="46" cm="1">
        <f t="array" ref="G21">MIN(_xlfn._xlws.FILTER(CrowdfundingTable[goal],CrowdfundingTable[subcategory]=A21))</f>
        <v>100</v>
      </c>
      <c r="H21" s="46" cm="1">
        <f t="array" ref="H21">_xlfn.QUARTILE.EXC(_xlfn._xlws.FILTER(CrowdfundingTable[goal],CrowdfundingTable[subcategory]=A21),1)</f>
        <v>1450</v>
      </c>
      <c r="I21" s="46" cm="1">
        <f t="array" ref="I21">MEDIAN(_xlfn._xlws.FILTER(CrowdfundingTable[goal],CrowdfundingTable[subcategory]=A21))</f>
        <v>6200</v>
      </c>
      <c r="J21" s="46" cm="1">
        <f t="array" ref="J21">_xlfn.QUARTILE.EXC(_xlfn._xlws.FILTER(CrowdfundingTable[goal],CrowdfundingTable[subcategory]=A21),3)</f>
        <v>68900</v>
      </c>
      <c r="K21" s="46" cm="1">
        <f t="array" ref="K21">MAX(_xlfn._xlws.FILTER(CrowdfundingTable[goal],CrowdfundingTable[subcategory]=A21))</f>
        <v>111900</v>
      </c>
      <c r="L21" s="46">
        <f t="shared" si="0"/>
        <v>67450</v>
      </c>
      <c r="M21" s="46">
        <f t="shared" si="1"/>
        <v>170075</v>
      </c>
      <c r="N21" s="46">
        <f t="shared" si="2"/>
        <v>-99725</v>
      </c>
      <c r="O21" s="46" cm="1">
        <f t="array" aca="1" ref="O21" ca="1">COUNT(IF(_xlfn._xlws.FILTER(CrowdfundingTable[goal],CrowdfundingTable[subcategory]=A21) &gt; M21,1,Null()))</f>
        <v>0</v>
      </c>
      <c r="P21" s="47" cm="1">
        <f t="array" ref="P21">_xlfn.SKEW.P(_xlfn._xlws.FILTER(CrowdfundingTable[goal],CrowdfundingTable[subcategory]=A21))</f>
        <v>1.0941388166915118</v>
      </c>
    </row>
    <row r="22" spans="1:16" x14ac:dyDescent="0.2">
      <c r="A22" s="18" t="s">
        <v>2051</v>
      </c>
      <c r="B22" s="37">
        <v>7</v>
      </c>
      <c r="C22" s="37">
        <v>70200</v>
      </c>
      <c r="D22" s="25">
        <v>10028.571428571429</v>
      </c>
      <c r="E22" s="25">
        <v>124987755.10204081</v>
      </c>
      <c r="F22" s="25">
        <v>11179.792265603186</v>
      </c>
      <c r="G22" s="46" cm="1">
        <f t="array" ref="G22">MIN(_xlfn._xlws.FILTER(CrowdfundingTable[goal],CrowdfundingTable[subcategory]=A22))</f>
        <v>100</v>
      </c>
      <c r="H22" s="46" cm="1">
        <f t="array" ref="H22">_xlfn.QUARTILE.EXC(_xlfn._xlws.FILTER(CrowdfundingTable[goal],CrowdfundingTable[subcategory]=A22),1)</f>
        <v>2700</v>
      </c>
      <c r="I22" s="46" cm="1">
        <f t="array" ref="I22">MEDIAN(_xlfn._xlws.FILTER(CrowdfundingTable[goal],CrowdfundingTable[subcategory]=A22))</f>
        <v>5600</v>
      </c>
      <c r="J22" s="46" cm="1">
        <f t="array" ref="J22">_xlfn.QUARTILE.EXC(_xlfn._xlws.FILTER(CrowdfundingTable[goal],CrowdfundingTable[subcategory]=A22),3)</f>
        <v>15800</v>
      </c>
      <c r="K22" s="46" cm="1">
        <f t="array" ref="K22">MAX(_xlfn._xlws.FILTER(CrowdfundingTable[goal],CrowdfundingTable[subcategory]=A22))</f>
        <v>35000</v>
      </c>
      <c r="L22" s="46">
        <f t="shared" si="0"/>
        <v>13100</v>
      </c>
      <c r="M22" s="46">
        <f t="shared" si="1"/>
        <v>35450</v>
      </c>
      <c r="N22" s="46">
        <f t="shared" si="2"/>
        <v>-16950</v>
      </c>
      <c r="O22" s="46" cm="1">
        <f t="array" aca="1" ref="O22" ca="1">COUNT(IF(_xlfn._xlws.FILTER(CrowdfundingTable[goal],CrowdfundingTable[subcategory]=A22) &gt; M22,1,Null()))</f>
        <v>0</v>
      </c>
      <c r="P22" s="47" cm="1">
        <f t="array" ref="P22">_xlfn.SKEW.P(_xlfn._xlws.FILTER(CrowdfundingTable[goal],CrowdfundingTable[subcategory]=A22))</f>
        <v>1.4363288167158057</v>
      </c>
    </row>
    <row r="23" spans="1:16" x14ac:dyDescent="0.2">
      <c r="A23" s="18" t="s">
        <v>2057</v>
      </c>
      <c r="B23" s="37">
        <v>85</v>
      </c>
      <c r="C23" s="37">
        <v>3283700</v>
      </c>
      <c r="D23" s="25">
        <v>38631.76470588235</v>
      </c>
      <c r="E23" s="25">
        <v>3068269696.8858132</v>
      </c>
      <c r="F23" s="25">
        <v>55391.964190537721</v>
      </c>
      <c r="G23" s="46" cm="1">
        <f t="array" ref="G23">MIN(_xlfn._xlws.FILTER(CrowdfundingTable[goal],CrowdfundingTable[subcategory]=A23))</f>
        <v>100</v>
      </c>
      <c r="H23" s="46" cm="1">
        <f t="array" ref="H23">_xlfn.QUARTILE.EXC(_xlfn._xlws.FILTER(CrowdfundingTable[goal],CrowdfundingTable[subcategory]=A23),1)</f>
        <v>3400</v>
      </c>
      <c r="I23" s="46" cm="1">
        <f t="array" ref="I23">MEDIAN(_xlfn._xlws.FILTER(CrowdfundingTable[goal],CrowdfundingTable[subcategory]=A23))</f>
        <v>7800</v>
      </c>
      <c r="J23" s="46" cm="1">
        <f t="array" ref="J23">_xlfn.QUARTILE.EXC(_xlfn._xlws.FILTER(CrowdfundingTable[goal],CrowdfundingTable[subcategory]=A23),3)</f>
        <v>63700</v>
      </c>
      <c r="K23" s="46" cm="1">
        <f t="array" ref="K23">MAX(_xlfn._xlws.FILTER(CrowdfundingTable[goal],CrowdfundingTable[subcategory]=A23))</f>
        <v>198500</v>
      </c>
      <c r="L23" s="46">
        <f t="shared" si="0"/>
        <v>60300</v>
      </c>
      <c r="M23" s="46">
        <f t="shared" si="1"/>
        <v>154150</v>
      </c>
      <c r="N23" s="46">
        <f t="shared" si="2"/>
        <v>-87050</v>
      </c>
      <c r="O23" s="46" cm="1">
        <f t="array" aca="1" ref="O23" ca="1">COUNT(IF(_xlfn._xlws.FILTER(CrowdfundingTable[goal],CrowdfundingTable[subcategory]=A23) &gt; M23,1,Null()))</f>
        <v>6</v>
      </c>
      <c r="P23" s="47" cm="1">
        <f t="array" ref="P23">_xlfn.SKEW.P(_xlfn._xlws.FILTER(CrowdfundingTable[goal],CrowdfundingTable[subcategory]=A23))</f>
        <v>1.5269426363950489</v>
      </c>
    </row>
    <row r="24" spans="1:16" x14ac:dyDescent="0.2">
      <c r="A24" s="20" t="s">
        <v>2065</v>
      </c>
      <c r="B24" s="38">
        <v>3</v>
      </c>
      <c r="C24" s="38">
        <v>144300</v>
      </c>
      <c r="D24" s="39">
        <v>48100</v>
      </c>
      <c r="E24" s="39">
        <v>1178646666.6666667</v>
      </c>
      <c r="F24" s="39">
        <v>34331.423895123648</v>
      </c>
      <c r="G24" s="48" cm="1">
        <f t="array" ref="G24">MIN(_xlfn._xlws.FILTER(CrowdfundingTable[goal],CrowdfundingTable[subcategory]=A24))</f>
        <v>4500</v>
      </c>
      <c r="H24" s="48" cm="1">
        <f t="array" ref="H24">_xlfn.QUARTILE.EXC(_xlfn._xlws.FILTER(CrowdfundingTable[goal],CrowdfundingTable[subcategory]=A24),1)</f>
        <v>4500</v>
      </c>
      <c r="I24" s="48" cm="1">
        <f t="array" ref="I24">MEDIAN(_xlfn._xlws.FILTER(CrowdfundingTable[goal],CrowdfundingTable[subcategory]=A24))</f>
        <v>51400</v>
      </c>
      <c r="J24" s="48" cm="1">
        <f t="array" ref="J24">_xlfn.QUARTILE.EXC(_xlfn._xlws.FILTER(CrowdfundingTable[goal],CrowdfundingTable[subcategory]=A24),3)</f>
        <v>88400</v>
      </c>
      <c r="K24" s="48" cm="1">
        <f t="array" ref="K24">MAX(_xlfn._xlws.FILTER(CrowdfundingTable[goal],CrowdfundingTable[subcategory]=A24))</f>
        <v>88400</v>
      </c>
      <c r="L24" s="48">
        <f t="shared" si="0"/>
        <v>83900</v>
      </c>
      <c r="M24" s="48">
        <f t="shared" si="1"/>
        <v>214250</v>
      </c>
      <c r="N24" s="48">
        <f t="shared" si="2"/>
        <v>-121350</v>
      </c>
      <c r="O24" s="48" cm="1">
        <f t="array" aca="1" ref="O24" ca="1">COUNT(IF(_xlfn._xlws.FILTER(CrowdfundingTable[goal],CrowdfundingTable[subcategory]=A24) &gt; M24,1,Null()))</f>
        <v>0</v>
      </c>
      <c r="P24" s="39" cm="1">
        <f t="array" ref="P24">_xlfn.SKEW.P(_xlfn._xlws.FILTER(CrowdfundingTable[goal],CrowdfundingTable[subcategory]=A24))</f>
        <v>-0.14329466675964184</v>
      </c>
    </row>
    <row r="25" spans="1:16" x14ac:dyDescent="0.2">
      <c r="A25" s="10" t="s">
        <v>2037</v>
      </c>
      <c r="B25" s="37">
        <v>42</v>
      </c>
      <c r="C25" s="37">
        <v>1351700</v>
      </c>
      <c r="D25" s="25">
        <v>32183.333333333332</v>
      </c>
      <c r="E25" s="25">
        <v>3079586626.984127</v>
      </c>
      <c r="F25" s="25">
        <v>55494.023344718189</v>
      </c>
      <c r="G25" s="51" cm="1">
        <f t="array" ref="G25">MIN(_xlfn._xlws.FILTER(CrowdfundingTable[goal],CrowdfundingTable[primary_category]=A25))</f>
        <v>100</v>
      </c>
      <c r="H25" s="51" cm="1">
        <f t="array" ref="H25">_xlfn.QUARTILE.EXC(_xlfn._xlws.FILTER(CrowdfundingTable[goal],CrowdfundingTable[primary_category]=A25),1)</f>
        <v>3400</v>
      </c>
      <c r="I25" s="51" cm="1">
        <f t="array" ref="I25">MEDIAN(_xlfn._xlws.FILTER(CrowdfundingTable[goal],CrowdfundingTable[primary_category]=A25))</f>
        <v>6550</v>
      </c>
      <c r="J25" s="51" cm="1">
        <f t="array" ref="J25">_xlfn.QUARTILE.EXC(_xlfn._xlws.FILTER(CrowdfundingTable[goal],CrowdfundingTable[primary_category]=A25),3)</f>
        <v>37100</v>
      </c>
      <c r="K25" s="51" cm="1">
        <f t="array" ref="K25">MAX(_xlfn._xlws.FILTER(CrowdfundingTable[goal],CrowdfundingTable[primary_category]=A25))</f>
        <v>191000</v>
      </c>
      <c r="L25" s="51">
        <f t="shared" si="0"/>
        <v>33700</v>
      </c>
      <c r="M25" s="51">
        <f t="shared" si="1"/>
        <v>87650</v>
      </c>
      <c r="N25" s="51">
        <f t="shared" si="2"/>
        <v>-47150</v>
      </c>
      <c r="O25" s="51" cm="1">
        <f t="array" aca="1" ref="O25" ca="1">COUNT(IF(_xlfn._xlws.FILTER(CrowdfundingTable[goal],CrowdfundingTable[primary_category]=A25) &gt; M25,1,Null()))</f>
        <v>6</v>
      </c>
      <c r="P25" s="52" cm="1">
        <f t="array" ref="P25">_xlfn.SKEW.P(_xlfn._xlws.FILTER(CrowdfundingTable[goal],CrowdfundingTable[primary_category]=A25))</f>
        <v>1.9908413386239259</v>
      </c>
    </row>
    <row r="26" spans="1:16" x14ac:dyDescent="0.2">
      <c r="A26" s="18" t="s">
        <v>2054</v>
      </c>
      <c r="B26" s="37">
        <v>42</v>
      </c>
      <c r="C26" s="37">
        <v>1351700</v>
      </c>
      <c r="D26" s="25">
        <v>32183.333333333332</v>
      </c>
      <c r="E26" s="25">
        <v>3079586626.984127</v>
      </c>
      <c r="F26" s="25">
        <v>55494.023344718189</v>
      </c>
      <c r="G26" s="46" cm="1">
        <f t="array" ref="G26">MIN(_xlfn._xlws.FILTER(CrowdfundingTable[goal],CrowdfundingTable[subcategory]=A26))</f>
        <v>100</v>
      </c>
      <c r="H26" s="46" cm="1">
        <f t="array" ref="H26">_xlfn.QUARTILE.EXC(_xlfn._xlws.FILTER(CrowdfundingTable[goal],CrowdfundingTable[subcategory]=A26),1)</f>
        <v>3400</v>
      </c>
      <c r="I26" s="46" cm="1">
        <f t="array" ref="I26">MEDIAN(_xlfn._xlws.FILTER(CrowdfundingTable[goal],CrowdfundingTable[subcategory]=A26))</f>
        <v>6550</v>
      </c>
      <c r="J26" s="46" cm="1">
        <f t="array" ref="J26">_xlfn.QUARTILE.EXC(_xlfn._xlws.FILTER(CrowdfundingTable[goal],CrowdfundingTable[subcategory]=A26),3)</f>
        <v>37100</v>
      </c>
      <c r="K26" s="46" cm="1">
        <f t="array" ref="K26">MAX(_xlfn._xlws.FILTER(CrowdfundingTable[goal],CrowdfundingTable[subcategory]=A26))</f>
        <v>191000</v>
      </c>
      <c r="L26" s="46">
        <f t="shared" si="0"/>
        <v>33700</v>
      </c>
      <c r="M26" s="46">
        <f t="shared" si="1"/>
        <v>87650</v>
      </c>
      <c r="N26" s="46">
        <f t="shared" si="2"/>
        <v>-47150</v>
      </c>
      <c r="O26" s="46" cm="1">
        <f t="array" aca="1" ref="O26" ca="1">COUNT(IF(_xlfn._xlws.FILTER(CrowdfundingTable[goal],CrowdfundingTable[subcategory]=A26) &gt; M26,1,Null()))</f>
        <v>6</v>
      </c>
      <c r="P26" s="47" cm="1">
        <f t="array" ref="P26">_xlfn.SKEW.P(_xlfn._xlws.FILTER(CrowdfundingTable[goal],CrowdfundingTable[subcategory]=A26))</f>
        <v>1.9908413386239259</v>
      </c>
    </row>
    <row r="27" spans="1:16" x14ac:dyDescent="0.2">
      <c r="A27" s="10" t="s">
        <v>2038</v>
      </c>
      <c r="B27" s="37">
        <v>67</v>
      </c>
      <c r="C27" s="37">
        <v>3240100</v>
      </c>
      <c r="D27" s="25">
        <v>48359.701492537315</v>
      </c>
      <c r="E27" s="25">
        <v>3748325987.9705949</v>
      </c>
      <c r="F27" s="25">
        <v>61223.573792866708</v>
      </c>
      <c r="G27" s="51" cm="1">
        <f t="array" ref="G27">MIN(_xlfn._xlws.FILTER(CrowdfundingTable[goal],CrowdfundingTable[primary_category]=A27))</f>
        <v>100</v>
      </c>
      <c r="H27" s="51" cm="1">
        <f t="array" ref="H27">_xlfn.QUARTILE.EXC(_xlfn._xlws.FILTER(CrowdfundingTable[goal],CrowdfundingTable[primary_category]=A27),1)</f>
        <v>4600</v>
      </c>
      <c r="I27" s="51" cm="1">
        <f t="array" ref="I27">MEDIAN(_xlfn._xlws.FILTER(CrowdfundingTable[goal],CrowdfundingTable[primary_category]=A27))</f>
        <v>8900</v>
      </c>
      <c r="J27" s="51" cm="1">
        <f t="array" ref="J27">_xlfn.QUARTILE.EXC(_xlfn._xlws.FILTER(CrowdfundingTable[goal],CrowdfundingTable[primary_category]=A27),3)</f>
        <v>85000</v>
      </c>
      <c r="K27" s="51" cm="1">
        <f t="array" ref="K27">MAX(_xlfn._xlws.FILTER(CrowdfundingTable[goal],CrowdfundingTable[primary_category]=A27))</f>
        <v>198600</v>
      </c>
      <c r="L27" s="51">
        <f t="shared" si="0"/>
        <v>80400</v>
      </c>
      <c r="M27" s="51">
        <f t="shared" si="1"/>
        <v>205600</v>
      </c>
      <c r="N27" s="51">
        <f t="shared" si="2"/>
        <v>-116000</v>
      </c>
      <c r="O27" s="51" cm="1">
        <f t="array" aca="1" ref="O27" ca="1">COUNT(IF(_xlfn._xlws.FILTER(CrowdfundingTable[goal],CrowdfundingTable[primary_category]=A27) &gt; M27,1,Null()))</f>
        <v>0</v>
      </c>
      <c r="P27" s="52" cm="1">
        <f t="array" ref="P27">_xlfn.SKEW.P(_xlfn._xlws.FILTER(CrowdfundingTable[goal],CrowdfundingTable[primary_category]=A27))</f>
        <v>1.167296953023784</v>
      </c>
    </row>
    <row r="28" spans="1:16" x14ac:dyDescent="0.2">
      <c r="A28" s="18" t="s">
        <v>2047</v>
      </c>
      <c r="B28" s="37">
        <v>17</v>
      </c>
      <c r="C28" s="37">
        <v>964300</v>
      </c>
      <c r="D28" s="25">
        <v>56723.529411764706</v>
      </c>
      <c r="E28" s="25">
        <v>4574605328.7197227</v>
      </c>
      <c r="F28" s="25">
        <v>67635.828735365722</v>
      </c>
      <c r="G28" s="46" cm="1">
        <f t="array" ref="G28">MIN(_xlfn._xlws.FILTER(CrowdfundingTable[goal],CrowdfundingTable[subcategory]=A28))</f>
        <v>1600</v>
      </c>
      <c r="H28" s="46" cm="1">
        <f t="array" ref="H28">_xlfn.QUARTILE.EXC(_xlfn._xlws.FILTER(CrowdfundingTable[goal],CrowdfundingTable[subcategory]=A28),1)</f>
        <v>6100</v>
      </c>
      <c r="I28" s="46" cm="1">
        <f t="array" ref="I28">MEDIAN(_xlfn._xlws.FILTER(CrowdfundingTable[goal],CrowdfundingTable[subcategory]=A28))</f>
        <v>9800</v>
      </c>
      <c r="J28" s="46" cm="1">
        <f t="array" ref="J28">_xlfn.QUARTILE.EXC(_xlfn._xlws.FILTER(CrowdfundingTable[goal],CrowdfundingTable[subcategory]=A28),3)</f>
        <v>120900</v>
      </c>
      <c r="K28" s="46" cm="1">
        <f t="array" ref="K28">MAX(_xlfn._xlws.FILTER(CrowdfundingTable[goal],CrowdfundingTable[subcategory]=A28))</f>
        <v>191500</v>
      </c>
      <c r="L28" s="46">
        <f t="shared" si="0"/>
        <v>114800</v>
      </c>
      <c r="M28" s="46">
        <f t="shared" si="1"/>
        <v>293100</v>
      </c>
      <c r="N28" s="46">
        <f t="shared" si="2"/>
        <v>-166100</v>
      </c>
      <c r="O28" s="46" cm="1">
        <f t="array" aca="1" ref="O28" ca="1">COUNT(IF(_xlfn._xlws.FILTER(CrowdfundingTable[goal],CrowdfundingTable[subcategory]=A28) &gt; M28,1,Null()))</f>
        <v>0</v>
      </c>
      <c r="P28" s="47" cm="1">
        <f t="array" ref="P28">_xlfn.SKEW.P(_xlfn._xlws.FILTER(CrowdfundingTable[goal],CrowdfundingTable[subcategory]=A28))</f>
        <v>0.89063105760527328</v>
      </c>
    </row>
    <row r="29" spans="1:16" x14ac:dyDescent="0.2">
      <c r="A29" s="18" t="s">
        <v>2053</v>
      </c>
      <c r="B29" s="37">
        <v>21</v>
      </c>
      <c r="C29" s="37">
        <v>1220000</v>
      </c>
      <c r="D29" s="25">
        <v>58095.238095238092</v>
      </c>
      <c r="E29" s="25">
        <v>4760098548.7528343</v>
      </c>
      <c r="F29" s="25">
        <v>68993.467435350962</v>
      </c>
      <c r="G29" s="46" cm="1">
        <f t="array" ref="G29">MIN(_xlfn._xlws.FILTER(CrowdfundingTable[goal],CrowdfundingTable[subcategory]=A29))</f>
        <v>100</v>
      </c>
      <c r="H29" s="46" cm="1">
        <f t="array" ref="H29">_xlfn.QUARTILE.EXC(_xlfn._xlws.FILTER(CrowdfundingTable[goal],CrowdfundingTable[subcategory]=A29),1)</f>
        <v>1750</v>
      </c>
      <c r="I29" s="46" cm="1">
        <f t="array" ref="I29">MEDIAN(_xlfn._xlws.FILTER(CrowdfundingTable[goal],CrowdfundingTable[subcategory]=A29))</f>
        <v>38900</v>
      </c>
      <c r="J29" s="46" cm="1">
        <f t="array" ref="J29">_xlfn.QUARTILE.EXC(_xlfn._xlws.FILTER(CrowdfundingTable[goal],CrowdfundingTable[subcategory]=A29),3)</f>
        <v>105200</v>
      </c>
      <c r="K29" s="46" cm="1">
        <f t="array" ref="K29">MAX(_xlfn._xlws.FILTER(CrowdfundingTable[goal],CrowdfundingTable[subcategory]=A29))</f>
        <v>198600</v>
      </c>
      <c r="L29" s="46">
        <f t="shared" si="0"/>
        <v>103450</v>
      </c>
      <c r="M29" s="46">
        <f t="shared" si="1"/>
        <v>260375</v>
      </c>
      <c r="N29" s="46">
        <f t="shared" si="2"/>
        <v>-153425</v>
      </c>
      <c r="O29" s="46" cm="1">
        <f t="array" aca="1" ref="O29" ca="1">COUNT(IF(_xlfn._xlws.FILTER(CrowdfundingTable[goal],CrowdfundingTable[subcategory]=A29) &gt; M29,1,Null()))</f>
        <v>0</v>
      </c>
      <c r="P29" s="47" cm="1">
        <f t="array" ref="P29">_xlfn.SKEW.P(_xlfn._xlws.FILTER(CrowdfundingTable[goal],CrowdfundingTable[subcategory]=A29))</f>
        <v>0.96931661346970577</v>
      </c>
    </row>
    <row r="30" spans="1:16" x14ac:dyDescent="0.2">
      <c r="A30" s="18" t="s">
        <v>2056</v>
      </c>
      <c r="B30" s="37">
        <v>8</v>
      </c>
      <c r="C30" s="37">
        <v>275200</v>
      </c>
      <c r="D30" s="25">
        <v>34400</v>
      </c>
      <c r="E30" s="25">
        <v>1345525000</v>
      </c>
      <c r="F30" s="25">
        <v>36681.398555671236</v>
      </c>
      <c r="G30" s="46" cm="1">
        <f t="array" ref="G30">MIN(_xlfn._xlws.FILTER(CrowdfundingTable[goal],CrowdfundingTable[subcategory]=A30))</f>
        <v>3800</v>
      </c>
      <c r="H30" s="46" cm="1">
        <f t="array" ref="H30">_xlfn.QUARTILE.EXC(_xlfn._xlws.FILTER(CrowdfundingTable[goal],CrowdfundingTable[subcategory]=A30),1)</f>
        <v>6600</v>
      </c>
      <c r="I30" s="46" cm="1">
        <f t="array" ref="I30">MEDIAN(_xlfn._xlws.FILTER(CrowdfundingTable[goal],CrowdfundingTable[subcategory]=A30))</f>
        <v>8250</v>
      </c>
      <c r="J30" s="46" cm="1">
        <f t="array" ref="J30">_xlfn.QUARTILE.EXC(_xlfn._xlws.FILTER(CrowdfundingTable[goal],CrowdfundingTable[subcategory]=A30),3)</f>
        <v>82775</v>
      </c>
      <c r="K30" s="46" cm="1">
        <f t="array" ref="K30">MAX(_xlfn._xlws.FILTER(CrowdfundingTable[goal],CrowdfundingTable[subcategory]=A30))</f>
        <v>90200</v>
      </c>
      <c r="L30" s="46">
        <f t="shared" si="0"/>
        <v>76175</v>
      </c>
      <c r="M30" s="46">
        <f t="shared" si="1"/>
        <v>197037.5</v>
      </c>
      <c r="N30" s="46">
        <f t="shared" si="2"/>
        <v>-107662.5</v>
      </c>
      <c r="O30" s="46" cm="1">
        <f t="array" aca="1" ref="O30" ca="1">COUNT(IF(_xlfn._xlws.FILTER(CrowdfundingTable[goal],CrowdfundingTable[subcategory]=A30) &gt; M30,1,Null()))</f>
        <v>0</v>
      </c>
      <c r="P30" s="47" cm="1">
        <f t="array" ref="P30">_xlfn.SKEW.P(_xlfn._xlws.FILTER(CrowdfundingTable[goal],CrowdfundingTable[subcategory]=A30))</f>
        <v>0.65149323639462631</v>
      </c>
    </row>
    <row r="31" spans="1:16" x14ac:dyDescent="0.2">
      <c r="A31" s="18" t="s">
        <v>2061</v>
      </c>
      <c r="B31" s="37">
        <v>21</v>
      </c>
      <c r="C31" s="37">
        <v>780600</v>
      </c>
      <c r="D31" s="25">
        <v>37171.428571428572</v>
      </c>
      <c r="E31" s="25">
        <v>2632188707.4829931</v>
      </c>
      <c r="F31" s="25">
        <v>51304.86046646061</v>
      </c>
      <c r="G31" s="46" cm="1">
        <f t="array" ref="G31">MIN(_xlfn._xlws.FILTER(CrowdfundingTable[goal],CrowdfundingTable[subcategory]=A31))</f>
        <v>2400</v>
      </c>
      <c r="H31" s="46" cm="1">
        <f t="array" ref="H31">_xlfn.QUARTILE.EXC(_xlfn._xlws.FILTER(CrowdfundingTable[goal],CrowdfundingTable[subcategory]=A31),1)</f>
        <v>4750</v>
      </c>
      <c r="I31" s="46" cm="1">
        <f t="array" ref="I31">MEDIAN(_xlfn._xlws.FILTER(CrowdfundingTable[goal],CrowdfundingTable[subcategory]=A31))</f>
        <v>6000</v>
      </c>
      <c r="J31" s="46" cm="1">
        <f t="array" ref="J31">_xlfn.QUARTILE.EXC(_xlfn._xlws.FILTER(CrowdfundingTable[goal],CrowdfundingTable[subcategory]=A31),3)</f>
        <v>62450</v>
      </c>
      <c r="K31" s="46" cm="1">
        <f t="array" ref="K31">MAX(_xlfn._xlws.FILTER(CrowdfundingTable[goal],CrowdfundingTable[subcategory]=A31))</f>
        <v>154300</v>
      </c>
      <c r="L31" s="46">
        <f t="shared" si="0"/>
        <v>57700</v>
      </c>
      <c r="M31" s="46">
        <f t="shared" si="1"/>
        <v>149000</v>
      </c>
      <c r="N31" s="46">
        <f t="shared" si="2"/>
        <v>-81800</v>
      </c>
      <c r="O31" s="46" cm="1">
        <f t="array" aca="1" ref="O31" ca="1">COUNT(IF(_xlfn._xlws.FILTER(CrowdfundingTable[goal],CrowdfundingTable[subcategory]=A31) &gt; M31,1,Null()))</f>
        <v>1</v>
      </c>
      <c r="P31" s="47" cm="1">
        <f t="array" ref="P31">_xlfn.SKEW.P(_xlfn._xlws.FILTER(CrowdfundingTable[goal],CrowdfundingTable[subcategory]=A31))</f>
        <v>1.3321692400552367</v>
      </c>
    </row>
    <row r="32" spans="1:16" x14ac:dyDescent="0.2">
      <c r="A32" s="10" t="s">
        <v>2039</v>
      </c>
      <c r="B32" s="37">
        <v>96</v>
      </c>
      <c r="C32" s="37">
        <v>3177400</v>
      </c>
      <c r="D32" s="25">
        <v>33097.916666666664</v>
      </c>
      <c r="E32" s="25">
        <v>2301309995.6597223</v>
      </c>
      <c r="F32" s="25">
        <v>47971.970937827042</v>
      </c>
      <c r="G32" s="51" cm="1">
        <f t="array" ref="G32">MIN(_xlfn._xlws.FILTER(CrowdfundingTable[goal],CrowdfundingTable[primary_category]=A32))</f>
        <v>100</v>
      </c>
      <c r="H32" s="51" cm="1">
        <f t="array" ref="H32">_xlfn.QUARTILE.EXC(_xlfn._xlws.FILTER(CrowdfundingTable[goal],CrowdfundingTable[primary_category]=A32),1)</f>
        <v>3725</v>
      </c>
      <c r="I32" s="51" cm="1">
        <f t="array" ref="I32">MEDIAN(_xlfn._xlws.FILTER(CrowdfundingTable[goal],CrowdfundingTable[primary_category]=A32))</f>
        <v>8250</v>
      </c>
      <c r="J32" s="51" cm="1">
        <f t="array" ref="J32">_xlfn.QUARTILE.EXC(_xlfn._xlws.FILTER(CrowdfundingTable[goal],CrowdfundingTable[primary_category]=A32),3)</f>
        <v>52525</v>
      </c>
      <c r="K32" s="51" cm="1">
        <f t="array" ref="K32">MAX(_xlfn._xlws.FILTER(CrowdfundingTable[goal],CrowdfundingTable[primary_category]=A32))</f>
        <v>193400</v>
      </c>
      <c r="L32" s="51">
        <f t="shared" si="0"/>
        <v>48800</v>
      </c>
      <c r="M32" s="51">
        <f t="shared" si="1"/>
        <v>125725</v>
      </c>
      <c r="N32" s="51">
        <f t="shared" si="2"/>
        <v>-69475</v>
      </c>
      <c r="O32" s="51" cm="1">
        <f t="array" aca="1" ref="O32" ca="1">COUNT(IF(_xlfn._xlws.FILTER(CrowdfundingTable[goal],CrowdfundingTable[primary_category]=A32) &gt; M32,1,Null()))</f>
        <v>6</v>
      </c>
      <c r="P32" s="52" cm="1">
        <f t="array" ref="P32">_xlfn.SKEW.P(_xlfn._xlws.FILTER(CrowdfundingTable[goal],CrowdfundingTable[primary_category]=A32))</f>
        <v>1.7128326033660617</v>
      </c>
    </row>
    <row r="33" spans="1:16" x14ac:dyDescent="0.2">
      <c r="A33" s="18" t="s">
        <v>2063</v>
      </c>
      <c r="B33" s="37">
        <v>45</v>
      </c>
      <c r="C33" s="37">
        <v>1182800</v>
      </c>
      <c r="D33" s="25">
        <v>26284.444444444445</v>
      </c>
      <c r="E33" s="25">
        <v>1331577313.5802469</v>
      </c>
      <c r="F33" s="25">
        <v>36490.783954037586</v>
      </c>
      <c r="G33" s="46" cm="1">
        <f t="array" ref="G33">MIN(_xlfn._xlws.FILTER(CrowdfundingTable[goal],CrowdfundingTable[subcategory]=A33))</f>
        <v>100</v>
      </c>
      <c r="H33" s="46" cm="1">
        <f t="array" ref="H33">_xlfn.QUARTILE.EXC(_xlfn._xlws.FILTER(CrowdfundingTable[goal],CrowdfundingTable[subcategory]=A33),1)</f>
        <v>3750</v>
      </c>
      <c r="I33" s="46" cm="1">
        <f t="array" ref="I33">MEDIAN(_xlfn._xlws.FILTER(CrowdfundingTable[goal],CrowdfundingTable[subcategory]=A33))</f>
        <v>8600</v>
      </c>
      <c r="J33" s="46" cm="1">
        <f t="array" ref="J33">_xlfn.QUARTILE.EXC(_xlfn._xlws.FILTER(CrowdfundingTable[goal],CrowdfundingTable[subcategory]=A33),3)</f>
        <v>30450</v>
      </c>
      <c r="K33" s="46" cm="1">
        <f t="array" ref="K33">MAX(_xlfn._xlws.FILTER(CrowdfundingTable[goal],CrowdfundingTable[subcategory]=A33))</f>
        <v>158100</v>
      </c>
      <c r="L33" s="46">
        <f t="shared" si="0"/>
        <v>26700</v>
      </c>
      <c r="M33" s="46">
        <f t="shared" si="1"/>
        <v>70500</v>
      </c>
      <c r="N33" s="46">
        <f t="shared" si="2"/>
        <v>-36300</v>
      </c>
      <c r="O33" s="46" cm="1">
        <f t="array" aca="1" ref="O33" ca="1">COUNT(IF(_xlfn._xlws.FILTER(CrowdfundingTable[goal],CrowdfundingTable[subcategory]=A33) &gt; M33,1,Null()))</f>
        <v>7</v>
      </c>
      <c r="P33" s="47" cm="1">
        <f t="array" ref="P33">_xlfn.SKEW.P(_xlfn._xlws.FILTER(CrowdfundingTable[goal],CrowdfundingTable[subcategory]=A33))</f>
        <v>1.8173189518486996</v>
      </c>
    </row>
    <row r="34" spans="1:16" x14ac:dyDescent="0.2">
      <c r="A34" s="18" t="s">
        <v>2064</v>
      </c>
      <c r="B34" s="37">
        <v>51</v>
      </c>
      <c r="C34" s="37">
        <v>1994600</v>
      </c>
      <c r="D34" s="25">
        <v>39109.803921568629</v>
      </c>
      <c r="E34" s="25">
        <v>3079851864.6674356</v>
      </c>
      <c r="F34" s="25">
        <v>55496.413079292215</v>
      </c>
      <c r="G34" s="46" cm="1">
        <f t="array" ref="G34">MIN(_xlfn._xlws.FILTER(CrowdfundingTable[goal],CrowdfundingTable[subcategory]=A34))</f>
        <v>100</v>
      </c>
      <c r="H34" s="46" cm="1">
        <f t="array" ref="H34">_xlfn.QUARTILE.EXC(_xlfn._xlws.FILTER(CrowdfundingTable[goal],CrowdfundingTable[subcategory]=A34),1)</f>
        <v>2900</v>
      </c>
      <c r="I34" s="46" cm="1">
        <f t="array" ref="I34">MEDIAN(_xlfn._xlws.FILTER(CrowdfundingTable[goal],CrowdfundingTable[subcategory]=A34))</f>
        <v>7600</v>
      </c>
      <c r="J34" s="46" cm="1">
        <f t="array" ref="J34">_xlfn.QUARTILE.EXC(_xlfn._xlws.FILTER(CrowdfundingTable[goal],CrowdfundingTable[subcategory]=A34),3)</f>
        <v>69900</v>
      </c>
      <c r="K34" s="46" cm="1">
        <f t="array" ref="K34">MAX(_xlfn._xlws.FILTER(CrowdfundingTable[goal],CrowdfundingTable[subcategory]=A34))</f>
        <v>193400</v>
      </c>
      <c r="L34" s="46">
        <f t="shared" si="0"/>
        <v>67000</v>
      </c>
      <c r="M34" s="46">
        <f t="shared" si="1"/>
        <v>170400</v>
      </c>
      <c r="N34" s="46">
        <f t="shared" si="2"/>
        <v>-97600</v>
      </c>
      <c r="O34" s="46" cm="1">
        <f t="array" aca="1" ref="O34" ca="1">COUNT(IF(_xlfn._xlws.FILTER(CrowdfundingTable[goal],CrowdfundingTable[subcategory]=A34) &gt; M34,1,Null()))</f>
        <v>2</v>
      </c>
      <c r="P34" s="47" cm="1">
        <f t="array" ref="P34">_xlfn.SKEW.P(_xlfn._xlws.FILTER(CrowdfundingTable[goal],CrowdfundingTable[subcategory]=A34))</f>
        <v>1.4425206791081719</v>
      </c>
    </row>
    <row r="35" spans="1:16" x14ac:dyDescent="0.2">
      <c r="A35" s="10" t="s">
        <v>2040</v>
      </c>
      <c r="B35" s="37">
        <v>344</v>
      </c>
      <c r="C35" s="37">
        <v>15637900</v>
      </c>
      <c r="D35" s="25">
        <v>45459.011627906977</v>
      </c>
      <c r="E35" s="25">
        <v>3406507128.0928879</v>
      </c>
      <c r="F35" s="25">
        <v>58365.290439548815</v>
      </c>
      <c r="G35" s="51" cm="1">
        <f t="array" ref="G35">MIN(_xlfn._xlws.FILTER(CrowdfundingTable[goal],CrowdfundingTable[primary_category]=A35))</f>
        <v>100</v>
      </c>
      <c r="H35" s="51" cm="1">
        <f t="array" ref="H35">_xlfn.QUARTILE.EXC(_xlfn._xlws.FILTER(CrowdfundingTable[goal],CrowdfundingTable[primary_category]=A35),1)</f>
        <v>4900</v>
      </c>
      <c r="I35" s="51" cm="1">
        <f t="array" ref="I35">MEDIAN(_xlfn._xlws.FILTER(CrowdfundingTable[goal],CrowdfundingTable[primary_category]=A35))</f>
        <v>8550</v>
      </c>
      <c r="J35" s="51" cm="1">
        <f t="array" ref="J35">_xlfn.QUARTILE.EXC(_xlfn._xlws.FILTER(CrowdfundingTable[goal],CrowdfundingTable[primary_category]=A35),3)</f>
        <v>82650</v>
      </c>
      <c r="K35" s="51" cm="1">
        <f t="array" ref="K35">MAX(_xlfn._xlws.FILTER(CrowdfundingTable[goal],CrowdfundingTable[primary_category]=A35))</f>
        <v>199200</v>
      </c>
      <c r="L35" s="51">
        <f t="shared" si="0"/>
        <v>77750</v>
      </c>
      <c r="M35" s="51">
        <f t="shared" si="1"/>
        <v>199275</v>
      </c>
      <c r="N35" s="51">
        <f t="shared" si="2"/>
        <v>-111725</v>
      </c>
      <c r="O35" s="51" cm="1">
        <f t="array" aca="1" ref="O35" ca="1">COUNT(IF(_xlfn._xlws.FILTER(CrowdfundingTable[goal],CrowdfundingTable[primary_category]=A35) &gt; M35,1,Null()))</f>
        <v>0</v>
      </c>
      <c r="P35" s="52" cm="1">
        <f t="array" ref="P35">_xlfn.SKEW.P(_xlfn._xlws.FILTER(CrowdfundingTable[goal],CrowdfundingTable[primary_category]=A35))</f>
        <v>1.2168944693161601</v>
      </c>
    </row>
    <row r="36" spans="1:16" x14ac:dyDescent="0.2">
      <c r="A36" s="18" t="s">
        <v>2055</v>
      </c>
      <c r="B36" s="37">
        <v>344</v>
      </c>
      <c r="C36" s="37">
        <v>15637900</v>
      </c>
      <c r="D36" s="25">
        <v>45459.011627906977</v>
      </c>
      <c r="E36" s="25">
        <v>3406507128.0928879</v>
      </c>
      <c r="F36" s="25">
        <v>58365.290439548815</v>
      </c>
      <c r="G36" s="46" cm="1">
        <f t="array" ref="G36">MIN(_xlfn._xlws.FILTER(CrowdfundingTable[goal],CrowdfundingTable[subcategory]=A36))</f>
        <v>100</v>
      </c>
      <c r="H36" s="46" cm="1">
        <f t="array" ref="H36">_xlfn.QUARTILE.EXC(_xlfn._xlws.FILTER(CrowdfundingTable[goal],CrowdfundingTable[subcategory]=A36),1)</f>
        <v>4900</v>
      </c>
      <c r="I36" s="46" cm="1">
        <f t="array" ref="I36">MEDIAN(_xlfn._xlws.FILTER(CrowdfundingTable[goal],CrowdfundingTable[subcategory]=A36))</f>
        <v>8550</v>
      </c>
      <c r="J36" s="46" cm="1">
        <f t="array" ref="J36">_xlfn.QUARTILE.EXC(_xlfn._xlws.FILTER(CrowdfundingTable[goal],CrowdfundingTable[subcategory]=A36),3)</f>
        <v>82650</v>
      </c>
      <c r="K36" s="46" cm="1">
        <f t="array" ref="K36">MAX(_xlfn._xlws.FILTER(CrowdfundingTable[goal],CrowdfundingTable[subcategory]=A36))</f>
        <v>199200</v>
      </c>
      <c r="L36" s="46">
        <f t="shared" si="0"/>
        <v>77750</v>
      </c>
      <c r="M36" s="46">
        <f t="shared" si="1"/>
        <v>199275</v>
      </c>
      <c r="N36" s="46">
        <f t="shared" si="2"/>
        <v>-111725</v>
      </c>
      <c r="O36" s="46" cm="1">
        <f t="array" aca="1" ref="O36" ca="1">COUNT(IF(_xlfn._xlws.FILTER(CrowdfundingTable[goal],CrowdfundingTable[subcategory]=A36) &gt; M36,1,Null()))</f>
        <v>0</v>
      </c>
      <c r="P36" s="47" cm="1">
        <f t="array" ref="P36">_xlfn.SKEW.P(_xlfn._xlws.FILTER(CrowdfundingTable[goal],CrowdfundingTable[subcategory]=A36))</f>
        <v>1.2168944693161601</v>
      </c>
    </row>
    <row r="37" spans="1:16" x14ac:dyDescent="0.2">
      <c r="A37" s="10" t="s">
        <v>2030</v>
      </c>
      <c r="B37" s="37">
        <v>1000</v>
      </c>
      <c r="C37" s="37">
        <v>43983100</v>
      </c>
      <c r="D37" s="25">
        <v>43983.1</v>
      </c>
      <c r="E37" s="25">
        <v>3473091064.3899999</v>
      </c>
      <c r="F37" s="25">
        <v>58932.937008009365</v>
      </c>
      <c r="G37" s="45"/>
      <c r="H37" s="45"/>
      <c r="I37" s="45"/>
      <c r="J37" s="45"/>
      <c r="K37" s="45"/>
      <c r="L37" s="45"/>
      <c r="M37" s="45"/>
      <c r="N37" s="45"/>
      <c r="O37" s="45"/>
      <c r="P37" s="45"/>
    </row>
    <row r="38" spans="1:16" x14ac:dyDescent="0.2">
      <c r="E38" s="31"/>
      <c r="F38" s="31"/>
      <c r="G38" s="31"/>
      <c r="H38" s="31"/>
      <c r="I38" s="31"/>
      <c r="J38" s="31"/>
    </row>
    <row r="39" spans="1:16" x14ac:dyDescent="0.2">
      <c r="A39" s="13" t="s">
        <v>2082</v>
      </c>
      <c r="B39" s="49">
        <f>SUM(B4,B11,B13,B18,B25,B27,B32,B35)-GETPIVOTDATA("Count of goal",$A$3,"Primary Category","music","Subcategory","world music")</f>
        <v>993</v>
      </c>
      <c r="C39" s="50">
        <f>SUM(C4,C11,C13,C18,C25,C27,C32,C35)-GETPIVOTDATA("Sum of goal",$A$3,"Primary Category","music","Subcategory","world music")</f>
        <v>43813100</v>
      </c>
      <c r="D39" s="50">
        <f>(SUM(D4,D11,D13,D18,D25,D27,D32,D35)-GETPIVOTDATA("Mean of goal",$A$3,"Primary Category","music","Subcategory","world music"))/8</f>
        <v>37698.354361954021</v>
      </c>
      <c r="E39" s="25"/>
      <c r="F39" s="25"/>
    </row>
  </sheetData>
  <pageMargins left="0.7" right="0.7" top="0.75" bottom="0.75" header="0.3" footer="0.3"/>
  <ignoredErrors>
    <ignoredError sqref="G11:K11 P12 G13:K13 G17:N17 G26:N26 P11 P13 G16:N16 P16 G18:N18 P18 G25:N25 P25 G28:N31 G27:N27 P27 G33:N34 G32:N32 P32 G35:N35 P35 P17 P26 P28:P31 P33:P34 G12:K12 O11:O17 O18:O35" formula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A9A96-90C4-A448-94DC-6A90C85211DD}">
  <dimension ref="A1:P39"/>
  <sheetViews>
    <sheetView zoomScaleNormal="100" workbookViewId="0"/>
  </sheetViews>
  <sheetFormatPr baseColWidth="10" defaultRowHeight="16" x14ac:dyDescent="0.2"/>
  <cols>
    <col min="1" max="1" width="20.83203125" style="5" customWidth="1"/>
    <col min="2" max="2" width="15.83203125" style="40" customWidth="1"/>
    <col min="3" max="3" width="15.83203125" style="58" customWidth="1"/>
    <col min="4" max="4" width="15.83203125" style="56" customWidth="1"/>
    <col min="5" max="6" width="15.83203125" style="25" customWidth="1"/>
    <col min="7" max="7" width="15.83203125" style="21" customWidth="1"/>
    <col min="8" max="8" width="12.83203125" style="21" customWidth="1"/>
    <col min="9" max="9" width="20.83203125" style="21" customWidth="1"/>
    <col min="10" max="10" width="12.83203125" style="21" customWidth="1"/>
    <col min="11" max="11" width="15.83203125" style="21" customWidth="1"/>
    <col min="12" max="16" width="12.83203125" style="21" customWidth="1"/>
    <col min="17" max="16384" width="10.83203125" style="5"/>
  </cols>
  <sheetData>
    <row r="1" spans="1:16" x14ac:dyDescent="0.2">
      <c r="D1" s="55"/>
    </row>
    <row r="3" spans="1:16" x14ac:dyDescent="0.2">
      <c r="A3" s="9" t="s">
        <v>2031</v>
      </c>
      <c r="B3" s="40" t="s">
        <v>2146</v>
      </c>
      <c r="C3" s="40" t="s">
        <v>2081</v>
      </c>
      <c r="D3" s="25" t="s">
        <v>2147</v>
      </c>
      <c r="E3" s="25" t="s">
        <v>2148</v>
      </c>
      <c r="F3" s="25" t="s">
        <v>2094</v>
      </c>
      <c r="G3" s="41" t="s">
        <v>2149</v>
      </c>
      <c r="H3" s="42" t="s">
        <v>2139</v>
      </c>
      <c r="I3" s="41" t="s">
        <v>2150</v>
      </c>
      <c r="J3" s="43" t="s">
        <v>2140</v>
      </c>
      <c r="K3" s="43" t="s">
        <v>2151</v>
      </c>
      <c r="L3" s="44" t="s">
        <v>2141</v>
      </c>
      <c r="M3" s="44" t="s">
        <v>2142</v>
      </c>
      <c r="N3" s="44" t="s">
        <v>2143</v>
      </c>
      <c r="O3" s="44" t="s">
        <v>2144</v>
      </c>
      <c r="P3" s="44" t="s">
        <v>2104</v>
      </c>
    </row>
    <row r="4" spans="1:16" x14ac:dyDescent="0.2">
      <c r="A4" s="10" t="s">
        <v>2032</v>
      </c>
      <c r="B4" s="40">
        <v>178</v>
      </c>
      <c r="C4" s="40">
        <v>7510076</v>
      </c>
      <c r="D4" s="25">
        <v>42191.438202247191</v>
      </c>
      <c r="E4" s="25">
        <v>3110722189.6282034</v>
      </c>
      <c r="F4" s="25">
        <v>55931.179955946951</v>
      </c>
      <c r="G4" s="51" cm="1">
        <f t="array" ref="G4">MIN(_xlfn._xlws.FILTER(CrowdfundingTable[pledged],CrowdfundingTable[primary_category]=A4))</f>
        <v>4</v>
      </c>
      <c r="H4" s="51" cm="1">
        <f t="array" ref="H4">_xlfn.QUARTILE.EXC(_xlfn._xlws.FILTER(CrowdfundingTable[pledged],CrowdfundingTable[primary_category]=A4),1)</f>
        <v>6129.25</v>
      </c>
      <c r="I4" s="51" cm="1">
        <f t="array" ref="I4">MEDIAN(_xlfn._xlws.FILTER(CrowdfundingTable[pledged],CrowdfundingTable[primary_category]=A4))</f>
        <v>12402.5</v>
      </c>
      <c r="J4" s="51" cm="1">
        <f t="array" ref="J4">_xlfn.QUARTILE.EXC(_xlfn._xlws.FILTER(CrowdfundingTable[pledged],CrowdfundingTable[primary_category]=A4),3)</f>
        <v>66350.5</v>
      </c>
      <c r="K4" s="51" cm="1">
        <f t="array" ref="K4">MAX(_xlfn._xlws.FILTER(CrowdfundingTable[pledged],CrowdfundingTable[primary_category]=A4))</f>
        <v>199110</v>
      </c>
      <c r="L4" s="51">
        <f>J4-H4</f>
        <v>60221.25</v>
      </c>
      <c r="M4" s="51">
        <f>J4+(1.5*L4)</f>
        <v>156682.375</v>
      </c>
      <c r="N4" s="51">
        <f>H4-(1.5*L4)</f>
        <v>-84202.625</v>
      </c>
      <c r="O4" s="51" cm="1">
        <f t="array" aca="1" ref="O4" ca="1">COUNT(IF(_xlfn._xlws.FILTER(CrowdfundingTable[pledged],CrowdfundingTable[primary_category]=A4) &gt; M4,1,Null()))</f>
        <v>15</v>
      </c>
      <c r="P4" s="52" cm="1">
        <f t="array" ref="P4">_xlfn.SKEW.P(_xlfn._xlws.FILTER(CrowdfundingTable[pledged],CrowdfundingTable[primary_category]=A4))</f>
        <v>1.470466215140686</v>
      </c>
    </row>
    <row r="5" spans="1:16" x14ac:dyDescent="0.2">
      <c r="A5" s="18" t="s">
        <v>2042</v>
      </c>
      <c r="B5" s="40">
        <v>34</v>
      </c>
      <c r="C5" s="40">
        <v>1700624</v>
      </c>
      <c r="D5" s="25">
        <v>50018.352941176468</v>
      </c>
      <c r="E5" s="25">
        <v>4059822161.1695499</v>
      </c>
      <c r="F5" s="25">
        <v>64674.933901353048</v>
      </c>
      <c r="G5" s="46" cm="1">
        <f t="array" ref="G5">MIN(_xlfn._xlws.FILTER(CrowdfundingTable[pledged],CrowdfundingTable[subcategory]=A5))</f>
        <v>4</v>
      </c>
      <c r="H5" s="46" cm="1">
        <f t="array" ref="H5">_xlfn.QUARTILE.EXC(_xlfn._xlws.FILTER(CrowdfundingTable[pledged],CrowdfundingTable[subcategory]=A5),1)</f>
        <v>5291.75</v>
      </c>
      <c r="I5" s="46" cm="1">
        <f t="array" ref="I5">MEDIAN(_xlfn._xlws.FILTER(CrowdfundingTable[pledged],CrowdfundingTable[subcategory]=A5))</f>
        <v>12075</v>
      </c>
      <c r="J5" s="46" cm="1">
        <f t="array" ref="J5">_xlfn.QUARTILE.EXC(_xlfn._xlws.FILTER(CrowdfundingTable[pledged],CrowdfundingTable[subcategory]=A5),3)</f>
        <v>120118.75</v>
      </c>
      <c r="K5" s="46" cm="1">
        <f t="array" ref="K5">MAX(_xlfn._xlws.FILTER(CrowdfundingTable[pledged],CrowdfundingTable[subcategory]=A5))</f>
        <v>188480</v>
      </c>
      <c r="L5" s="46">
        <f t="shared" ref="L5:L36" si="0">J5-H5</f>
        <v>114827</v>
      </c>
      <c r="M5" s="46">
        <f t="shared" ref="M5:M36" si="1">J5+(1.5*L5)</f>
        <v>292359.25</v>
      </c>
      <c r="N5" s="46">
        <f t="shared" ref="N5:N36" si="2">H5-(1.5*L5)</f>
        <v>-166948.75</v>
      </c>
      <c r="O5" s="46" cm="1">
        <f t="array" aca="1" ref="O5" ca="1">COUNT(IF(_xlfn._xlws.FILTER(CrowdfundingTable[pledged],CrowdfundingTable[subcategory]=A5) &gt; M5,1,Null()))</f>
        <v>0</v>
      </c>
      <c r="P5" s="47" cm="1">
        <f t="array" ref="P5">_xlfn.SKEW.P(_xlfn._xlws.FILTER(CrowdfundingTable[pledged],CrowdfundingTable[subcategory]=A5))</f>
        <v>1.064309674917405</v>
      </c>
    </row>
    <row r="6" spans="1:16" x14ac:dyDescent="0.2">
      <c r="A6" s="18" t="s">
        <v>2044</v>
      </c>
      <c r="B6" s="40">
        <v>60</v>
      </c>
      <c r="C6" s="40">
        <v>2448783</v>
      </c>
      <c r="D6" s="25">
        <v>40813.050000000003</v>
      </c>
      <c r="E6" s="25">
        <v>2405802876.8141665</v>
      </c>
      <c r="F6" s="25">
        <v>49462.907281721418</v>
      </c>
      <c r="G6" s="46" cm="1">
        <f t="array" ref="G6">MIN(_xlfn._xlws.FILTER(CrowdfundingTable[pledged],CrowdfundingTable[subcategory]=A6))</f>
        <v>663</v>
      </c>
      <c r="H6" s="46" cm="1">
        <f t="array" ref="H6">_xlfn.QUARTILE.EXC(_xlfn._xlws.FILTER(CrowdfundingTable[pledged],CrowdfundingTable[subcategory]=A6),1)</f>
        <v>7226.25</v>
      </c>
      <c r="I6" s="46" cm="1">
        <f t="array" ref="I6">MEDIAN(_xlfn._xlws.FILTER(CrowdfundingTable[pledged],CrowdfundingTable[subcategory]=A6))</f>
        <v>13946.5</v>
      </c>
      <c r="J6" s="46" cm="1">
        <f t="array" ref="J6">_xlfn.QUARTILE.EXC(_xlfn._xlws.FILTER(CrowdfundingTable[pledged],CrowdfundingTable[subcategory]=A6),3)</f>
        <v>74825.25</v>
      </c>
      <c r="K6" s="46" cm="1">
        <f t="array" ref="K6">MAX(_xlfn._xlws.FILTER(CrowdfundingTable[pledged],CrowdfundingTable[subcategory]=A6))</f>
        <v>199110</v>
      </c>
      <c r="L6" s="46">
        <f t="shared" si="0"/>
        <v>67599</v>
      </c>
      <c r="M6" s="46">
        <f t="shared" si="1"/>
        <v>176223.75</v>
      </c>
      <c r="N6" s="46">
        <f t="shared" si="2"/>
        <v>-94172.25</v>
      </c>
      <c r="O6" s="46" cm="1">
        <f t="array" aca="1" ref="O6" ca="1">COUNT(IF(_xlfn._xlws.FILTER(CrowdfundingTable[pledged],CrowdfundingTable[subcategory]=A6) &gt; M6,1,Null()))</f>
        <v>3</v>
      </c>
      <c r="P6" s="47" cm="1">
        <f t="array" ref="P6">_xlfn.SKEW.P(_xlfn._xlws.FILTER(CrowdfundingTable[pledged],CrowdfundingTable[subcategory]=A6))</f>
        <v>1.6133619250442885</v>
      </c>
    </row>
    <row r="7" spans="1:16" x14ac:dyDescent="0.2">
      <c r="A7" s="18" t="s">
        <v>2045</v>
      </c>
      <c r="B7" s="40">
        <v>37</v>
      </c>
      <c r="C7" s="40">
        <v>1208745</v>
      </c>
      <c r="D7" s="25">
        <v>32668.783783783783</v>
      </c>
      <c r="E7" s="25">
        <v>2424067922.4397368</v>
      </c>
      <c r="F7" s="25">
        <v>49913.957391770768</v>
      </c>
      <c r="G7" s="46" cm="1">
        <f t="array" ref="G7">MIN(_xlfn._xlws.FILTER(CrowdfundingTable[pledged],CrowdfundingTable[subcategory]=A7))</f>
        <v>1022</v>
      </c>
      <c r="H7" s="46" cm="1">
        <f t="array" ref="H7">_xlfn.QUARTILE.EXC(_xlfn._xlws.FILTER(CrowdfundingTable[pledged],CrowdfundingTable[subcategory]=A7),1)</f>
        <v>6189.5</v>
      </c>
      <c r="I7" s="46" cm="1">
        <f t="array" ref="I7">MEDIAN(_xlfn._xlws.FILTER(CrowdfundingTable[pledged],CrowdfundingTable[subcategory]=A7))</f>
        <v>11579</v>
      </c>
      <c r="J7" s="46" cm="1">
        <f t="array" ref="J7">_xlfn.QUARTILE.EXC(_xlfn._xlws.FILTER(CrowdfundingTable[pledged],CrowdfundingTable[subcategory]=A7),3)</f>
        <v>29347.5</v>
      </c>
      <c r="K7" s="46" cm="1">
        <f t="array" ref="K7">MAX(_xlfn._xlws.FILTER(CrowdfundingTable[pledged],CrowdfundingTable[subcategory]=A7))</f>
        <v>188628</v>
      </c>
      <c r="L7" s="46">
        <f t="shared" si="0"/>
        <v>23158</v>
      </c>
      <c r="M7" s="46">
        <f t="shared" si="1"/>
        <v>64084.5</v>
      </c>
      <c r="N7" s="46">
        <f t="shared" si="2"/>
        <v>-28547.5</v>
      </c>
      <c r="O7" s="46" cm="1">
        <f t="array" aca="1" ref="O7" ca="1">COUNT(IF(_xlfn._xlws.FILTER(CrowdfundingTable[pledged],CrowdfundingTable[subcategory]=A7) &gt; M7,1,Null()))</f>
        <v>6</v>
      </c>
      <c r="P7" s="47" cm="1">
        <f t="array" ref="P7">_xlfn.SKEW.P(_xlfn._xlws.FILTER(CrowdfundingTable[pledged],CrowdfundingTable[subcategory]=A7))</f>
        <v>2.0111986850192172</v>
      </c>
    </row>
    <row r="8" spans="1:16" x14ac:dyDescent="0.2">
      <c r="A8" s="18" t="s">
        <v>2058</v>
      </c>
      <c r="B8" s="40">
        <v>14</v>
      </c>
      <c r="C8" s="40">
        <v>559713</v>
      </c>
      <c r="D8" s="25">
        <v>39979.5</v>
      </c>
      <c r="E8" s="25">
        <v>2770066922.6785712</v>
      </c>
      <c r="F8" s="25">
        <v>54618.211190534668</v>
      </c>
      <c r="G8" s="46" cm="1">
        <f t="array" ref="G8">MIN(_xlfn._xlws.FILTER(CrowdfundingTable[pledged],CrowdfundingTable[subcategory]=A8))</f>
        <v>824</v>
      </c>
      <c r="H8" s="46" cm="1">
        <f t="array" ref="H8">_xlfn.QUARTILE.EXC(_xlfn._xlws.FILTER(CrowdfundingTable[pledged],CrowdfundingTable[subcategory]=A8),1)</f>
        <v>5906.75</v>
      </c>
      <c r="I8" s="46" cm="1">
        <f t="array" ref="I8">MEDIAN(_xlfn._xlws.FILTER(CrowdfundingTable[pledged],CrowdfundingTable[subcategory]=A8))</f>
        <v>12847.5</v>
      </c>
      <c r="J8" s="46" cm="1">
        <f t="array" ref="J8">_xlfn.QUARTILE.EXC(_xlfn._xlws.FILTER(CrowdfundingTable[pledged],CrowdfundingTable[subcategory]=A8),3)</f>
        <v>68658.25</v>
      </c>
      <c r="K8" s="46" cm="1">
        <f t="array" ref="K8">MAX(_xlfn._xlws.FILTER(CrowdfundingTable[pledged],CrowdfundingTable[subcategory]=A8))</f>
        <v>186885</v>
      </c>
      <c r="L8" s="46">
        <f t="shared" si="0"/>
        <v>62751.5</v>
      </c>
      <c r="M8" s="46">
        <f t="shared" si="1"/>
        <v>162785.5</v>
      </c>
      <c r="N8" s="46">
        <f t="shared" si="2"/>
        <v>-88220.5</v>
      </c>
      <c r="O8" s="46" cm="1">
        <f t="array" aca="1" ref="O8" ca="1">COUNT(IF(_xlfn._xlws.FILTER(CrowdfundingTable[pledged],CrowdfundingTable[subcategory]=A8) &gt; M8,1,Null()))</f>
        <v>1</v>
      </c>
      <c r="P8" s="47" cm="1">
        <f t="array" ref="P8">_xlfn.SKEW.P(_xlfn._xlws.FILTER(CrowdfundingTable[pledged],CrowdfundingTable[subcategory]=A8))</f>
        <v>1.6383374281391734</v>
      </c>
    </row>
    <row r="9" spans="1:16" x14ac:dyDescent="0.2">
      <c r="A9" s="18" t="s">
        <v>2059</v>
      </c>
      <c r="B9" s="40">
        <v>16</v>
      </c>
      <c r="C9" s="40">
        <v>855820</v>
      </c>
      <c r="D9" s="25">
        <v>53488.75</v>
      </c>
      <c r="E9" s="25">
        <v>4066497151.4375</v>
      </c>
      <c r="F9" s="25">
        <v>65860.435479378168</v>
      </c>
      <c r="G9" s="46" cm="1">
        <f t="array" ref="G9">MIN(_xlfn._xlws.FILTER(CrowdfundingTable[pledged],CrowdfundingTable[subcategory]=A9))</f>
        <v>2097</v>
      </c>
      <c r="H9" s="46" cm="1">
        <f t="array" ref="H9">_xlfn.QUARTILE.EXC(_xlfn._xlws.FILTER(CrowdfundingTable[pledged],CrowdfundingTable[subcategory]=A9),1)</f>
        <v>6580.5</v>
      </c>
      <c r="I9" s="46" cm="1">
        <f t="array" ref="I9">MEDIAN(_xlfn._xlws.FILTER(CrowdfundingTable[pledged],CrowdfundingTable[subcategory]=A9))</f>
        <v>14263.5</v>
      </c>
      <c r="J9" s="46" cm="1">
        <f t="array" ref="J9">_xlfn.QUARTILE.EXC(_xlfn._xlws.FILTER(CrowdfundingTable[pledged],CrowdfundingTable[subcategory]=A9),3)</f>
        <v>128490.75</v>
      </c>
      <c r="K9" s="46" cm="1">
        <f t="array" ref="K9">MAX(_xlfn._xlws.FILTER(CrowdfundingTable[pledged],CrowdfundingTable[subcategory]=A9))</f>
        <v>174039</v>
      </c>
      <c r="L9" s="46">
        <f t="shared" si="0"/>
        <v>121910.25</v>
      </c>
      <c r="M9" s="46">
        <f t="shared" si="1"/>
        <v>311356.125</v>
      </c>
      <c r="N9" s="46">
        <f t="shared" si="2"/>
        <v>-176284.875</v>
      </c>
      <c r="O9" s="46" cm="1">
        <f t="array" aca="1" ref="O9" ca="1">COUNT(IF(_xlfn._xlws.FILTER(CrowdfundingTable[pledged],CrowdfundingTable[subcategory]=A9) &gt; M9,1,Null()))</f>
        <v>0</v>
      </c>
      <c r="P9" s="47" cm="1">
        <f t="array" ref="P9">_xlfn.SKEW.P(_xlfn._xlws.FILTER(CrowdfundingTable[pledged],CrowdfundingTable[subcategory]=A9))</f>
        <v>0.88596696363353611</v>
      </c>
    </row>
    <row r="10" spans="1:16" x14ac:dyDescent="0.2">
      <c r="A10" s="18" t="s">
        <v>2060</v>
      </c>
      <c r="B10" s="40">
        <v>17</v>
      </c>
      <c r="C10" s="40">
        <v>736391</v>
      </c>
      <c r="D10" s="25">
        <v>43317.117647058825</v>
      </c>
      <c r="E10" s="25">
        <v>4123932919.2802768</v>
      </c>
      <c r="F10" s="25">
        <v>66194.24995220729</v>
      </c>
      <c r="G10" s="46" cm="1">
        <f t="array" ref="G10">MIN(_xlfn._xlws.FILTER(CrowdfundingTable[pledged],CrowdfundingTable[subcategory]=A10))</f>
        <v>718</v>
      </c>
      <c r="H10" s="46" cm="1">
        <f t="array" ref="H10">_xlfn.QUARTILE.EXC(_xlfn._xlws.FILTER(CrowdfundingTable[pledged],CrowdfundingTable[subcategory]=A10),1)</f>
        <v>3234</v>
      </c>
      <c r="I10" s="46" cm="1">
        <f t="array" ref="I10">MEDIAN(_xlfn._xlws.FILTER(CrowdfundingTable[pledged],CrowdfundingTable[subcategory]=A10))</f>
        <v>9076</v>
      </c>
      <c r="J10" s="46" cm="1">
        <f t="array" ref="J10">_xlfn.QUARTILE.EXC(_xlfn._xlws.FILTER(CrowdfundingTable[pledged],CrowdfundingTable[subcategory]=A10),3)</f>
        <v>65289</v>
      </c>
      <c r="K10" s="46" cm="1">
        <f t="array" ref="K10">MAX(_xlfn._xlws.FILTER(CrowdfundingTable[pledged],CrowdfundingTable[subcategory]=A10))</f>
        <v>195936</v>
      </c>
      <c r="L10" s="46">
        <f t="shared" si="0"/>
        <v>62055</v>
      </c>
      <c r="M10" s="46">
        <f t="shared" si="1"/>
        <v>158371.5</v>
      </c>
      <c r="N10" s="46">
        <f t="shared" si="2"/>
        <v>-89848.5</v>
      </c>
      <c r="O10" s="46" cm="1">
        <f t="array" aca="1" ref="O10" ca="1">COUNT(IF(_xlfn._xlws.FILTER(CrowdfundingTable[pledged],CrowdfundingTable[subcategory]=A10) &gt; M10,1,Null()))</f>
        <v>3</v>
      </c>
      <c r="P10" s="47" cm="1">
        <f t="array" ref="P10">_xlfn.SKEW.P(_xlfn._xlws.FILTER(CrowdfundingTable[pledged],CrowdfundingTable[subcategory]=A10))</f>
        <v>1.4333880871010203</v>
      </c>
    </row>
    <row r="11" spans="1:16" x14ac:dyDescent="0.2">
      <c r="A11" s="10" t="s">
        <v>2033</v>
      </c>
      <c r="B11" s="40">
        <v>46</v>
      </c>
      <c r="C11" s="40">
        <v>1735179</v>
      </c>
      <c r="D11" s="25">
        <v>37721.282608695656</v>
      </c>
      <c r="E11" s="25">
        <v>3038579316.3766541</v>
      </c>
      <c r="F11" s="25">
        <v>55732.425940246168</v>
      </c>
      <c r="G11" s="51" cm="1">
        <f t="array" ref="G11">MIN(_xlfn._xlws.FILTER(CrowdfundingTable[pledged],CrowdfundingTable[primary_category]=A11))</f>
        <v>0</v>
      </c>
      <c r="H11" s="51" cm="1">
        <f t="array" ref="H11">_xlfn.QUARTILE.EXC(_xlfn._xlws.FILTER(CrowdfundingTable[pledged],CrowdfundingTable[primary_category]=A11),1)</f>
        <v>6507.5</v>
      </c>
      <c r="I11" s="51" cm="1">
        <f t="array" ref="I11">MEDIAN(_xlfn._xlws.FILTER(CrowdfundingTable[pledged],CrowdfundingTable[primary_category]=A11))</f>
        <v>10882.5</v>
      </c>
      <c r="J11" s="51" cm="1">
        <f t="array" ref="J11">_xlfn.QUARTILE.EXC(_xlfn._xlws.FILTER(CrowdfundingTable[pledged],CrowdfundingTable[primary_category]=A11),3)</f>
        <v>52952.75</v>
      </c>
      <c r="K11" s="51" cm="1">
        <f t="array" ref="K11">MAX(_xlfn._xlws.FILTER(CrowdfundingTable[pledged],CrowdfundingTable[primary_category]=A11))</f>
        <v>180667</v>
      </c>
      <c r="L11" s="51">
        <f t="shared" si="0"/>
        <v>46445.25</v>
      </c>
      <c r="M11" s="51">
        <f t="shared" si="1"/>
        <v>122620.625</v>
      </c>
      <c r="N11" s="51">
        <f t="shared" si="2"/>
        <v>-63160.375</v>
      </c>
      <c r="O11" s="51" cm="1">
        <f t="array" aca="1" ref="O11" ca="1">COUNT(IF(_xlfn._xlws.FILTER(CrowdfundingTable[pledged],CrowdfundingTable[primary_category]=A11) &gt; M11,1,Null()))</f>
        <v>7</v>
      </c>
      <c r="P11" s="52" cm="1">
        <f t="array" ref="P11">_xlfn.SKEW.P(_xlfn._xlws.FILTER(CrowdfundingTable[pledged],CrowdfundingTable[primary_category]=A11))</f>
        <v>1.5385263262244167</v>
      </c>
    </row>
    <row r="12" spans="1:16" x14ac:dyDescent="0.2">
      <c r="A12" s="18" t="s">
        <v>2048</v>
      </c>
      <c r="B12" s="40">
        <v>46</v>
      </c>
      <c r="C12" s="40">
        <v>1735179</v>
      </c>
      <c r="D12" s="25">
        <v>37721.282608695656</v>
      </c>
      <c r="E12" s="25">
        <v>3038579316.3766541</v>
      </c>
      <c r="F12" s="25">
        <v>55732.425940246168</v>
      </c>
      <c r="G12" s="46" cm="1">
        <f t="array" ref="G12">MIN(_xlfn._xlws.FILTER(CrowdfundingTable[pledged],CrowdfundingTable[subcategory]=A12))</f>
        <v>0</v>
      </c>
      <c r="H12" s="46" cm="1">
        <f t="array" ref="H12">_xlfn.QUARTILE.EXC(_xlfn._xlws.FILTER(CrowdfundingTable[pledged],CrowdfundingTable[subcategory]=A12),1)</f>
        <v>6507.5</v>
      </c>
      <c r="I12" s="46" cm="1">
        <f t="array" ref="I12">MEDIAN(_xlfn._xlws.FILTER(CrowdfundingTable[pledged],CrowdfundingTable[subcategory]=A12))</f>
        <v>10882.5</v>
      </c>
      <c r="J12" s="46" cm="1">
        <f t="array" ref="J12">_xlfn.QUARTILE.EXC(_xlfn._xlws.FILTER(CrowdfundingTable[pledged],CrowdfundingTable[subcategory]=A12),3)</f>
        <v>52952.75</v>
      </c>
      <c r="K12" s="46" cm="1">
        <f t="array" ref="K12">MAX(_xlfn._xlws.FILTER(CrowdfundingTable[pledged],CrowdfundingTable[subcategory]=A12))</f>
        <v>180667</v>
      </c>
      <c r="L12" s="46">
        <f t="shared" si="0"/>
        <v>46445.25</v>
      </c>
      <c r="M12" s="46">
        <f t="shared" si="1"/>
        <v>122620.625</v>
      </c>
      <c r="N12" s="46">
        <f t="shared" si="2"/>
        <v>-63160.375</v>
      </c>
      <c r="O12" s="46" cm="1">
        <f t="array" aca="1" ref="O12" ca="1">COUNT(IF(_xlfn._xlws.FILTER(CrowdfundingTable[pledged],CrowdfundingTable[subcategory]=A12) &gt; M12,1,Null()))</f>
        <v>7</v>
      </c>
      <c r="P12" s="47" cm="1">
        <f t="array" ref="P12">_xlfn.SKEW.P(_xlfn._xlws.FILTER(CrowdfundingTable[pledged],CrowdfundingTable[subcategory]=A12))</f>
        <v>1.5385263262244167</v>
      </c>
    </row>
    <row r="13" spans="1:16" x14ac:dyDescent="0.2">
      <c r="A13" s="10" t="s">
        <v>2034</v>
      </c>
      <c r="B13" s="40">
        <v>48</v>
      </c>
      <c r="C13" s="40">
        <v>2015817</v>
      </c>
      <c r="D13" s="25">
        <v>41996.1875</v>
      </c>
      <c r="E13" s="25">
        <v>2220610091.2356772</v>
      </c>
      <c r="F13" s="25">
        <v>47622.023418303608</v>
      </c>
      <c r="G13" s="51" cm="1">
        <f t="array" ref="G13">MIN(_xlfn._xlws.FILTER(CrowdfundingTable[pledged],CrowdfundingTable[primary_category]=A13))</f>
        <v>574</v>
      </c>
      <c r="H13" s="51" cm="1">
        <f t="array" ref="H13">_xlfn.QUARTILE.EXC(_xlfn._xlws.FILTER(CrowdfundingTable[pledged],CrowdfundingTable[primary_category]=A13),1)</f>
        <v>6919.75</v>
      </c>
      <c r="I13" s="51" cm="1">
        <f t="array" ref="I13">MEDIAN(_xlfn._xlws.FILTER(CrowdfundingTable[pledged],CrowdfundingTable[primary_category]=A13))</f>
        <v>14418.5</v>
      </c>
      <c r="J13" s="51" cm="1">
        <f t="array" ref="J13">_xlfn.QUARTILE.EXC(_xlfn._xlws.FILTER(CrowdfundingTable[pledged],CrowdfundingTable[primary_category]=A13),3)</f>
        <v>67923.5</v>
      </c>
      <c r="K13" s="51" cm="1">
        <f t="array" ref="K13">MAX(_xlfn._xlws.FILTER(CrowdfundingTable[pledged],CrowdfundingTable[primary_category]=A13))</f>
        <v>178338</v>
      </c>
      <c r="L13" s="51">
        <f t="shared" si="0"/>
        <v>61003.75</v>
      </c>
      <c r="M13" s="51">
        <f t="shared" si="1"/>
        <v>159429.125</v>
      </c>
      <c r="N13" s="51">
        <f t="shared" si="2"/>
        <v>-84585.875</v>
      </c>
      <c r="O13" s="51" cm="1">
        <f t="array" aca="1" ref="O13" ca="1">COUNT(IF(_xlfn._xlws.FILTER(CrowdfundingTable[pledged],CrowdfundingTable[primary_category]=A13) &gt; M13,1,Null()))</f>
        <v>2</v>
      </c>
      <c r="P13" s="52" cm="1">
        <f t="array" ref="P13">_xlfn.SKEW.P(_xlfn._xlws.FILTER(CrowdfundingTable[pledged],CrowdfundingTable[primary_category]=A13))</f>
        <v>1.2497390120989915</v>
      </c>
    </row>
    <row r="14" spans="1:16" x14ac:dyDescent="0.2">
      <c r="A14" s="18" t="s">
        <v>2052</v>
      </c>
      <c r="B14" s="40">
        <v>13</v>
      </c>
      <c r="C14" s="40">
        <v>888866</v>
      </c>
      <c r="D14" s="25">
        <v>68374.307692307688</v>
      </c>
      <c r="E14" s="25">
        <v>2469651511.2899408</v>
      </c>
      <c r="F14" s="25">
        <v>51724.808398847032</v>
      </c>
      <c r="G14" s="46" cm="1">
        <f t="array" ref="G14">MIN(_xlfn._xlws.FILTER(CrowdfundingTable[pledged],CrowdfundingTable[subcategory]=A14))</f>
        <v>4275</v>
      </c>
      <c r="H14" s="46" cm="1">
        <f t="array" ref="H14">_xlfn.QUARTILE.EXC(_xlfn._xlws.FILTER(CrowdfundingTable[pledged],CrowdfundingTable[subcategory]=A14),1)</f>
        <v>20986.5</v>
      </c>
      <c r="I14" s="46" cm="1">
        <f t="array" ref="I14">MEDIAN(_xlfn._xlws.FILTER(CrowdfundingTable[pledged],CrowdfundingTable[subcategory]=A14))</f>
        <v>57034</v>
      </c>
      <c r="J14" s="46" cm="1">
        <f t="array" ref="J14">_xlfn.QUARTILE.EXC(_xlfn._xlws.FILTER(CrowdfundingTable[pledged],CrowdfundingTable[subcategory]=A14),3)</f>
        <v>107511.5</v>
      </c>
      <c r="K14" s="46" cm="1">
        <f t="array" ref="K14">MAX(_xlfn._xlws.FILTER(CrowdfundingTable[pledged],CrowdfundingTable[subcategory]=A14))</f>
        <v>165798</v>
      </c>
      <c r="L14" s="46">
        <f t="shared" si="0"/>
        <v>86525</v>
      </c>
      <c r="M14" s="46">
        <f t="shared" si="1"/>
        <v>237299</v>
      </c>
      <c r="N14" s="46">
        <f t="shared" si="2"/>
        <v>-108801</v>
      </c>
      <c r="O14" s="46" cm="1">
        <f t="array" aca="1" ref="O14" ca="1">COUNT(IF(_xlfn._xlws.FILTER(CrowdfundingTable[pledged],CrowdfundingTable[subcategory]=A14) &gt; M14,1,Null()))</f>
        <v>0</v>
      </c>
      <c r="P14" s="47" cm="1">
        <f t="array" ref="P14">_xlfn.SKEW.P(_xlfn._xlws.FILTER(CrowdfundingTable[pledged],CrowdfundingTable[subcategory]=A14))</f>
        <v>0.46922070102873453</v>
      </c>
    </row>
    <row r="15" spans="1:16" x14ac:dyDescent="0.2">
      <c r="A15" s="18" t="s">
        <v>2062</v>
      </c>
      <c r="B15" s="40">
        <v>35</v>
      </c>
      <c r="C15" s="40">
        <v>1126951</v>
      </c>
      <c r="D15" s="25">
        <v>32198.6</v>
      </c>
      <c r="E15" s="25">
        <v>1773674330.8685715</v>
      </c>
      <c r="F15" s="25">
        <v>42729.863362207718</v>
      </c>
      <c r="G15" s="46" cm="1">
        <f t="array" ref="G15">MIN(_xlfn._xlws.FILTER(CrowdfundingTable[pledged],CrowdfundingTable[subcategory]=A15))</f>
        <v>574</v>
      </c>
      <c r="H15" s="46" cm="1">
        <f t="array" ref="H15">_xlfn.QUARTILE.EXC(_xlfn._xlws.FILTER(CrowdfundingTable[pledged],CrowdfundingTable[subcategory]=A15),1)</f>
        <v>6226</v>
      </c>
      <c r="I15" s="46" cm="1">
        <f t="array" ref="I15">MEDIAN(_xlfn._xlws.FILTER(CrowdfundingTable[pledged],CrowdfundingTable[subcategory]=A15))</f>
        <v>10850</v>
      </c>
      <c r="J15" s="46" cm="1">
        <f t="array" ref="J15">_xlfn.QUARTILE.EXC(_xlfn._xlws.FILTER(CrowdfundingTable[pledged],CrowdfundingTable[subcategory]=A15),3)</f>
        <v>47260</v>
      </c>
      <c r="K15" s="46" cm="1">
        <f t="array" ref="K15">MAX(_xlfn._xlws.FILTER(CrowdfundingTable[pledged],CrowdfundingTable[subcategory]=A15))</f>
        <v>178338</v>
      </c>
      <c r="L15" s="46">
        <f t="shared" si="0"/>
        <v>41034</v>
      </c>
      <c r="M15" s="46">
        <f t="shared" si="1"/>
        <v>108811</v>
      </c>
      <c r="N15" s="46">
        <f t="shared" si="2"/>
        <v>-55325</v>
      </c>
      <c r="O15" s="46" cm="1">
        <f t="array" aca="1" ref="O15" ca="1">COUNT(IF(_xlfn._xlws.FILTER(CrowdfundingTable[pledged],CrowdfundingTable[subcategory]=A15) &gt; M15,1,Null()))</f>
        <v>3</v>
      </c>
      <c r="P15" s="47" cm="1">
        <f t="array" ref="P15">_xlfn.SKEW.P(_xlfn._xlws.FILTER(CrowdfundingTable[pledged],CrowdfundingTable[subcategory]=A15))</f>
        <v>1.7621101635304963</v>
      </c>
    </row>
    <row r="16" spans="1:16" x14ac:dyDescent="0.2">
      <c r="A16" s="19" t="s">
        <v>2035</v>
      </c>
      <c r="B16" s="48">
        <v>4</v>
      </c>
      <c r="C16" s="48">
        <v>36176</v>
      </c>
      <c r="D16" s="39">
        <v>9044</v>
      </c>
      <c r="E16" s="39">
        <v>10045638.5</v>
      </c>
      <c r="F16" s="39">
        <v>3659.8066433442445</v>
      </c>
      <c r="G16" s="53" cm="1">
        <f t="array" ref="G16">MIN(_xlfn._xlws.FILTER(CrowdfundingTable[pledged],CrowdfundingTable[primary_category]=A16))</f>
        <v>4596</v>
      </c>
      <c r="H16" s="53" cm="1">
        <f t="array" ref="H16">_xlfn.QUARTILE.EXC(_xlfn._xlws.FILTER(CrowdfundingTable[pledged],CrowdfundingTable[primary_category]=A16),1)</f>
        <v>5321</v>
      </c>
      <c r="I16" s="53" cm="1">
        <f t="array" ref="I16">MEDIAN(_xlfn._xlws.FILTER(CrowdfundingTable[pledged],CrowdfundingTable[primary_category]=A16))</f>
        <v>9712.5</v>
      </c>
      <c r="J16" s="53" cm="1">
        <f t="array" ref="J16">_xlfn.QUARTILE.EXC(_xlfn._xlws.FILTER(CrowdfundingTable[pledged],CrowdfundingTable[primary_category]=A16),3)</f>
        <v>12098.5</v>
      </c>
      <c r="K16" s="53" cm="1">
        <f t="array" ref="K16">MAX(_xlfn._xlws.FILTER(CrowdfundingTable[pledged],CrowdfundingTable[primary_category]=A16))</f>
        <v>12155</v>
      </c>
      <c r="L16" s="53">
        <f t="shared" si="0"/>
        <v>6777.5</v>
      </c>
      <c r="M16" s="53">
        <f t="shared" si="1"/>
        <v>22264.75</v>
      </c>
      <c r="N16" s="53">
        <f t="shared" si="2"/>
        <v>-4845.25</v>
      </c>
      <c r="O16" s="53" cm="1">
        <f t="array" aca="1" ref="O16" ca="1">COUNT(IF(_xlfn._xlws.FILTER(CrowdfundingTable[pledged],CrowdfundingTable[primary_category]=A16) &gt; M16,1,Null()))</f>
        <v>0</v>
      </c>
      <c r="P16" s="54" cm="1">
        <f t="array" ref="P16">_xlfn.SKEW.P(_xlfn._xlws.FILTER(CrowdfundingTable[pledged],CrowdfundingTable[primary_category]=A16))</f>
        <v>-0.29515283177999752</v>
      </c>
    </row>
    <row r="17" spans="1:16" x14ac:dyDescent="0.2">
      <c r="A17" s="20" t="s">
        <v>2043</v>
      </c>
      <c r="B17" s="48">
        <v>4</v>
      </c>
      <c r="C17" s="48">
        <v>36176</v>
      </c>
      <c r="D17" s="39">
        <v>9044</v>
      </c>
      <c r="E17" s="39">
        <v>10045638.5</v>
      </c>
      <c r="F17" s="39">
        <v>3659.8066433442445</v>
      </c>
      <c r="G17" s="48" cm="1">
        <f t="array" ref="G17">MIN(_xlfn._xlws.FILTER(CrowdfundingTable[pledged],CrowdfundingTable[subcategory]=A17))</f>
        <v>4596</v>
      </c>
      <c r="H17" s="48" cm="1">
        <f t="array" ref="H17">_xlfn.QUARTILE.EXC(_xlfn._xlws.FILTER(CrowdfundingTable[pledged],CrowdfundingTable[subcategory]=A17),1)</f>
        <v>5321</v>
      </c>
      <c r="I17" s="48" cm="1">
        <f t="array" ref="I17">MEDIAN(_xlfn._xlws.FILTER(CrowdfundingTable[pledged],CrowdfundingTable[subcategory]=A17))</f>
        <v>9712.5</v>
      </c>
      <c r="J17" s="48" cm="1">
        <f t="array" ref="J17">_xlfn.QUARTILE.EXC(_xlfn._xlws.FILTER(CrowdfundingTable[pledged],CrowdfundingTable[subcategory]=A17),3)</f>
        <v>12098.5</v>
      </c>
      <c r="K17" s="48" cm="1">
        <f t="array" ref="K17">MAX(_xlfn._xlws.FILTER(CrowdfundingTable[pledged],CrowdfundingTable[subcategory]=A17))</f>
        <v>12155</v>
      </c>
      <c r="L17" s="48">
        <f t="shared" si="0"/>
        <v>6777.5</v>
      </c>
      <c r="M17" s="48">
        <f t="shared" si="1"/>
        <v>22264.75</v>
      </c>
      <c r="N17" s="48">
        <f t="shared" si="2"/>
        <v>-4845.25</v>
      </c>
      <c r="O17" s="48" cm="1">
        <f t="array" aca="1" ref="O17" ca="1">COUNT(IF(_xlfn._xlws.FILTER(CrowdfundingTable[pledged],CrowdfundingTable[subcategory]=A17) &gt; M17,1,Null()))</f>
        <v>0</v>
      </c>
      <c r="P17" s="39" cm="1">
        <f t="array" ref="P17">_xlfn.SKEW.P(_xlfn._xlws.FILTER(CrowdfundingTable[pledged],CrowdfundingTable[subcategory]=A17))</f>
        <v>-0.29515283177999752</v>
      </c>
    </row>
    <row r="18" spans="1:16" x14ac:dyDescent="0.2">
      <c r="A18" s="10" t="s">
        <v>2036</v>
      </c>
      <c r="B18" s="40">
        <v>175</v>
      </c>
      <c r="C18" s="40">
        <v>7480097</v>
      </c>
      <c r="D18" s="25">
        <v>42743.411428571431</v>
      </c>
      <c r="E18" s="25">
        <v>3523949796.2078695</v>
      </c>
      <c r="F18" s="25">
        <v>59533.204022994993</v>
      </c>
      <c r="G18" s="51" cm="1">
        <f t="array" ref="G18">MIN(_xlfn._xlws.FILTER(CrowdfundingTable[pledged],CrowdfundingTable[primary_category]=A18))</f>
        <v>1</v>
      </c>
      <c r="H18" s="51" cm="1">
        <f t="array" ref="H18">_xlfn.QUARTILE.EXC(_xlfn._xlws.FILTER(CrowdfundingTable[pledged],CrowdfundingTable[primary_category]=A18),1)</f>
        <v>5028</v>
      </c>
      <c r="I18" s="51" cm="1">
        <f t="array" ref="I18">MEDIAN(_xlfn._xlws.FILTER(CrowdfundingTable[pledged],CrowdfundingTable[primary_category]=A18))</f>
        <v>11075</v>
      </c>
      <c r="J18" s="51" cm="1">
        <f t="array" ref="J18">_xlfn.QUARTILE.EXC(_xlfn._xlws.FILTER(CrowdfundingTable[pledged],CrowdfundingTable[primary_category]=A18),3)</f>
        <v>62804</v>
      </c>
      <c r="K18" s="51" cm="1">
        <f t="array" ref="K18">MAX(_xlfn._xlws.FILTER(CrowdfundingTable[pledged],CrowdfundingTable[primary_category]=A18))</f>
        <v>198628</v>
      </c>
      <c r="L18" s="51">
        <f t="shared" si="0"/>
        <v>57776</v>
      </c>
      <c r="M18" s="51">
        <f t="shared" si="1"/>
        <v>149468</v>
      </c>
      <c r="N18" s="51">
        <f t="shared" si="2"/>
        <v>-81636</v>
      </c>
      <c r="O18" s="51" cm="1">
        <f t="array" ref="O18">SUMPRODUCT(--_xlfn._xlws.FILTER(CrowdfundingTable[pledged],CrowdfundingTable[primary_category]=A18) &gt; M18)</f>
        <v>0</v>
      </c>
      <c r="P18" s="52" cm="1">
        <f t="array" ref="P18">_xlfn.SKEW.P(_xlfn._xlws.FILTER(CrowdfundingTable[pledged],CrowdfundingTable[primary_category]=A18))</f>
        <v>1.410735132382521</v>
      </c>
    </row>
    <row r="19" spans="1:16" x14ac:dyDescent="0.2">
      <c r="A19" s="18" t="s">
        <v>2046</v>
      </c>
      <c r="B19" s="40">
        <v>18</v>
      </c>
      <c r="C19" s="40">
        <v>781148</v>
      </c>
      <c r="D19" s="25">
        <v>43397.111111111109</v>
      </c>
      <c r="E19" s="25">
        <v>3824825216.7654319</v>
      </c>
      <c r="F19" s="25">
        <v>63638.15628535048</v>
      </c>
      <c r="G19" s="46" cm="1">
        <f t="array" ref="G19">MIN(_xlfn._xlws.FILTER(CrowdfundingTable[pledged],CrowdfundingTable[subcategory]=A19))</f>
        <v>1</v>
      </c>
      <c r="H19" s="46" cm="1">
        <f t="array" ref="H19">_xlfn.QUARTILE.EXC(_xlfn._xlws.FILTER(CrowdfundingTable[pledged],CrowdfundingTable[subcategory]=A19),1)</f>
        <v>5561.75</v>
      </c>
      <c r="I19" s="46" cm="1">
        <f t="array" ref="I19">MEDIAN(_xlfn._xlws.FILTER(CrowdfundingTable[pledged],CrowdfundingTable[subcategory]=A19))</f>
        <v>10988</v>
      </c>
      <c r="J19" s="46" cm="1">
        <f t="array" ref="J19">_xlfn.QUARTILE.EXC(_xlfn._xlws.FILTER(CrowdfundingTable[pledged],CrowdfundingTable[subcategory]=A19),3)</f>
        <v>64877</v>
      </c>
      <c r="K19" s="46" cm="1">
        <f t="array" ref="K19">MAX(_xlfn._xlws.FILTER(CrowdfundingTable[pledged],CrowdfundingTable[subcategory]=A19))</f>
        <v>196960</v>
      </c>
      <c r="L19" s="46">
        <f t="shared" si="0"/>
        <v>59315.25</v>
      </c>
      <c r="M19" s="46">
        <f t="shared" si="1"/>
        <v>153849.875</v>
      </c>
      <c r="N19" s="46">
        <f t="shared" si="2"/>
        <v>-83411.125</v>
      </c>
      <c r="O19" s="46" cm="1">
        <f t="array" aca="1" ref="O19" ca="1">COUNT(IF(_xlfn._xlws.FILTER(CrowdfundingTable[pledged],CrowdfundingTable[subcategory]=A19) &gt; M19,1,Null()))</f>
        <v>2</v>
      </c>
      <c r="P19" s="47" cm="1">
        <f t="array" ref="P19">_xlfn.SKEW.P(_xlfn._xlws.FILTER(CrowdfundingTable[pledged],CrowdfundingTable[subcategory]=A19))</f>
        <v>1.6100609733413913</v>
      </c>
    </row>
    <row r="20" spans="1:16" x14ac:dyDescent="0.2">
      <c r="A20" s="18" t="s">
        <v>2049</v>
      </c>
      <c r="B20" s="40">
        <v>45</v>
      </c>
      <c r="C20" s="40">
        <v>2037576</v>
      </c>
      <c r="D20" s="25">
        <v>45279.466666666667</v>
      </c>
      <c r="E20" s="25">
        <v>3783317413.5377779</v>
      </c>
      <c r="F20" s="25">
        <v>62203.712913371106</v>
      </c>
      <c r="G20" s="46" cm="1">
        <f t="array" ref="G20">MIN(_xlfn._xlws.FILTER(CrowdfundingTable[pledged],CrowdfundingTable[subcategory]=A20))</f>
        <v>4</v>
      </c>
      <c r="H20" s="46" cm="1">
        <f t="array" ref="H20">_xlfn.QUARTILE.EXC(_xlfn._xlws.FILTER(CrowdfundingTable[pledged],CrowdfundingTable[subcategory]=A20),1)</f>
        <v>4057.5</v>
      </c>
      <c r="I20" s="46" cm="1">
        <f t="array" ref="I20">MEDIAN(_xlfn._xlws.FILTER(CrowdfundingTable[pledged],CrowdfundingTable[subcategory]=A20))</f>
        <v>10295</v>
      </c>
      <c r="J20" s="46" cm="1">
        <f t="array" ref="J20">_xlfn.QUARTILE.EXC(_xlfn._xlws.FILTER(CrowdfundingTable[pledged],CrowdfundingTable[subcategory]=A20),3)</f>
        <v>86366</v>
      </c>
      <c r="K20" s="46" cm="1">
        <f t="array" ref="K20">MAX(_xlfn._xlws.FILTER(CrowdfundingTable[pledged],CrowdfundingTable[subcategory]=A20))</f>
        <v>184086</v>
      </c>
      <c r="L20" s="46">
        <f t="shared" si="0"/>
        <v>82308.5</v>
      </c>
      <c r="M20" s="46">
        <f t="shared" si="1"/>
        <v>209828.75</v>
      </c>
      <c r="N20" s="46">
        <f t="shared" si="2"/>
        <v>-119405.25</v>
      </c>
      <c r="O20" s="46" cm="1">
        <f t="array" aca="1" ref="O20" ca="1">COUNT(IF(_xlfn._xlws.FILTER(CrowdfundingTable[pledged],CrowdfundingTable[subcategory]=A20) &gt; M20,1,Null()))</f>
        <v>0</v>
      </c>
      <c r="P20" s="47" cm="1">
        <f t="array" ref="P20">_xlfn.SKEW.P(_xlfn._xlws.FILTER(CrowdfundingTable[pledged],CrowdfundingTable[subcategory]=A20))</f>
        <v>1.2209813898102801</v>
      </c>
    </row>
    <row r="21" spans="1:16" x14ac:dyDescent="0.2">
      <c r="A21" s="18" t="s">
        <v>2050</v>
      </c>
      <c r="B21" s="40">
        <v>17</v>
      </c>
      <c r="C21" s="40">
        <v>550966</v>
      </c>
      <c r="D21" s="25">
        <v>32409.764705882353</v>
      </c>
      <c r="E21" s="25">
        <v>2231797486.1799307</v>
      </c>
      <c r="F21" s="25">
        <v>48695.839956470372</v>
      </c>
      <c r="G21" s="46" cm="1">
        <f t="array" ref="G21">MIN(_xlfn._xlws.FILTER(CrowdfundingTable[pledged],CrowdfundingTable[subcategory]=A21))</f>
        <v>2</v>
      </c>
      <c r="H21" s="46" cm="1">
        <f t="array" ref="H21">_xlfn.QUARTILE.EXC(_xlfn._xlws.FILTER(CrowdfundingTable[pledged],CrowdfundingTable[subcategory]=A21),1)</f>
        <v>4366.5</v>
      </c>
      <c r="I21" s="46" cm="1">
        <f t="array" ref="I21">MEDIAN(_xlfn._xlws.FILTER(CrowdfundingTable[pledged],CrowdfundingTable[subcategory]=A21))</f>
        <v>11075</v>
      </c>
      <c r="J21" s="46" cm="1">
        <f t="array" ref="J21">_xlfn.QUARTILE.EXC(_xlfn._xlws.FILTER(CrowdfundingTable[pledged],CrowdfundingTable[subcategory]=A21),3)</f>
        <v>42221.5</v>
      </c>
      <c r="K21" s="46" cm="1">
        <f t="array" ref="K21">MAX(_xlfn._xlws.FILTER(CrowdfundingTable[pledged],CrowdfundingTable[subcategory]=A21))</f>
        <v>150960</v>
      </c>
      <c r="L21" s="46">
        <f t="shared" si="0"/>
        <v>37855</v>
      </c>
      <c r="M21" s="46">
        <f t="shared" si="1"/>
        <v>99004</v>
      </c>
      <c r="N21" s="46">
        <f t="shared" si="2"/>
        <v>-52416</v>
      </c>
      <c r="O21" s="46" cm="1">
        <f t="array" aca="1" ref="O21" ca="1">COUNT(IF(_xlfn._xlws.FILTER(CrowdfundingTable[pledged],CrowdfundingTable[subcategory]=A21) &gt; M21,1,Null()))</f>
        <v>2</v>
      </c>
      <c r="P21" s="47" cm="1">
        <f t="array" ref="P21">_xlfn.SKEW.P(_xlfn._xlws.FILTER(CrowdfundingTable[pledged],CrowdfundingTable[subcategory]=A21))</f>
        <v>1.6748585523104882</v>
      </c>
    </row>
    <row r="22" spans="1:16" x14ac:dyDescent="0.2">
      <c r="A22" s="18" t="s">
        <v>2051</v>
      </c>
      <c r="B22" s="40">
        <v>7</v>
      </c>
      <c r="C22" s="40">
        <v>281185</v>
      </c>
      <c r="D22" s="25">
        <v>40169.285714285717</v>
      </c>
      <c r="E22" s="25">
        <v>3918486048.2040815</v>
      </c>
      <c r="F22" s="25">
        <v>67613.364479502838</v>
      </c>
      <c r="G22" s="46" cm="1">
        <f t="array" ref="G22">MIN(_xlfn._xlws.FILTER(CrowdfundingTable[pledged],CrowdfundingTable[subcategory]=A22))</f>
        <v>2</v>
      </c>
      <c r="H22" s="46" cm="1">
        <f t="array" ref="H22">_xlfn.QUARTILE.EXC(_xlfn._xlws.FILTER(CrowdfundingTable[pledged],CrowdfundingTable[subcategory]=A22),1)</f>
        <v>1012</v>
      </c>
      <c r="I22" s="46" cm="1">
        <f t="array" ref="I22">MEDIAN(_xlfn._xlws.FILTER(CrowdfundingTable[pledged],CrowdfundingTable[subcategory]=A22))</f>
        <v>5476</v>
      </c>
      <c r="J22" s="46" cm="1">
        <f t="array" ref="J22">_xlfn.QUARTILE.EXC(_xlfn._xlws.FILTER(CrowdfundingTable[pledged],CrowdfundingTable[subcategory]=A22),3)</f>
        <v>83267</v>
      </c>
      <c r="K22" s="46" cm="1">
        <f t="array" ref="K22">MAX(_xlfn._xlws.FILTER(CrowdfundingTable[pledged],CrowdfundingTable[subcategory]=A22))</f>
        <v>177936</v>
      </c>
      <c r="L22" s="46">
        <f t="shared" si="0"/>
        <v>82255</v>
      </c>
      <c r="M22" s="46">
        <f t="shared" si="1"/>
        <v>206649.5</v>
      </c>
      <c r="N22" s="46">
        <f t="shared" si="2"/>
        <v>-122370.5</v>
      </c>
      <c r="O22" s="46" cm="1">
        <f t="array" aca="1" ref="O22" ca="1">COUNT(IF(_xlfn._xlws.FILTER(CrowdfundingTable[pledged],CrowdfundingTable[subcategory]=A22) &gt; M22,1,Null()))</f>
        <v>0</v>
      </c>
      <c r="P22" s="47" cm="1">
        <f t="array" ref="P22">_xlfn.SKEW.P(_xlfn._xlws.FILTER(CrowdfundingTable[pledged],CrowdfundingTable[subcategory]=A22))</f>
        <v>1.4284974146571996</v>
      </c>
    </row>
    <row r="23" spans="1:16" x14ac:dyDescent="0.2">
      <c r="A23" s="18" t="s">
        <v>2057</v>
      </c>
      <c r="B23" s="40">
        <v>85</v>
      </c>
      <c r="C23" s="40">
        <v>3603659</v>
      </c>
      <c r="D23" s="25">
        <v>42395.98823529412</v>
      </c>
      <c r="E23" s="25">
        <v>3538921261.5880971</v>
      </c>
      <c r="F23" s="25">
        <v>59841.885637127132</v>
      </c>
      <c r="G23" s="46" cm="1">
        <f t="array" ref="G23">MIN(_xlfn._xlws.FILTER(CrowdfundingTable[pledged],CrowdfundingTable[subcategory]=A23))</f>
        <v>1</v>
      </c>
      <c r="H23" s="46" cm="1">
        <f t="array" ref="H23">_xlfn.QUARTILE.EXC(_xlfn._xlws.FILTER(CrowdfundingTable[pledged],CrowdfundingTable[subcategory]=A23),1)</f>
        <v>4966.5</v>
      </c>
      <c r="I23" s="46" cm="1">
        <f t="array" ref="I23">MEDIAN(_xlfn._xlws.FILTER(CrowdfundingTable[pledged],CrowdfundingTable[subcategory]=A23))</f>
        <v>11721</v>
      </c>
      <c r="J23" s="46" cm="1">
        <f t="array" ref="J23">_xlfn.QUARTILE.EXC(_xlfn._xlws.FILTER(CrowdfundingTable[pledged],CrowdfundingTable[subcategory]=A23),3)</f>
        <v>61899</v>
      </c>
      <c r="K23" s="46" cm="1">
        <f t="array" ref="K23">MAX(_xlfn._xlws.FILTER(CrowdfundingTable[pledged],CrowdfundingTable[subcategory]=A23))</f>
        <v>198628</v>
      </c>
      <c r="L23" s="46">
        <f t="shared" si="0"/>
        <v>56932.5</v>
      </c>
      <c r="M23" s="46">
        <f t="shared" si="1"/>
        <v>147297.75</v>
      </c>
      <c r="N23" s="46">
        <f t="shared" si="2"/>
        <v>-80432.25</v>
      </c>
      <c r="O23" s="46" cm="1">
        <f t="array" aca="1" ref="O23" ca="1">COUNT(IF(_xlfn._xlws.FILTER(CrowdfundingTable[pledged],CrowdfundingTable[subcategory]=A23) &gt; M23,1,Null()))</f>
        <v>10</v>
      </c>
      <c r="P23" s="47" cm="1">
        <f t="array" ref="P23">_xlfn.SKEW.P(_xlfn._xlws.FILTER(CrowdfundingTable[pledged],CrowdfundingTable[subcategory]=A23))</f>
        <v>1.468131266316691</v>
      </c>
    </row>
    <row r="24" spans="1:16" x14ac:dyDescent="0.2">
      <c r="A24" s="20" t="s">
        <v>2065</v>
      </c>
      <c r="B24" s="48">
        <v>3</v>
      </c>
      <c r="C24" s="48">
        <v>225563</v>
      </c>
      <c r="D24" s="39">
        <v>75187.666666666672</v>
      </c>
      <c r="E24" s="39">
        <v>2029944404.2222223</v>
      </c>
      <c r="F24" s="39">
        <v>55180.763009705952</v>
      </c>
      <c r="G24" s="48" cm="1">
        <f t="array" ref="G24">MIN(_xlfn._xlws.FILTER(CrowdfundingTable[pledged],CrowdfundingTable[subcategory]=A24))</f>
        <v>13985</v>
      </c>
      <c r="H24" s="48" cm="1">
        <f t="array" ref="H24">_xlfn.QUARTILE.EXC(_xlfn._xlws.FILTER(CrowdfundingTable[pledged],CrowdfundingTable[subcategory]=A24),1)</f>
        <v>13985</v>
      </c>
      <c r="I24" s="48" cm="1">
        <f t="array" ref="I24">MEDIAN(_xlfn._xlws.FILTER(CrowdfundingTable[pledged],CrowdfundingTable[subcategory]=A24))</f>
        <v>90440</v>
      </c>
      <c r="J24" s="48" cm="1">
        <f t="array" ref="J24">_xlfn.QUARTILE.EXC(_xlfn._xlws.FILTER(CrowdfundingTable[pledged],CrowdfundingTable[subcategory]=A24),3)</f>
        <v>121138</v>
      </c>
      <c r="K24" s="48" cm="1">
        <f t="array" ref="K24">MAX(_xlfn._xlws.FILTER(CrowdfundingTable[pledged],CrowdfundingTable[subcategory]=A24))</f>
        <v>121138</v>
      </c>
      <c r="L24" s="48">
        <f t="shared" si="0"/>
        <v>107153</v>
      </c>
      <c r="M24" s="48">
        <f t="shared" si="1"/>
        <v>281867.5</v>
      </c>
      <c r="N24" s="48">
        <f t="shared" si="2"/>
        <v>-146744.5</v>
      </c>
      <c r="O24" s="48" cm="1">
        <f t="array" aca="1" ref="O24" ca="1">COUNT(IF(_xlfn._xlws.FILTER(CrowdfundingTable[pledged],CrowdfundingTable[subcategory]=A24) &gt; M24,1,Null()))</f>
        <v>0</v>
      </c>
      <c r="P24" s="39" cm="1">
        <f t="array" ref="P24">_xlfn.SKEW.P(_xlfn._xlws.FILTER(CrowdfundingTable[pledged],CrowdfundingTable[subcategory]=A24))</f>
        <v>-0.46899594085699486</v>
      </c>
    </row>
    <row r="25" spans="1:16" x14ac:dyDescent="0.2">
      <c r="A25" s="10" t="s">
        <v>2037</v>
      </c>
      <c r="B25" s="40">
        <v>42</v>
      </c>
      <c r="C25" s="40">
        <v>1223931</v>
      </c>
      <c r="D25" s="25">
        <v>29141.214285714286</v>
      </c>
      <c r="E25" s="25">
        <v>1878481427.2636054</v>
      </c>
      <c r="F25" s="25">
        <v>43866.82171574283</v>
      </c>
      <c r="G25" s="51" cm="1">
        <f t="array" ref="G25">MIN(_xlfn._xlws.FILTER(CrowdfundingTable[pledged],CrowdfundingTable[primary_category]=A25))</f>
        <v>2</v>
      </c>
      <c r="H25" s="51" cm="1">
        <f t="array" ref="H25">_xlfn.QUARTILE.EXC(_xlfn._xlws.FILTER(CrowdfundingTable[pledged],CrowdfundingTable[primary_category]=A25),1)</f>
        <v>5601.5</v>
      </c>
      <c r="I25" s="51" cm="1">
        <f t="array" ref="I25">MEDIAN(_xlfn._xlws.FILTER(CrowdfundingTable[pledged],CrowdfundingTable[primary_category]=A25))</f>
        <v>10420</v>
      </c>
      <c r="J25" s="51" cm="1">
        <f t="array" ref="J25">_xlfn.QUARTILE.EXC(_xlfn._xlws.FILTER(CrowdfundingTable[pledged],CrowdfundingTable[primary_category]=A25),3)</f>
        <v>19695.5</v>
      </c>
      <c r="K25" s="51" cm="1">
        <f t="array" ref="K25">MAX(_xlfn._xlws.FILTER(CrowdfundingTable[pledged],CrowdfundingTable[primary_category]=A25))</f>
        <v>173191</v>
      </c>
      <c r="L25" s="51">
        <f t="shared" si="0"/>
        <v>14094</v>
      </c>
      <c r="M25" s="51">
        <f t="shared" si="1"/>
        <v>40836.5</v>
      </c>
      <c r="N25" s="51">
        <f t="shared" si="2"/>
        <v>-15539.5</v>
      </c>
      <c r="O25" s="51" cm="1">
        <f t="array" aca="1" ref="O25" ca="1">COUNT(IF(_xlfn._xlws.FILTER(CrowdfundingTable[pledged],CrowdfundingTable[primary_category]=A25) &gt; M25,1,Null()))</f>
        <v>9</v>
      </c>
      <c r="P25" s="52" cm="1">
        <f t="array" ref="P25">_xlfn.SKEW.P(_xlfn._xlws.FILTER(CrowdfundingTable[pledged],CrowdfundingTable[primary_category]=A25))</f>
        <v>1.9012944136180874</v>
      </c>
    </row>
    <row r="26" spans="1:16" x14ac:dyDescent="0.2">
      <c r="A26" s="18" t="s">
        <v>2054</v>
      </c>
      <c r="B26" s="40">
        <v>42</v>
      </c>
      <c r="C26" s="40">
        <v>1223931</v>
      </c>
      <c r="D26" s="25">
        <v>29141.214285714286</v>
      </c>
      <c r="E26" s="25">
        <v>1878481427.2636054</v>
      </c>
      <c r="F26" s="25">
        <v>43866.82171574283</v>
      </c>
      <c r="G26" s="46" cm="1">
        <f t="array" ref="G26">MIN(_xlfn._xlws.FILTER(CrowdfundingTable[pledged],CrowdfundingTable[subcategory]=A26))</f>
        <v>2</v>
      </c>
      <c r="H26" s="46" cm="1">
        <f t="array" ref="H26">_xlfn.QUARTILE.EXC(_xlfn._xlws.FILTER(CrowdfundingTable[pledged],CrowdfundingTable[subcategory]=A26),1)</f>
        <v>5601.5</v>
      </c>
      <c r="I26" s="46" cm="1">
        <f t="array" ref="I26">MEDIAN(_xlfn._xlws.FILTER(CrowdfundingTable[pledged],CrowdfundingTable[subcategory]=A26))</f>
        <v>10420</v>
      </c>
      <c r="J26" s="46" cm="1">
        <f t="array" ref="J26">_xlfn.QUARTILE.EXC(_xlfn._xlws.FILTER(CrowdfundingTable[pledged],CrowdfundingTable[subcategory]=A26),3)</f>
        <v>19695.5</v>
      </c>
      <c r="K26" s="46" cm="1">
        <f t="array" ref="K26">MAX(_xlfn._xlws.FILTER(CrowdfundingTable[pledged],CrowdfundingTable[subcategory]=A26))</f>
        <v>173191</v>
      </c>
      <c r="L26" s="46">
        <f t="shared" si="0"/>
        <v>14094</v>
      </c>
      <c r="M26" s="46">
        <f t="shared" si="1"/>
        <v>40836.5</v>
      </c>
      <c r="N26" s="46">
        <f t="shared" si="2"/>
        <v>-15539.5</v>
      </c>
      <c r="O26" s="46" cm="1">
        <f t="array" aca="1" ref="O26" ca="1">COUNT(IF(_xlfn._xlws.FILTER(CrowdfundingTable[pledged],CrowdfundingTable[subcategory]=A26) &gt; M26,1,Null()))</f>
        <v>9</v>
      </c>
      <c r="P26" s="47" cm="1">
        <f t="array" ref="P26">_xlfn.SKEW.P(_xlfn._xlws.FILTER(CrowdfundingTable[pledged],CrowdfundingTable[subcategory]=A26))</f>
        <v>1.9012944136180874</v>
      </c>
    </row>
    <row r="27" spans="1:16" x14ac:dyDescent="0.2">
      <c r="A27" s="10" t="s">
        <v>2038</v>
      </c>
      <c r="B27" s="40">
        <v>67</v>
      </c>
      <c r="C27" s="40">
        <v>3149827</v>
      </c>
      <c r="D27" s="25">
        <v>47012.343283582093</v>
      </c>
      <c r="E27" s="25">
        <v>3716420474.4642458</v>
      </c>
      <c r="F27" s="25">
        <v>61422.551848588089</v>
      </c>
      <c r="G27" s="51" cm="1">
        <f t="array" ref="G27">MIN(_xlfn._xlws.FILTER(CrowdfundingTable[pledged],CrowdfundingTable[primary_category]=A27))</f>
        <v>5</v>
      </c>
      <c r="H27" s="51" cm="1">
        <f t="array" ref="H27">_xlfn.QUARTILE.EXC(_xlfn._xlws.FILTER(CrowdfundingTable[pledged],CrowdfundingTable[primary_category]=A27),1)</f>
        <v>6631</v>
      </c>
      <c r="I27" s="51" cm="1">
        <f t="array" ref="I27">MEDIAN(_xlfn._xlws.FILTER(CrowdfundingTable[pledged],CrowdfundingTable[primary_category]=A27))</f>
        <v>11990</v>
      </c>
      <c r="J27" s="51" cm="1">
        <f t="array" ref="J27">_xlfn.QUARTILE.EXC(_xlfn._xlws.FILTER(CrowdfundingTable[pledged],CrowdfundingTable[primary_category]=A27),3)</f>
        <v>74688</v>
      </c>
      <c r="K27" s="51" cm="1">
        <f t="array" ref="K27">MAX(_xlfn._xlws.FILTER(CrowdfundingTable[pledged],CrowdfundingTable[primary_category]=A27))</f>
        <v>197728</v>
      </c>
      <c r="L27" s="51">
        <f t="shared" si="0"/>
        <v>68057</v>
      </c>
      <c r="M27" s="51">
        <f t="shared" si="1"/>
        <v>176773.5</v>
      </c>
      <c r="N27" s="51">
        <f t="shared" si="2"/>
        <v>-95454.5</v>
      </c>
      <c r="O27" s="51" cm="1">
        <f t="array" aca="1" ref="O27" ca="1">COUNT(IF(_xlfn._xlws.FILTER(CrowdfundingTable[pledged],CrowdfundingTable[primary_category]=A27) &gt; M27,1,Null()))</f>
        <v>4</v>
      </c>
      <c r="P27" s="52" cm="1">
        <f t="array" ref="P27">_xlfn.SKEW.P(_xlfn._xlws.FILTER(CrowdfundingTable[pledged],CrowdfundingTable[primary_category]=A27))</f>
        <v>1.2928339948062975</v>
      </c>
    </row>
    <row r="28" spans="1:16" x14ac:dyDescent="0.2">
      <c r="A28" s="18" t="s">
        <v>2047</v>
      </c>
      <c r="B28" s="40">
        <v>17</v>
      </c>
      <c r="C28" s="40">
        <v>897309</v>
      </c>
      <c r="D28" s="25">
        <v>52782.882352941175</v>
      </c>
      <c r="E28" s="25">
        <v>4045743674.103806</v>
      </c>
      <c r="F28" s="25">
        <v>65563.729711901644</v>
      </c>
      <c r="G28" s="46" cm="1">
        <f t="array" ref="G28">MIN(_xlfn._xlws.FILTER(CrowdfundingTable[pledged],CrowdfundingTable[subcategory]=A28))</f>
        <v>689</v>
      </c>
      <c r="H28" s="46" cm="1">
        <f t="array" ref="H28">_xlfn.QUARTILE.EXC(_xlfn._xlws.FILTER(CrowdfundingTable[pledged],CrowdfundingTable[subcategory]=A28),1)</f>
        <v>9092.5</v>
      </c>
      <c r="I28" s="46" cm="1">
        <f t="array" ref="I28">MEDIAN(_xlfn._xlws.FILTER(CrowdfundingTable[pledged],CrowdfundingTable[subcategory]=A28))</f>
        <v>14046</v>
      </c>
      <c r="J28" s="46" cm="1">
        <f t="array" ref="J28">_xlfn.QUARTILE.EXC(_xlfn._xlws.FILTER(CrowdfundingTable[pledged],CrowdfundingTable[subcategory]=A28),3)</f>
        <v>92191.5</v>
      </c>
      <c r="K28" s="46" cm="1">
        <f t="array" ref="K28">MAX(_xlfn._xlws.FILTER(CrowdfundingTable[pledged],CrowdfundingTable[subcategory]=A28))</f>
        <v>194309</v>
      </c>
      <c r="L28" s="46">
        <f t="shared" si="0"/>
        <v>83099</v>
      </c>
      <c r="M28" s="46">
        <f t="shared" si="1"/>
        <v>216840</v>
      </c>
      <c r="N28" s="46">
        <f t="shared" si="2"/>
        <v>-115556</v>
      </c>
      <c r="O28" s="46" cm="1">
        <f t="array" aca="1" ref="O28" ca="1">COUNT(IF(_xlfn._xlws.FILTER(CrowdfundingTable[pledged],CrowdfundingTable[subcategory]=A28) &gt; M28,1,Null()))</f>
        <v>0</v>
      </c>
      <c r="P28" s="47" cm="1">
        <f t="array" ref="P28">_xlfn.SKEW.P(_xlfn._xlws.FILTER(CrowdfundingTable[pledged],CrowdfundingTable[subcategory]=A28))</f>
        <v>1.182138013062856</v>
      </c>
    </row>
    <row r="29" spans="1:16" x14ac:dyDescent="0.2">
      <c r="A29" s="18" t="s">
        <v>2053</v>
      </c>
      <c r="B29" s="40">
        <v>21</v>
      </c>
      <c r="C29" s="40">
        <v>1129497</v>
      </c>
      <c r="D29" s="25">
        <v>53785.571428571428</v>
      </c>
      <c r="E29" s="25">
        <v>4035480582.6258502</v>
      </c>
      <c r="F29" s="25">
        <v>65094.197988431675</v>
      </c>
      <c r="G29" s="46" cm="1">
        <f t="array" ref="G29">MIN(_xlfn._xlws.FILTER(CrowdfundingTable[pledged],CrowdfundingTable[subcategory]=A29))</f>
        <v>5</v>
      </c>
      <c r="H29" s="46" cm="1">
        <f t="array" ref="H29">_xlfn.QUARTILE.EXC(_xlfn._xlws.FILTER(CrowdfundingTable[pledged],CrowdfundingTable[subcategory]=A29),1)</f>
        <v>5075</v>
      </c>
      <c r="I29" s="46" cm="1">
        <f t="array" ref="I29">MEDIAN(_xlfn._xlws.FILTER(CrowdfundingTable[pledged],CrowdfundingTable[subcategory]=A29))</f>
        <v>11041</v>
      </c>
      <c r="J29" s="46" cm="1">
        <f t="array" ref="J29">_xlfn.QUARTILE.EXC(_xlfn._xlws.FILTER(CrowdfundingTable[pledged],CrowdfundingTable[subcategory]=A29),3)</f>
        <v>102276.5</v>
      </c>
      <c r="K29" s="46" cm="1">
        <f t="array" ref="K29">MAX(_xlfn._xlws.FILTER(CrowdfundingTable[pledged],CrowdfundingTable[subcategory]=A29))</f>
        <v>189192</v>
      </c>
      <c r="L29" s="46">
        <f t="shared" si="0"/>
        <v>97201.5</v>
      </c>
      <c r="M29" s="46">
        <f t="shared" si="1"/>
        <v>248078.75</v>
      </c>
      <c r="N29" s="46">
        <f t="shared" si="2"/>
        <v>-140727.25</v>
      </c>
      <c r="O29" s="46" cm="1">
        <f t="array" aca="1" ref="O29" ca="1">COUNT(IF(_xlfn._xlws.FILTER(CrowdfundingTable[pledged],CrowdfundingTable[subcategory]=A29) &gt; M29,1,Null()))</f>
        <v>0</v>
      </c>
      <c r="P29" s="47" cm="1">
        <f t="array" ref="P29">_xlfn.SKEW.P(_xlfn._xlws.FILTER(CrowdfundingTable[pledged],CrowdfundingTable[subcategory]=A29))</f>
        <v>0.9408451879082439</v>
      </c>
    </row>
    <row r="30" spans="1:16" x14ac:dyDescent="0.2">
      <c r="A30" s="18" t="s">
        <v>2056</v>
      </c>
      <c r="B30" s="40">
        <v>8</v>
      </c>
      <c r="C30" s="40">
        <v>285580</v>
      </c>
      <c r="D30" s="25">
        <v>35697.5</v>
      </c>
      <c r="E30" s="25">
        <v>2972528422</v>
      </c>
      <c r="F30" s="25">
        <v>58285.292651136027</v>
      </c>
      <c r="G30" s="46" cm="1">
        <f t="array" ref="G30">MIN(_xlfn._xlws.FILTER(CrowdfundingTable[pledged],CrowdfundingTable[subcategory]=A30))</f>
        <v>795</v>
      </c>
      <c r="H30" s="46" cm="1">
        <f t="array" ref="H30">_xlfn.QUARTILE.EXC(_xlfn._xlws.FILTER(CrowdfundingTable[pledged],CrowdfundingTable[subcategory]=A30),1)</f>
        <v>5130.25</v>
      </c>
      <c r="I30" s="46" cm="1">
        <f t="array" ref="I30">MEDIAN(_xlfn._xlws.FILTER(CrowdfundingTable[pledged],CrowdfundingTable[subcategory]=A30))</f>
        <v>10097.5</v>
      </c>
      <c r="J30" s="46" cm="1">
        <f t="array" ref="J30">_xlfn.QUARTILE.EXC(_xlfn._xlws.FILTER(CrowdfundingTable[pledged],CrowdfundingTable[subcategory]=A30),3)</f>
        <v>58364</v>
      </c>
      <c r="K30" s="46" cm="1">
        <f t="array" ref="K30">MAX(_xlfn._xlws.FILTER(CrowdfundingTable[pledged],CrowdfundingTable[subcategory]=A30))</f>
        <v>167717</v>
      </c>
      <c r="L30" s="46">
        <f t="shared" si="0"/>
        <v>53233.75</v>
      </c>
      <c r="M30" s="46">
        <f t="shared" si="1"/>
        <v>138214.625</v>
      </c>
      <c r="N30" s="46">
        <f t="shared" si="2"/>
        <v>-74720.375</v>
      </c>
      <c r="O30" s="46" cm="1">
        <f t="array" aca="1" ref="O30" ca="1">COUNT(IF(_xlfn._xlws.FILTER(CrowdfundingTable[pledged],CrowdfundingTable[subcategory]=A30) &gt; M30,1,Null()))</f>
        <v>1</v>
      </c>
      <c r="P30" s="47" cm="1">
        <f t="array" ref="P30">_xlfn.SKEW.P(_xlfn._xlws.FILTER(CrowdfundingTable[pledged],CrowdfundingTable[subcategory]=A30))</f>
        <v>1.705377588464563</v>
      </c>
    </row>
    <row r="31" spans="1:16" x14ac:dyDescent="0.2">
      <c r="A31" s="18" t="s">
        <v>2061</v>
      </c>
      <c r="B31" s="40">
        <v>21</v>
      </c>
      <c r="C31" s="40">
        <v>837441</v>
      </c>
      <c r="D31" s="25">
        <v>39878.142857142855</v>
      </c>
      <c r="E31" s="25">
        <v>3241651290.0272107</v>
      </c>
      <c r="F31" s="25">
        <v>58341.52770136013</v>
      </c>
      <c r="G31" s="46" cm="1">
        <f t="array" ref="G31">MIN(_xlfn._xlws.FILTER(CrowdfundingTable[pledged],CrowdfundingTable[subcategory]=A31))</f>
        <v>521</v>
      </c>
      <c r="H31" s="46" cm="1">
        <f t="array" ref="H31">_xlfn.QUARTILE.EXC(_xlfn._xlws.FILTER(CrowdfundingTable[pledged],CrowdfundingTable[subcategory]=A31),1)</f>
        <v>7616</v>
      </c>
      <c r="I31" s="46" cm="1">
        <f t="array" ref="I31">MEDIAN(_xlfn._xlws.FILTER(CrowdfundingTable[pledged],CrowdfundingTable[subcategory]=A31))</f>
        <v>12467</v>
      </c>
      <c r="J31" s="46" cm="1">
        <f t="array" ref="J31">_xlfn.QUARTILE.EXC(_xlfn._xlws.FILTER(CrowdfundingTable[pledged],CrowdfundingTable[subcategory]=A31),3)</f>
        <v>64722.5</v>
      </c>
      <c r="K31" s="46" cm="1">
        <f t="array" ref="K31">MAX(_xlfn._xlws.FILTER(CrowdfundingTable[pledged],CrowdfundingTable[subcategory]=A31))</f>
        <v>197728</v>
      </c>
      <c r="L31" s="46">
        <f t="shared" si="0"/>
        <v>57106.5</v>
      </c>
      <c r="M31" s="46">
        <f t="shared" si="1"/>
        <v>150382.25</v>
      </c>
      <c r="N31" s="46">
        <f t="shared" si="2"/>
        <v>-78043.75</v>
      </c>
      <c r="O31" s="46" cm="1">
        <f t="array" aca="1" ref="O31" ca="1">COUNT(IF(_xlfn._xlws.FILTER(CrowdfundingTable[pledged],CrowdfundingTable[subcategory]=A31) &gt; M31,1,Null()))</f>
        <v>2</v>
      </c>
      <c r="P31" s="47" cm="1">
        <f t="array" ref="P31">_xlfn.SKEW.P(_xlfn._xlws.FILTER(CrowdfundingTable[pledged],CrowdfundingTable[subcategory]=A31))</f>
        <v>1.6869000650790336</v>
      </c>
    </row>
    <row r="32" spans="1:16" x14ac:dyDescent="0.2">
      <c r="A32" s="10" t="s">
        <v>2039</v>
      </c>
      <c r="B32" s="40">
        <v>96</v>
      </c>
      <c r="C32" s="40">
        <v>3833725</v>
      </c>
      <c r="D32" s="25">
        <v>39934.635416666664</v>
      </c>
      <c r="E32" s="25">
        <v>2871149862.9608288</v>
      </c>
      <c r="F32" s="25">
        <v>53864.389842429839</v>
      </c>
      <c r="G32" s="51" cm="1">
        <f t="array" ref="G32">MIN(_xlfn._xlws.FILTER(CrowdfundingTable[pledged],CrowdfundingTable[primary_category]=A32))</f>
        <v>2</v>
      </c>
      <c r="H32" s="51" cm="1">
        <f t="array" ref="H32">_xlfn.QUARTILE.EXC(_xlfn._xlws.FILTER(CrowdfundingTable[pledged],CrowdfundingTable[primary_category]=A32),1)</f>
        <v>5438.75</v>
      </c>
      <c r="I32" s="51" cm="1">
        <f t="array" ref="I32">MEDIAN(_xlfn._xlws.FILTER(CrowdfundingTable[pledged],CrowdfundingTable[primary_category]=A32))</f>
        <v>12274</v>
      </c>
      <c r="J32" s="51" cm="1">
        <f t="array" ref="J32">_xlfn.QUARTILE.EXC(_xlfn._xlws.FILTER(CrowdfundingTable[pledged],CrowdfundingTable[primary_category]=A32),3)</f>
        <v>63774.25</v>
      </c>
      <c r="K32" s="51" cm="1">
        <f t="array" ref="K32">MAX(_xlfn._xlws.FILTER(CrowdfundingTable[pledged],CrowdfundingTable[primary_category]=A32))</f>
        <v>196386</v>
      </c>
      <c r="L32" s="51">
        <f t="shared" si="0"/>
        <v>58335.5</v>
      </c>
      <c r="M32" s="51">
        <f t="shared" si="1"/>
        <v>151277.5</v>
      </c>
      <c r="N32" s="51">
        <f t="shared" si="2"/>
        <v>-82064.5</v>
      </c>
      <c r="O32" s="51" cm="1">
        <f t="array" aca="1" ref="O32" ca="1">COUNT(IF(_xlfn._xlws.FILTER(CrowdfundingTable[pledged],CrowdfundingTable[primary_category]=A32) &gt; M32,1,Null()))</f>
        <v>6</v>
      </c>
      <c r="P32" s="52" cm="1">
        <f t="array" ref="P32">_xlfn.SKEW.P(_xlfn._xlws.FILTER(CrowdfundingTable[pledged],CrowdfundingTable[primary_category]=A32))</f>
        <v>1.4228258209521607</v>
      </c>
    </row>
    <row r="33" spans="1:16" x14ac:dyDescent="0.2">
      <c r="A33" s="18" t="s">
        <v>2063</v>
      </c>
      <c r="B33" s="40">
        <v>45</v>
      </c>
      <c r="C33" s="40">
        <v>1638382</v>
      </c>
      <c r="D33" s="25">
        <v>36408.488888888889</v>
      </c>
      <c r="E33" s="25">
        <v>2592140535.1387653</v>
      </c>
      <c r="F33" s="25">
        <v>51488.37558156484</v>
      </c>
      <c r="G33" s="46" cm="1">
        <f t="array" ref="G33">MIN(_xlfn._xlws.FILTER(CrowdfundingTable[pledged],CrowdfundingTable[subcategory]=A33))</f>
        <v>3</v>
      </c>
      <c r="H33" s="46" cm="1">
        <f t="array" ref="H33">_xlfn.QUARTILE.EXC(_xlfn._xlws.FILTER(CrowdfundingTable[pledged],CrowdfundingTable[subcategory]=A33),1)</f>
        <v>5273</v>
      </c>
      <c r="I33" s="46" cm="1">
        <f t="array" ref="I33">MEDIAN(_xlfn._xlws.FILTER(CrowdfundingTable[pledged],CrowdfundingTable[subcategory]=A33))</f>
        <v>12985</v>
      </c>
      <c r="J33" s="46" cm="1">
        <f t="array" ref="J33">_xlfn.QUARTILE.EXC(_xlfn._xlws.FILTER(CrowdfundingTable[pledged],CrowdfundingTable[subcategory]=A33),3)</f>
        <v>42179.5</v>
      </c>
      <c r="K33" s="46" cm="1">
        <f t="array" ref="K33">MAX(_xlfn._xlws.FILTER(CrowdfundingTable[pledged],CrowdfundingTable[subcategory]=A33))</f>
        <v>188057</v>
      </c>
      <c r="L33" s="46">
        <f t="shared" si="0"/>
        <v>36906.5</v>
      </c>
      <c r="M33" s="46">
        <f t="shared" si="1"/>
        <v>97539.25</v>
      </c>
      <c r="N33" s="46">
        <f t="shared" si="2"/>
        <v>-50086.75</v>
      </c>
      <c r="O33" s="46" cm="1">
        <f t="array" aca="1" ref="O33" ca="1">COUNT(IF(_xlfn._xlws.FILTER(CrowdfundingTable[pledged],CrowdfundingTable[subcategory]=A33) &gt; M33,1,Null()))</f>
        <v>7</v>
      </c>
      <c r="P33" s="47" cm="1">
        <f t="array" ref="P33">_xlfn.SKEW.P(_xlfn._xlws.FILTER(CrowdfundingTable[pledged],CrowdfundingTable[subcategory]=A33))</f>
        <v>1.7047368940158418</v>
      </c>
    </row>
    <row r="34" spans="1:16" x14ac:dyDescent="0.2">
      <c r="A34" s="18" t="s">
        <v>2064</v>
      </c>
      <c r="B34" s="40">
        <v>51</v>
      </c>
      <c r="C34" s="40">
        <v>2195343</v>
      </c>
      <c r="D34" s="25">
        <v>43045.941176470587</v>
      </c>
      <c r="E34" s="25">
        <v>3096683420.4475203</v>
      </c>
      <c r="F34" s="25">
        <v>56201.575501550411</v>
      </c>
      <c r="G34" s="46" cm="1">
        <f t="array" ref="G34">MIN(_xlfn._xlws.FILTER(CrowdfundingTable[pledged],CrowdfundingTable[subcategory]=A34))</f>
        <v>2</v>
      </c>
      <c r="H34" s="46" cm="1">
        <f t="array" ref="H34">_xlfn.QUARTILE.EXC(_xlfn._xlws.FILTER(CrowdfundingTable[pledged],CrowdfundingTable[subcategory]=A34),1)</f>
        <v>6775</v>
      </c>
      <c r="I34" s="46" cm="1">
        <f t="array" ref="I34">MEDIAN(_xlfn._xlws.FILTER(CrowdfundingTable[pledged],CrowdfundingTable[subcategory]=A34))</f>
        <v>11941</v>
      </c>
      <c r="J34" s="46" cm="1">
        <f t="array" ref="J34">_xlfn.QUARTILE.EXC(_xlfn._xlws.FILTER(CrowdfundingTable[pledged],CrowdfundingTable[subcategory]=A34),3)</f>
        <v>97524</v>
      </c>
      <c r="K34" s="46" cm="1">
        <f t="array" ref="K34">MAX(_xlfn._xlws.FILTER(CrowdfundingTable[pledged],CrowdfundingTable[subcategory]=A34))</f>
        <v>196386</v>
      </c>
      <c r="L34" s="46">
        <f t="shared" si="0"/>
        <v>90749</v>
      </c>
      <c r="M34" s="46">
        <f t="shared" si="1"/>
        <v>233647.5</v>
      </c>
      <c r="N34" s="46">
        <f t="shared" si="2"/>
        <v>-129348.5</v>
      </c>
      <c r="O34" s="46" cm="1">
        <f t="array" aca="1" ref="O34" ca="1">COUNT(IF(_xlfn._xlws.FILTER(CrowdfundingTable[pledged],CrowdfundingTable[subcategory]=A34) &gt; M34,1,Null()))</f>
        <v>0</v>
      </c>
      <c r="P34" s="47" cm="1">
        <f t="array" ref="P34">_xlfn.SKEW.P(_xlfn._xlws.FILTER(CrowdfundingTable[pledged],CrowdfundingTable[subcategory]=A34))</f>
        <v>1.2118131043147804</v>
      </c>
    </row>
    <row r="35" spans="1:16" x14ac:dyDescent="0.2">
      <c r="A35" s="10" t="s">
        <v>2040</v>
      </c>
      <c r="B35" s="40">
        <v>344</v>
      </c>
      <c r="C35" s="40">
        <v>15763227</v>
      </c>
      <c r="D35" s="25">
        <v>45823.33430232558</v>
      </c>
      <c r="E35" s="25">
        <v>3645680712.0597534</v>
      </c>
      <c r="F35" s="25">
        <v>60467.425270144027</v>
      </c>
      <c r="G35" s="51" cm="1">
        <f t="array" ref="G35">MIN(_xlfn._xlws.FILTER(CrowdfundingTable[pledged],CrowdfundingTable[primary_category]=A35))</f>
        <v>0</v>
      </c>
      <c r="H35" s="51" cm="1">
        <f t="array" ref="H35">_xlfn.QUARTILE.EXC(_xlfn._xlws.FILTER(CrowdfundingTable[pledged],CrowdfundingTable[primary_category]=A35),1)</f>
        <v>5841.5</v>
      </c>
      <c r="I35" s="51" cm="1">
        <f t="array" ref="I35">MEDIAN(_xlfn._xlws.FILTER(CrowdfundingTable[pledged],CrowdfundingTable[primary_category]=A35))</f>
        <v>11817.5</v>
      </c>
      <c r="J35" s="51" cm="1">
        <f t="array" ref="J35">_xlfn.QUARTILE.EXC(_xlfn._xlws.FILTER(CrowdfundingTable[pledged],CrowdfundingTable[primary_category]=A35),3)</f>
        <v>81962.25</v>
      </c>
      <c r="K35" s="51" cm="1">
        <f t="array" ref="K35">MAX(_xlfn._xlws.FILTER(CrowdfundingTable[pledged],CrowdfundingTable[primary_category]=A35))</f>
        <v>197024</v>
      </c>
      <c r="L35" s="51">
        <f t="shared" si="0"/>
        <v>76120.75</v>
      </c>
      <c r="M35" s="51">
        <f t="shared" si="1"/>
        <v>196143.375</v>
      </c>
      <c r="N35" s="51">
        <f t="shared" si="2"/>
        <v>-108339.625</v>
      </c>
      <c r="O35" s="51" cm="1">
        <f t="array" aca="1" ref="O35" ca="1">COUNT(IF(_xlfn._xlws.FILTER(CrowdfundingTable[pledged],CrowdfundingTable[primary_category]=A35) &gt; M35,1,Null()))</f>
        <v>3</v>
      </c>
      <c r="P35" s="52" cm="1">
        <f t="array" ref="P35">_xlfn.SKEW.P(_xlfn._xlws.FILTER(CrowdfundingTable[pledged],CrowdfundingTable[primary_category]=A35))</f>
        <v>1.267663905261206</v>
      </c>
    </row>
    <row r="36" spans="1:16" x14ac:dyDescent="0.2">
      <c r="A36" s="18" t="s">
        <v>2055</v>
      </c>
      <c r="B36" s="40">
        <v>344</v>
      </c>
      <c r="C36" s="40">
        <v>15763227</v>
      </c>
      <c r="D36" s="25">
        <v>45823.33430232558</v>
      </c>
      <c r="E36" s="25">
        <v>3645680712.0597534</v>
      </c>
      <c r="F36" s="25">
        <v>60467.425270144027</v>
      </c>
      <c r="G36" s="46" cm="1">
        <f t="array" ref="G36">MIN(_xlfn._xlws.FILTER(CrowdfundingTable[pledged],CrowdfundingTable[subcategory]=A36))</f>
        <v>0</v>
      </c>
      <c r="H36" s="46" cm="1">
        <f t="array" ref="H36">_xlfn.QUARTILE.EXC(_xlfn._xlws.FILTER(CrowdfundingTable[pledged],CrowdfundingTable[subcategory]=A36),1)</f>
        <v>5841.5</v>
      </c>
      <c r="I36" s="46" cm="1">
        <f t="array" ref="I36">MEDIAN(_xlfn._xlws.FILTER(CrowdfundingTable[pledged],CrowdfundingTable[subcategory]=A36))</f>
        <v>11817.5</v>
      </c>
      <c r="J36" s="46" cm="1">
        <f t="array" ref="J36">_xlfn.QUARTILE.EXC(_xlfn._xlws.FILTER(CrowdfundingTable[pledged],CrowdfundingTable[subcategory]=A36),3)</f>
        <v>81962.25</v>
      </c>
      <c r="K36" s="46" cm="1">
        <f t="array" ref="K36">MAX(_xlfn._xlws.FILTER(CrowdfundingTable[pledged],CrowdfundingTable[subcategory]=A36))</f>
        <v>197024</v>
      </c>
      <c r="L36" s="46">
        <f t="shared" si="0"/>
        <v>76120.75</v>
      </c>
      <c r="M36" s="46">
        <f t="shared" si="1"/>
        <v>196143.375</v>
      </c>
      <c r="N36" s="46">
        <f t="shared" si="2"/>
        <v>-108339.625</v>
      </c>
      <c r="O36" s="46" cm="1">
        <f t="array" aca="1" ref="O36" ca="1">COUNT(IF(_xlfn._xlws.FILTER(CrowdfundingTable[pledged],CrowdfundingTable[subcategory]=A36) &gt; M36,1,Null()))</f>
        <v>3</v>
      </c>
      <c r="P36" s="47" cm="1">
        <f t="array" ref="P36">_xlfn.SKEW.P(_xlfn._xlws.FILTER(CrowdfundingTable[pledged],CrowdfundingTable[subcategory]=A36))</f>
        <v>1.267663905261206</v>
      </c>
    </row>
    <row r="37" spans="1:16" x14ac:dyDescent="0.2">
      <c r="A37" s="10" t="s">
        <v>2030</v>
      </c>
      <c r="B37" s="40">
        <v>1000</v>
      </c>
      <c r="C37" s="40">
        <v>42748055</v>
      </c>
      <c r="D37" s="25">
        <v>42748.055</v>
      </c>
      <c r="E37" s="25">
        <v>3293240984.1599751</v>
      </c>
      <c r="F37" s="25">
        <v>57415.481550550954</v>
      </c>
      <c r="G37" s="45"/>
      <c r="H37" s="45"/>
      <c r="I37" s="45"/>
      <c r="J37" s="45"/>
      <c r="K37" s="45"/>
      <c r="L37" s="45"/>
      <c r="M37" s="45"/>
      <c r="N37" s="45"/>
      <c r="O37" s="45"/>
      <c r="P37" s="45"/>
    </row>
    <row r="38" spans="1:16" x14ac:dyDescent="0.2">
      <c r="E38" s="56"/>
      <c r="F38" s="56"/>
      <c r="G38" s="31"/>
      <c r="H38" s="31"/>
      <c r="I38" s="31"/>
      <c r="J38" s="31"/>
    </row>
    <row r="39" spans="1:16" x14ac:dyDescent="0.2">
      <c r="A39" s="13" t="s">
        <v>2082</v>
      </c>
      <c r="B39" s="59">
        <f>SUM(B4,B11,B13,B18,B25,B27,B32,B35)-GETPIVOTDATA("Count of pledged",$A$3,"Primary Category","music","Subcategory","world music")</f>
        <v>993</v>
      </c>
      <c r="C39" s="60">
        <f>SUM(C4,C11,C13,C18,C25,C27,C32,C35)-GETPIVOTDATA("Sum of pledged",$A$3,"Primary Category","music","Subcategory","world music")</f>
        <v>42486316</v>
      </c>
      <c r="D39" s="57">
        <f>(SUM(D4,D11,D13,D18,D25,D27,D32,D35)-GETPIVOTDATA("Mean of pledged",$A$3,"Primary Category","music","Subcategory","world music"))/8</f>
        <v>31422.022545142027</v>
      </c>
    </row>
  </sheetData>
  <pageMargins left="0.7" right="0.7" top="0.75" bottom="0.75" header="0.3" footer="0.3"/>
  <ignoredErrors>
    <ignoredError sqref="G11:P13 G16:P18 G25:P27 G32:P35" formula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63C42-BFB8-F544-8720-4CB6C09EF525}">
  <dimension ref="A1:C9"/>
  <sheetViews>
    <sheetView zoomScale="120" zoomScaleNormal="120" workbookViewId="0">
      <selection activeCell="A3" sqref="A3"/>
    </sheetView>
  </sheetViews>
  <sheetFormatPr baseColWidth="10" defaultRowHeight="16" x14ac:dyDescent="0.2"/>
  <cols>
    <col min="1" max="1" width="13.83203125" style="5" bestFit="1" customWidth="1"/>
    <col min="2" max="2" width="13.6640625" style="5" bestFit="1" customWidth="1"/>
    <col min="3" max="3" width="17.33203125" style="5" bestFit="1" customWidth="1"/>
    <col min="4" max="11" width="16.5" style="5" bestFit="1" customWidth="1"/>
    <col min="12" max="16384" width="10.83203125" style="5"/>
  </cols>
  <sheetData>
    <row r="1" spans="1:3" x14ac:dyDescent="0.2">
      <c r="A1" s="9" t="s">
        <v>6</v>
      </c>
      <c r="B1" s="5" t="s">
        <v>2041</v>
      </c>
    </row>
    <row r="2" spans="1:3" x14ac:dyDescent="0.2">
      <c r="A2" s="9" t="s">
        <v>2078</v>
      </c>
      <c r="B2" s="5" t="s">
        <v>2041</v>
      </c>
    </row>
    <row r="3" spans="1:3" x14ac:dyDescent="0.2">
      <c r="A3"/>
      <c r="B3"/>
      <c r="C3"/>
    </row>
    <row r="4" spans="1:3" x14ac:dyDescent="0.2">
      <c r="A4" s="9" t="s">
        <v>2031</v>
      </c>
      <c r="B4" s="21" t="s">
        <v>2093</v>
      </c>
      <c r="C4" s="21" t="s">
        <v>2094</v>
      </c>
    </row>
    <row r="5" spans="1:3" x14ac:dyDescent="0.2">
      <c r="A5" s="10" t="s">
        <v>74</v>
      </c>
      <c r="B5" s="25">
        <v>70557.059243016614</v>
      </c>
      <c r="C5" s="25">
        <v>35632.42106708623</v>
      </c>
    </row>
    <row r="6" spans="1:3" x14ac:dyDescent="0.2">
      <c r="A6" s="10" t="s">
        <v>14</v>
      </c>
      <c r="B6" s="25">
        <v>69884.438364358139</v>
      </c>
      <c r="C6" s="25">
        <v>45774.532020066261</v>
      </c>
    </row>
    <row r="7" spans="1:3" x14ac:dyDescent="0.2">
      <c r="A7" s="10" t="s">
        <v>47</v>
      </c>
      <c r="B7" s="25">
        <v>76831.207887775046</v>
      </c>
      <c r="C7" s="25">
        <v>52169.659492050392</v>
      </c>
    </row>
    <row r="8" spans="1:3" x14ac:dyDescent="0.2">
      <c r="A8" s="10" t="s">
        <v>20</v>
      </c>
      <c r="B8" s="25">
        <v>40734.339201666786</v>
      </c>
      <c r="C8" s="25">
        <v>64552.370461597573</v>
      </c>
    </row>
    <row r="9" spans="1:3" x14ac:dyDescent="0.2">
      <c r="A9" s="10" t="s">
        <v>2030</v>
      </c>
      <c r="B9" s="25">
        <v>58962.425594797423</v>
      </c>
      <c r="C9" s="25">
        <v>57415.481550550954</v>
      </c>
    </row>
  </sheetData>
  <pageMargins left="0.7" right="0.7" top="0.75" bottom="0.75" header="0.3" footer="0.3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7542A-638E-3B42-9C8D-8D1D4771E446}">
  <dimension ref="A1:Q565"/>
  <sheetViews>
    <sheetView zoomScaleNormal="100" workbookViewId="0">
      <selection activeCell="J1" sqref="J1"/>
    </sheetView>
  </sheetViews>
  <sheetFormatPr baseColWidth="10" defaultRowHeight="16" x14ac:dyDescent="0.2"/>
  <cols>
    <col min="1" max="12" width="10.83203125" style="5"/>
    <col min="13" max="13" width="20.83203125" style="5" customWidth="1"/>
    <col min="14" max="15" width="20.83203125" style="21" customWidth="1"/>
    <col min="16" max="17" width="20.83203125" style="5" customWidth="1"/>
    <col min="18" max="16384" width="10.83203125" style="5"/>
  </cols>
  <sheetData>
    <row r="1" spans="1:17" x14ac:dyDescent="0.2">
      <c r="A1" s="16" t="str" cm="1">
        <f t="array" ref="A1:B565">_xlfn._xlws.FILTER(CrowdfundingTable[[outcome]:[backers_count]],CrowdfundingTable[outcome]="successful")</f>
        <v>successful</v>
      </c>
      <c r="B1" s="5">
        <v>158</v>
      </c>
      <c r="D1" s="17" t="str" cm="1">
        <f t="array" ref="D1:E364">_xlfn._xlws.FILTER(CrowdfundingTable[[outcome]:[backers_count]],CrowdfundingTable[outcome]="failed")</f>
        <v>failed</v>
      </c>
      <c r="E1" s="5">
        <v>0</v>
      </c>
      <c r="F1" s="88" t="str" cm="1">
        <f t="array" ref="F1:G57">_xlfn._xlws.FILTER(CrowdfundingTable[[outcome]:[backers_count]],CrowdfundingTable[outcome]="canceled")</f>
        <v>canceled</v>
      </c>
      <c r="G1" s="5">
        <v>135</v>
      </c>
      <c r="H1" s="90" t="str" cm="1">
        <f t="array" ref="H1:I14">_xlfn._xlws.FILTER(CrowdfundingTable[[outcome]:[backers_count]],CrowdfundingTable[outcome]="live")</f>
        <v>live</v>
      </c>
      <c r="I1" s="5">
        <v>708</v>
      </c>
      <c r="M1" s="5" t="s">
        <v>2105</v>
      </c>
      <c r="N1" s="21" t="s">
        <v>2096</v>
      </c>
      <c r="O1" s="21" t="s">
        <v>2097</v>
      </c>
      <c r="P1" s="21" t="s">
        <v>2225</v>
      </c>
      <c r="Q1" s="21" t="s">
        <v>2226</v>
      </c>
    </row>
    <row r="2" spans="1:17" x14ac:dyDescent="0.2">
      <c r="A2" s="16" t="str">
        <v>successful</v>
      </c>
      <c r="B2" s="5">
        <v>1425</v>
      </c>
      <c r="D2" s="17" t="str">
        <v>failed</v>
      </c>
      <c r="E2" s="5">
        <v>24</v>
      </c>
      <c r="F2" s="88" t="str">
        <v>canceled</v>
      </c>
      <c r="G2" s="5">
        <v>1480</v>
      </c>
      <c r="H2" s="90" t="str">
        <v>live</v>
      </c>
      <c r="I2" s="5">
        <v>808</v>
      </c>
      <c r="M2" s="5" t="s">
        <v>2124</v>
      </c>
      <c r="N2" s="32">
        <f>SUM($B$1:$B$565)</f>
        <v>480898</v>
      </c>
      <c r="O2" s="32">
        <f>SUM($E$1:$E$565)</f>
        <v>213164</v>
      </c>
      <c r="P2" s="32">
        <f>SUM($G$1:$G$57)</f>
        <v>24768</v>
      </c>
      <c r="Q2" s="32">
        <f>SUM($I$1:$I$14)</f>
        <v>8175</v>
      </c>
    </row>
    <row r="3" spans="1:17" x14ac:dyDescent="0.2">
      <c r="A3" s="16" t="str">
        <v>successful</v>
      </c>
      <c r="B3" s="5">
        <v>174</v>
      </c>
      <c r="D3" s="17" t="str">
        <v>failed</v>
      </c>
      <c r="E3" s="5">
        <v>53</v>
      </c>
      <c r="F3" s="88" t="str">
        <v>canceled</v>
      </c>
      <c r="G3" s="5">
        <v>17</v>
      </c>
      <c r="H3" s="90" t="str">
        <v>live</v>
      </c>
      <c r="I3" s="5">
        <v>61</v>
      </c>
      <c r="M3" s="5" t="s">
        <v>2098</v>
      </c>
      <c r="N3" s="31">
        <f>AVERAGE($B$1:$B$565)</f>
        <v>851.14690265486729</v>
      </c>
      <c r="O3" s="31">
        <f>AVERAGE($E$1:$E$565)</f>
        <v>585.61538461538464</v>
      </c>
      <c r="P3" s="31">
        <f>AVERAGE($G$1:$G$57)</f>
        <v>434.5263157894737</v>
      </c>
      <c r="Q3" s="31">
        <f>AVERAGE($I$1:$I$14)</f>
        <v>583.92857142857144</v>
      </c>
    </row>
    <row r="4" spans="1:17" x14ac:dyDescent="0.2">
      <c r="A4" s="16" t="str">
        <v>successful</v>
      </c>
      <c r="B4" s="5">
        <v>227</v>
      </c>
      <c r="D4" s="17" t="str">
        <v>failed</v>
      </c>
      <c r="E4" s="5">
        <v>18</v>
      </c>
      <c r="F4" s="88" t="str">
        <v>canceled</v>
      </c>
      <c r="G4" s="5">
        <v>610</v>
      </c>
      <c r="H4" s="90" t="str">
        <v>live</v>
      </c>
      <c r="I4" s="5">
        <v>211</v>
      </c>
      <c r="M4" s="5" t="s">
        <v>2102</v>
      </c>
      <c r="N4" s="32">
        <f>MODE($B$1:$B$565)</f>
        <v>85</v>
      </c>
      <c r="O4" s="32">
        <f>MODE($E$1:$E$565)</f>
        <v>1</v>
      </c>
      <c r="P4" s="32">
        <f>MODE($G$1:$G$57)</f>
        <v>75</v>
      </c>
      <c r="Q4" s="32" t="e">
        <f>MODE($I$1:$I$14)</f>
        <v>#N/A</v>
      </c>
    </row>
    <row r="5" spans="1:17" x14ac:dyDescent="0.2">
      <c r="A5" s="16" t="str">
        <v>successful</v>
      </c>
      <c r="B5" s="5">
        <v>220</v>
      </c>
      <c r="D5" s="17" t="str">
        <v>failed</v>
      </c>
      <c r="E5" s="5">
        <v>44</v>
      </c>
      <c r="F5" s="88" t="str">
        <v>canceled</v>
      </c>
      <c r="G5" s="5">
        <v>532</v>
      </c>
      <c r="H5" s="90" t="str">
        <v>live</v>
      </c>
      <c r="I5" s="5">
        <v>86</v>
      </c>
      <c r="M5" s="5" t="s">
        <v>2099</v>
      </c>
      <c r="N5" s="32">
        <f>MIN($B$1:$B$565)</f>
        <v>16</v>
      </c>
      <c r="O5" s="32">
        <f>MIN($E$1:$E$565)</f>
        <v>0</v>
      </c>
      <c r="P5" s="32">
        <f>MIN($G$1:$G$57)</f>
        <v>1</v>
      </c>
      <c r="Q5" s="32">
        <f>MIN($I$1:$I$14)</f>
        <v>14</v>
      </c>
    </row>
    <row r="6" spans="1:17" x14ac:dyDescent="0.2">
      <c r="A6" s="16" t="str">
        <v>successful</v>
      </c>
      <c r="B6" s="5">
        <v>98</v>
      </c>
      <c r="D6" s="17" t="str">
        <v>failed</v>
      </c>
      <c r="E6" s="5">
        <v>27</v>
      </c>
      <c r="F6" s="88" t="str">
        <v>canceled</v>
      </c>
      <c r="G6" s="5">
        <v>55</v>
      </c>
      <c r="H6" s="90" t="str">
        <v>live</v>
      </c>
      <c r="I6" s="5">
        <v>1111</v>
      </c>
      <c r="M6" s="5" t="s">
        <v>2108</v>
      </c>
      <c r="N6" s="32">
        <f>_xlfn.QUARTILE.EXC($B$1:$B$565,1)</f>
        <v>127.5</v>
      </c>
      <c r="O6" s="32">
        <f>_xlfn.QUARTILE.EXC($E$1:$E$565,1)</f>
        <v>38</v>
      </c>
      <c r="P6" s="32">
        <f>_xlfn.QUARTILE.EXC($G$1:$G$57,1)</f>
        <v>56.5</v>
      </c>
      <c r="Q6" s="32">
        <f>_xlfn.QUARTILE.EXC($I$1:$I$14,1)</f>
        <v>41.5</v>
      </c>
    </row>
    <row r="7" spans="1:17" x14ac:dyDescent="0.2">
      <c r="A7" s="16" t="str">
        <v>successful</v>
      </c>
      <c r="B7" s="5">
        <v>100</v>
      </c>
      <c r="D7" s="17" t="str">
        <v>failed</v>
      </c>
      <c r="E7" s="5">
        <v>55</v>
      </c>
      <c r="F7" s="88" t="str">
        <v>canceled</v>
      </c>
      <c r="G7" s="5">
        <v>58</v>
      </c>
      <c r="H7" s="90" t="str">
        <v>live</v>
      </c>
      <c r="I7" s="5">
        <v>1089</v>
      </c>
      <c r="M7" s="30" t="s">
        <v>2109</v>
      </c>
      <c r="N7" s="31">
        <f>_xlfn.QUARTILE.EXC($B$1:$B$565,2)</f>
        <v>201</v>
      </c>
      <c r="O7" s="31">
        <f>_xlfn.QUARTILE.EXC($E$1:$E$565,2)</f>
        <v>114.5</v>
      </c>
      <c r="P7" s="31">
        <f>_xlfn.QUARTILE.EXC($G$1:$G$57,2)</f>
        <v>139</v>
      </c>
      <c r="Q7" s="31">
        <f>_xlfn.QUARTILE.EXC($I$1:$I$14,2)</f>
        <v>148.5</v>
      </c>
    </row>
    <row r="8" spans="1:17" x14ac:dyDescent="0.2">
      <c r="A8" s="16" t="str">
        <v>successful</v>
      </c>
      <c r="B8" s="5">
        <v>1249</v>
      </c>
      <c r="D8" s="17" t="str">
        <v>failed</v>
      </c>
      <c r="E8" s="5">
        <v>200</v>
      </c>
      <c r="F8" s="88" t="str">
        <v>canceled</v>
      </c>
      <c r="G8" s="5">
        <v>51</v>
      </c>
      <c r="H8" s="90" t="str">
        <v>live</v>
      </c>
      <c r="I8" s="5">
        <v>3640</v>
      </c>
      <c r="M8" s="30" t="s">
        <v>2110</v>
      </c>
      <c r="N8" s="32">
        <f>_xlfn.QUARTILE.EXC($B$1:$B$565,3)</f>
        <v>1288.5</v>
      </c>
      <c r="O8" s="32">
        <f>_xlfn.QUARTILE.EXC($E$1:$E$565,3)</f>
        <v>789.5</v>
      </c>
      <c r="P8" s="32">
        <f>_xlfn.QUARTILE.EXC($G$1:$G$57,3)</f>
        <v>602.5</v>
      </c>
      <c r="Q8" s="32">
        <f>_xlfn.QUARTILE.EXC($I$1:$I$14,3)</f>
        <v>878.25</v>
      </c>
    </row>
    <row r="9" spans="1:17" x14ac:dyDescent="0.2">
      <c r="A9" s="16" t="str">
        <v>successful</v>
      </c>
      <c r="B9" s="5">
        <v>1396</v>
      </c>
      <c r="D9" s="17" t="str">
        <v>failed</v>
      </c>
      <c r="E9" s="5">
        <v>452</v>
      </c>
      <c r="F9" s="88" t="str">
        <v>canceled</v>
      </c>
      <c r="G9" s="5">
        <v>379</v>
      </c>
      <c r="H9" s="90" t="str">
        <v>live</v>
      </c>
      <c r="I9" s="5">
        <v>278</v>
      </c>
      <c r="M9" s="5" t="s">
        <v>2100</v>
      </c>
      <c r="N9" s="32">
        <f>MAX($B$1:$B$565)</f>
        <v>7295</v>
      </c>
      <c r="O9" s="32">
        <f>MAX($E$1:$E$565)</f>
        <v>6080</v>
      </c>
      <c r="P9" s="32">
        <f>MAX($G$1:$G$57)</f>
        <v>2266</v>
      </c>
      <c r="Q9" s="32">
        <f>MAX($I$1:$I$14)</f>
        <v>3640</v>
      </c>
    </row>
    <row r="10" spans="1:17" x14ac:dyDescent="0.2">
      <c r="A10" s="16" t="str">
        <v>successful</v>
      </c>
      <c r="B10" s="5">
        <v>890</v>
      </c>
      <c r="D10" s="17" t="str">
        <v>failed</v>
      </c>
      <c r="E10" s="5">
        <v>674</v>
      </c>
      <c r="F10" s="88" t="str">
        <v>canceled</v>
      </c>
      <c r="G10" s="5">
        <v>441</v>
      </c>
      <c r="H10" s="90" t="str">
        <v>live</v>
      </c>
      <c r="I10" s="5">
        <v>45</v>
      </c>
      <c r="M10" s="5" t="s">
        <v>2106</v>
      </c>
      <c r="N10" s="31">
        <f>$N$8-$N$6</f>
        <v>1161</v>
      </c>
      <c r="O10" s="31">
        <f>$O$8-$O$6</f>
        <v>751.5</v>
      </c>
      <c r="P10" s="31">
        <f>$P$8-$P$6</f>
        <v>546</v>
      </c>
      <c r="Q10" s="31">
        <f>$Q$8-$Q$6</f>
        <v>836.75</v>
      </c>
    </row>
    <row r="11" spans="1:17" x14ac:dyDescent="0.2">
      <c r="A11" s="16" t="str">
        <v>successful</v>
      </c>
      <c r="B11" s="5">
        <v>142</v>
      </c>
      <c r="D11" s="17" t="str">
        <v>failed</v>
      </c>
      <c r="E11" s="5">
        <v>558</v>
      </c>
      <c r="F11" s="88" t="str">
        <v>canceled</v>
      </c>
      <c r="G11" s="5">
        <v>82</v>
      </c>
      <c r="H11" s="90" t="str">
        <v>live</v>
      </c>
      <c r="I11" s="5">
        <v>31</v>
      </c>
      <c r="M11" s="5" t="s">
        <v>2111</v>
      </c>
      <c r="N11" s="31">
        <f>$N$8+(1.5*$N$10)</f>
        <v>3030</v>
      </c>
      <c r="O11" s="31">
        <f>$O$8+(1.5*$O$10)</f>
        <v>1916.75</v>
      </c>
      <c r="P11" s="31">
        <f>$P$8+(1.5*$P$10)</f>
        <v>1421.5</v>
      </c>
      <c r="Q11" s="31">
        <f>$Q$8+(1.5*$Q$10)</f>
        <v>2133.375</v>
      </c>
    </row>
    <row r="12" spans="1:17" x14ac:dyDescent="0.2">
      <c r="A12" s="16" t="str">
        <v>successful</v>
      </c>
      <c r="B12" s="5">
        <v>2673</v>
      </c>
      <c r="D12" s="17" t="str">
        <v>failed</v>
      </c>
      <c r="E12" s="5">
        <v>15</v>
      </c>
      <c r="F12" s="88" t="str">
        <v>canceled</v>
      </c>
      <c r="G12" s="5">
        <v>57</v>
      </c>
      <c r="H12" s="90" t="str">
        <v>live</v>
      </c>
      <c r="I12" s="5">
        <v>14</v>
      </c>
      <c r="M12" s="5" t="s">
        <v>2112</v>
      </c>
      <c r="N12" s="31">
        <f>$N$6-(1.5*$N$10)</f>
        <v>-1614</v>
      </c>
      <c r="O12" s="31">
        <f>$O$6-(1.5*$O$10)</f>
        <v>-1089.25</v>
      </c>
      <c r="P12" s="31">
        <f>$P$6-(1.5*$P$10)</f>
        <v>-762.5</v>
      </c>
      <c r="Q12" s="31">
        <f>$Q$6-(1.5*$Q$10)</f>
        <v>-1213.625</v>
      </c>
    </row>
    <row r="13" spans="1:17" x14ac:dyDescent="0.2">
      <c r="A13" s="16" t="str">
        <v>successful</v>
      </c>
      <c r="B13" s="5">
        <v>163</v>
      </c>
      <c r="D13" s="17" t="str">
        <v>failed</v>
      </c>
      <c r="E13" s="5">
        <v>2307</v>
      </c>
      <c r="F13" s="88" t="str">
        <v>canceled</v>
      </c>
      <c r="G13" s="5">
        <v>67</v>
      </c>
      <c r="H13" s="90" t="str">
        <v>live</v>
      </c>
      <c r="I13" s="5">
        <v>27</v>
      </c>
      <c r="M13" s="5" t="s">
        <v>2107</v>
      </c>
      <c r="N13" s="32">
        <f>COUNTIF($B$1:$B$565, "&gt;"&amp;$N$11)</f>
        <v>41</v>
      </c>
      <c r="O13" s="32">
        <f>COUNTIF($E$1:$E$565, "&gt;"&amp;$O$11)</f>
        <v>31</v>
      </c>
      <c r="P13" s="32">
        <f>COUNTIF($G$1:$G$57, "&gt;"&amp;$P$11)</f>
        <v>5</v>
      </c>
      <c r="Q13" s="32">
        <f>COUNTIF($I$1:$I$14, "&gt;"&amp;$Q$11)</f>
        <v>1</v>
      </c>
    </row>
    <row r="14" spans="1:17" x14ac:dyDescent="0.2">
      <c r="A14" s="16" t="str">
        <v>successful</v>
      </c>
      <c r="B14" s="5">
        <v>2220</v>
      </c>
      <c r="D14" s="17" t="str">
        <v>failed</v>
      </c>
      <c r="E14" s="5">
        <v>88</v>
      </c>
      <c r="F14" s="88" t="str">
        <v>canceled</v>
      </c>
      <c r="G14" s="5">
        <v>1890</v>
      </c>
      <c r="H14" s="90" t="str">
        <v>live</v>
      </c>
      <c r="I14" s="5">
        <v>66</v>
      </c>
      <c r="M14" s="5" t="s">
        <v>2103</v>
      </c>
      <c r="N14" s="31">
        <f>_xlfn.STDEV.P($B$1:$B$565)</f>
        <v>1266.2439466397898</v>
      </c>
      <c r="O14" s="31">
        <f>_xlfn.STDEV.P($E$1:$E$565)</f>
        <v>959.98681331637863</v>
      </c>
      <c r="P14" s="31">
        <f>_xlfn.STDEV.P($G$1:$G$57)</f>
        <v>568.50030798995374</v>
      </c>
      <c r="Q14" s="31">
        <f>_xlfn.STDEV.P($I$1:$I$14)</f>
        <v>933.17977630141513</v>
      </c>
    </row>
    <row r="15" spans="1:17" x14ac:dyDescent="0.2">
      <c r="A15" s="16" t="str">
        <v>successful</v>
      </c>
      <c r="B15" s="5">
        <v>1606</v>
      </c>
      <c r="D15" s="17" t="str">
        <v>failed</v>
      </c>
      <c r="E15" s="5">
        <v>48</v>
      </c>
      <c r="F15" s="88" t="str">
        <v>canceled</v>
      </c>
      <c r="G15" s="5">
        <v>184</v>
      </c>
      <c r="M15" s="5" t="s">
        <v>2104</v>
      </c>
      <c r="N15" s="31">
        <f>_xlfn.SKEW.P($B$1:$B$565)</f>
        <v>2.1704154787423571</v>
      </c>
      <c r="O15" s="31">
        <f>_xlfn.SKEW.P($E$1:$E$565)</f>
        <v>2.6937367210730674</v>
      </c>
      <c r="P15" s="31">
        <f>_xlfn.SKEW.P($G$1:$G$57)</f>
        <v>1.6755070568508497</v>
      </c>
      <c r="Q15" s="31">
        <f>_xlfn.SKEW.P($I$1:$I$14)</f>
        <v>2.4313740706840936</v>
      </c>
    </row>
    <row r="16" spans="1:17" x14ac:dyDescent="0.2">
      <c r="A16" s="16" t="str">
        <v>successful</v>
      </c>
      <c r="B16" s="5">
        <v>129</v>
      </c>
      <c r="D16" s="17" t="str">
        <v>failed</v>
      </c>
      <c r="E16" s="5">
        <v>1</v>
      </c>
      <c r="F16" s="88" t="str">
        <v>canceled</v>
      </c>
      <c r="G16" s="5">
        <v>32</v>
      </c>
      <c r="N16" s="31"/>
      <c r="O16" s="31"/>
    </row>
    <row r="17" spans="1:15" x14ac:dyDescent="0.2">
      <c r="A17" s="16" t="str">
        <v>successful</v>
      </c>
      <c r="B17" s="5">
        <v>226</v>
      </c>
      <c r="D17" s="17" t="str">
        <v>failed</v>
      </c>
      <c r="E17" s="5">
        <v>1467</v>
      </c>
      <c r="F17" s="88" t="str">
        <v>canceled</v>
      </c>
      <c r="G17" s="5">
        <v>75</v>
      </c>
      <c r="N17" s="31"/>
      <c r="O17" s="31"/>
    </row>
    <row r="18" spans="1:15" x14ac:dyDescent="0.2">
      <c r="A18" s="16" t="str">
        <v>successful</v>
      </c>
      <c r="B18" s="5">
        <v>5419</v>
      </c>
      <c r="D18" s="17" t="str">
        <v>failed</v>
      </c>
      <c r="E18" s="5">
        <v>75</v>
      </c>
      <c r="F18" s="88" t="str">
        <v>canceled</v>
      </c>
      <c r="G18" s="5">
        <v>64</v>
      </c>
      <c r="N18" s="31"/>
      <c r="O18" s="31"/>
    </row>
    <row r="19" spans="1:15" x14ac:dyDescent="0.2">
      <c r="A19" s="16" t="str">
        <v>successful</v>
      </c>
      <c r="B19" s="5">
        <v>165</v>
      </c>
      <c r="D19" s="17" t="str">
        <v>failed</v>
      </c>
      <c r="E19" s="5">
        <v>120</v>
      </c>
      <c r="F19" s="88" t="str">
        <v>canceled</v>
      </c>
      <c r="G19" s="5">
        <v>1297</v>
      </c>
    </row>
    <row r="20" spans="1:15" x14ac:dyDescent="0.2">
      <c r="A20" s="16" t="str">
        <v>successful</v>
      </c>
      <c r="B20" s="5">
        <v>1965</v>
      </c>
      <c r="D20" s="17" t="str">
        <v>failed</v>
      </c>
      <c r="E20" s="5">
        <v>2253</v>
      </c>
      <c r="F20" s="88" t="str">
        <v>canceled</v>
      </c>
      <c r="G20" s="5">
        <v>145</v>
      </c>
    </row>
    <row r="21" spans="1:15" x14ac:dyDescent="0.2">
      <c r="A21" s="16" t="str">
        <v>successful</v>
      </c>
      <c r="B21" s="5">
        <v>16</v>
      </c>
      <c r="D21" s="17" t="str">
        <v>failed</v>
      </c>
      <c r="E21" s="5">
        <v>5</v>
      </c>
      <c r="F21" s="88" t="str">
        <v>canceled</v>
      </c>
      <c r="G21" s="5">
        <v>2138</v>
      </c>
    </row>
    <row r="22" spans="1:15" x14ac:dyDescent="0.2">
      <c r="A22" s="16" t="str">
        <v>successful</v>
      </c>
      <c r="B22" s="5">
        <v>107</v>
      </c>
      <c r="D22" s="17" t="str">
        <v>failed</v>
      </c>
      <c r="E22" s="5">
        <v>38</v>
      </c>
      <c r="F22" s="88" t="str">
        <v>canceled</v>
      </c>
      <c r="G22" s="5">
        <v>10</v>
      </c>
    </row>
    <row r="23" spans="1:15" x14ac:dyDescent="0.2">
      <c r="A23" s="16" t="str">
        <v>successful</v>
      </c>
      <c r="B23" s="5">
        <v>134</v>
      </c>
      <c r="D23" s="17" t="str">
        <v>failed</v>
      </c>
      <c r="E23" s="5">
        <v>12</v>
      </c>
      <c r="F23" s="88" t="str">
        <v>canceled</v>
      </c>
      <c r="G23" s="5">
        <v>90</v>
      </c>
    </row>
    <row r="24" spans="1:15" x14ac:dyDescent="0.2">
      <c r="A24" s="16" t="str">
        <v>successful</v>
      </c>
      <c r="B24" s="5">
        <v>198</v>
      </c>
      <c r="D24" s="17" t="str">
        <v>failed</v>
      </c>
      <c r="E24" s="5">
        <v>1684</v>
      </c>
      <c r="F24" s="88" t="str">
        <v>canceled</v>
      </c>
      <c r="G24" s="5">
        <v>439</v>
      </c>
    </row>
    <row r="25" spans="1:15" x14ac:dyDescent="0.2">
      <c r="A25" s="16" t="str">
        <v>successful</v>
      </c>
      <c r="B25" s="5">
        <v>111</v>
      </c>
      <c r="D25" s="17" t="str">
        <v>failed</v>
      </c>
      <c r="E25" s="5">
        <v>56</v>
      </c>
      <c r="F25" s="88" t="str">
        <v>canceled</v>
      </c>
      <c r="G25" s="5">
        <v>595</v>
      </c>
    </row>
    <row r="26" spans="1:15" x14ac:dyDescent="0.2">
      <c r="A26" s="16" t="str">
        <v>successful</v>
      </c>
      <c r="B26" s="5">
        <v>222</v>
      </c>
      <c r="D26" s="17" t="str">
        <v>failed</v>
      </c>
      <c r="E26" s="5">
        <v>838</v>
      </c>
      <c r="F26" s="88" t="str">
        <v>canceled</v>
      </c>
      <c r="G26" s="5">
        <v>35</v>
      </c>
    </row>
    <row r="27" spans="1:15" x14ac:dyDescent="0.2">
      <c r="A27" s="16" t="str">
        <v>successful</v>
      </c>
      <c r="B27" s="5">
        <v>6212</v>
      </c>
      <c r="D27" s="17" t="str">
        <v>failed</v>
      </c>
      <c r="E27" s="5">
        <v>1000</v>
      </c>
      <c r="F27" s="88" t="str">
        <v>canceled</v>
      </c>
      <c r="G27" s="5">
        <v>528</v>
      </c>
    </row>
    <row r="28" spans="1:15" x14ac:dyDescent="0.2">
      <c r="A28" s="16" t="str">
        <v>successful</v>
      </c>
      <c r="B28" s="5">
        <v>98</v>
      </c>
      <c r="D28" s="17" t="str">
        <v>failed</v>
      </c>
      <c r="E28" s="5">
        <v>1482</v>
      </c>
      <c r="F28" s="88" t="str">
        <v>canceled</v>
      </c>
      <c r="G28" s="5">
        <v>1</v>
      </c>
    </row>
    <row r="29" spans="1:15" x14ac:dyDescent="0.2">
      <c r="A29" s="16" t="str">
        <v>successful</v>
      </c>
      <c r="B29" s="5">
        <v>92</v>
      </c>
      <c r="D29" s="17" t="str">
        <v>failed</v>
      </c>
      <c r="E29" s="5">
        <v>106</v>
      </c>
      <c r="F29" s="88" t="str">
        <v>canceled</v>
      </c>
      <c r="G29" s="5">
        <v>94</v>
      </c>
    </row>
    <row r="30" spans="1:15" x14ac:dyDescent="0.2">
      <c r="A30" s="16" t="str">
        <v>successful</v>
      </c>
      <c r="B30" s="5">
        <v>149</v>
      </c>
      <c r="D30" s="17" t="str">
        <v>failed</v>
      </c>
      <c r="E30" s="5">
        <v>679</v>
      </c>
      <c r="F30" s="88" t="str">
        <v>canceled</v>
      </c>
      <c r="G30" s="5">
        <v>37</v>
      </c>
    </row>
    <row r="31" spans="1:15" x14ac:dyDescent="0.2">
      <c r="A31" s="16" t="str">
        <v>successful</v>
      </c>
      <c r="B31" s="5">
        <v>2431</v>
      </c>
      <c r="D31" s="17" t="str">
        <v>failed</v>
      </c>
      <c r="E31" s="5">
        <v>1220</v>
      </c>
      <c r="F31" s="88" t="str">
        <v>canceled</v>
      </c>
      <c r="G31" s="5">
        <v>15</v>
      </c>
    </row>
    <row r="32" spans="1:15" x14ac:dyDescent="0.2">
      <c r="A32" s="16" t="str">
        <v>successful</v>
      </c>
      <c r="B32" s="5">
        <v>303</v>
      </c>
      <c r="D32" s="17" t="str">
        <v>failed</v>
      </c>
      <c r="E32" s="5">
        <v>1</v>
      </c>
      <c r="F32" s="88" t="str">
        <v>canceled</v>
      </c>
      <c r="G32" s="5">
        <v>87</v>
      </c>
    </row>
    <row r="33" spans="1:7" x14ac:dyDescent="0.2">
      <c r="A33" s="16" t="str">
        <v>successful</v>
      </c>
      <c r="B33" s="5">
        <v>209</v>
      </c>
      <c r="D33" s="17" t="str">
        <v>failed</v>
      </c>
      <c r="E33" s="5">
        <v>37</v>
      </c>
      <c r="F33" s="88" t="str">
        <v>canceled</v>
      </c>
      <c r="G33" s="5">
        <v>1658</v>
      </c>
    </row>
    <row r="34" spans="1:7" x14ac:dyDescent="0.2">
      <c r="A34" s="16" t="str">
        <v>successful</v>
      </c>
      <c r="B34" s="5">
        <v>131</v>
      </c>
      <c r="D34" s="17" t="str">
        <v>failed</v>
      </c>
      <c r="E34" s="5">
        <v>60</v>
      </c>
      <c r="F34" s="88" t="str">
        <v>canceled</v>
      </c>
      <c r="G34" s="5">
        <v>723</v>
      </c>
    </row>
    <row r="35" spans="1:7" x14ac:dyDescent="0.2">
      <c r="A35" s="16" t="str">
        <v>successful</v>
      </c>
      <c r="B35" s="5">
        <v>164</v>
      </c>
      <c r="D35" s="17" t="str">
        <v>failed</v>
      </c>
      <c r="E35" s="5">
        <v>296</v>
      </c>
      <c r="F35" s="88" t="str">
        <v>canceled</v>
      </c>
      <c r="G35" s="5">
        <v>390</v>
      </c>
    </row>
    <row r="36" spans="1:7" x14ac:dyDescent="0.2">
      <c r="A36" s="16" t="str">
        <v>successful</v>
      </c>
      <c r="B36" s="5">
        <v>201</v>
      </c>
      <c r="D36" s="17" t="str">
        <v>failed</v>
      </c>
      <c r="E36" s="5">
        <v>3304</v>
      </c>
      <c r="F36" s="88" t="str">
        <v>canceled</v>
      </c>
      <c r="G36" s="5">
        <v>25</v>
      </c>
    </row>
    <row r="37" spans="1:7" x14ac:dyDescent="0.2">
      <c r="A37" s="16" t="str">
        <v>successful</v>
      </c>
      <c r="B37" s="5">
        <v>211</v>
      </c>
      <c r="D37" s="17" t="str">
        <v>failed</v>
      </c>
      <c r="E37" s="5">
        <v>73</v>
      </c>
      <c r="F37" s="88" t="str">
        <v>canceled</v>
      </c>
      <c r="G37" s="5">
        <v>1218</v>
      </c>
    </row>
    <row r="38" spans="1:7" x14ac:dyDescent="0.2">
      <c r="A38" s="16" t="str">
        <v>successful</v>
      </c>
      <c r="B38" s="5">
        <v>128</v>
      </c>
      <c r="D38" s="17" t="str">
        <v>failed</v>
      </c>
      <c r="E38" s="5">
        <v>3387</v>
      </c>
      <c r="F38" s="88" t="str">
        <v>canceled</v>
      </c>
      <c r="G38" s="5">
        <v>215</v>
      </c>
    </row>
    <row r="39" spans="1:7" x14ac:dyDescent="0.2">
      <c r="A39" s="16" t="str">
        <v>successful</v>
      </c>
      <c r="B39" s="5">
        <v>1600</v>
      </c>
      <c r="D39" s="17" t="str">
        <v>failed</v>
      </c>
      <c r="E39" s="5">
        <v>662</v>
      </c>
      <c r="F39" s="88" t="str">
        <v>canceled</v>
      </c>
      <c r="G39" s="5">
        <v>38</v>
      </c>
    </row>
    <row r="40" spans="1:7" x14ac:dyDescent="0.2">
      <c r="A40" s="16" t="str">
        <v>successful</v>
      </c>
      <c r="B40" s="5">
        <v>249</v>
      </c>
      <c r="D40" s="17" t="str">
        <v>failed</v>
      </c>
      <c r="E40" s="5">
        <v>774</v>
      </c>
      <c r="F40" s="88" t="str">
        <v>canceled</v>
      </c>
      <c r="G40" s="5">
        <v>60</v>
      </c>
    </row>
    <row r="41" spans="1:7" x14ac:dyDescent="0.2">
      <c r="A41" s="16" t="str">
        <v>successful</v>
      </c>
      <c r="B41" s="5">
        <v>236</v>
      </c>
      <c r="D41" s="17" t="str">
        <v>failed</v>
      </c>
      <c r="E41" s="5">
        <v>672</v>
      </c>
      <c r="F41" s="88" t="str">
        <v>canceled</v>
      </c>
      <c r="G41" s="5">
        <v>524</v>
      </c>
    </row>
    <row r="42" spans="1:7" x14ac:dyDescent="0.2">
      <c r="A42" s="16" t="str">
        <v>successful</v>
      </c>
      <c r="B42" s="5">
        <v>4065</v>
      </c>
      <c r="D42" s="17" t="str">
        <v>failed</v>
      </c>
      <c r="E42" s="5">
        <v>940</v>
      </c>
      <c r="F42" s="88" t="str">
        <v>canceled</v>
      </c>
      <c r="G42" s="5">
        <v>219</v>
      </c>
    </row>
    <row r="43" spans="1:7" x14ac:dyDescent="0.2">
      <c r="A43" s="16" t="str">
        <v>successful</v>
      </c>
      <c r="B43" s="5">
        <v>246</v>
      </c>
      <c r="D43" s="17" t="str">
        <v>failed</v>
      </c>
      <c r="E43" s="5">
        <v>117</v>
      </c>
      <c r="F43" s="88" t="str">
        <v>canceled</v>
      </c>
      <c r="G43" s="5">
        <v>29</v>
      </c>
    </row>
    <row r="44" spans="1:7" x14ac:dyDescent="0.2">
      <c r="A44" s="16" t="str">
        <v>successful</v>
      </c>
      <c r="B44" s="5">
        <v>2475</v>
      </c>
      <c r="D44" s="17" t="str">
        <v>failed</v>
      </c>
      <c r="E44" s="5">
        <v>115</v>
      </c>
      <c r="F44" s="88" t="str">
        <v>canceled</v>
      </c>
      <c r="G44" s="5">
        <v>614</v>
      </c>
    </row>
    <row r="45" spans="1:7" x14ac:dyDescent="0.2">
      <c r="A45" s="16" t="str">
        <v>successful</v>
      </c>
      <c r="B45" s="5">
        <v>76</v>
      </c>
      <c r="D45" s="17" t="str">
        <v>failed</v>
      </c>
      <c r="E45" s="5">
        <v>326</v>
      </c>
      <c r="F45" s="88" t="str">
        <v>canceled</v>
      </c>
      <c r="G45" s="5">
        <v>114</v>
      </c>
    </row>
    <row r="46" spans="1:7" x14ac:dyDescent="0.2">
      <c r="A46" s="16" t="str">
        <v>successful</v>
      </c>
      <c r="B46" s="5">
        <v>54</v>
      </c>
      <c r="D46" s="17" t="str">
        <v>failed</v>
      </c>
      <c r="E46" s="5">
        <v>1</v>
      </c>
      <c r="F46" s="88" t="str">
        <v>canceled</v>
      </c>
      <c r="G46" s="5">
        <v>26</v>
      </c>
    </row>
    <row r="47" spans="1:7" x14ac:dyDescent="0.2">
      <c r="A47" s="16" t="str">
        <v>successful</v>
      </c>
      <c r="B47" s="5">
        <v>88</v>
      </c>
      <c r="D47" s="17" t="str">
        <v>failed</v>
      </c>
      <c r="E47" s="5">
        <v>1467</v>
      </c>
      <c r="F47" s="88" t="str">
        <v>canceled</v>
      </c>
      <c r="G47" s="5">
        <v>56</v>
      </c>
    </row>
    <row r="48" spans="1:7" x14ac:dyDescent="0.2">
      <c r="A48" s="16" t="str">
        <v>successful</v>
      </c>
      <c r="B48" s="5">
        <v>85</v>
      </c>
      <c r="D48" s="17" t="str">
        <v>failed</v>
      </c>
      <c r="E48" s="5">
        <v>5681</v>
      </c>
      <c r="F48" s="88" t="str">
        <v>canceled</v>
      </c>
      <c r="G48" s="5">
        <v>1113</v>
      </c>
    </row>
    <row r="49" spans="1:7" x14ac:dyDescent="0.2">
      <c r="A49" s="16" t="str">
        <v>successful</v>
      </c>
      <c r="B49" s="5">
        <v>170</v>
      </c>
      <c r="D49" s="17" t="str">
        <v>failed</v>
      </c>
      <c r="E49" s="5">
        <v>1059</v>
      </c>
      <c r="F49" s="88" t="str">
        <v>canceled</v>
      </c>
      <c r="G49" s="5">
        <v>94</v>
      </c>
    </row>
    <row r="50" spans="1:7" x14ac:dyDescent="0.2">
      <c r="A50" s="16" t="str">
        <v>successful</v>
      </c>
      <c r="B50" s="5">
        <v>330</v>
      </c>
      <c r="D50" s="17" t="str">
        <v>failed</v>
      </c>
      <c r="E50" s="5">
        <v>1194</v>
      </c>
      <c r="F50" s="88" t="str">
        <v>canceled</v>
      </c>
      <c r="G50" s="5">
        <v>898</v>
      </c>
    </row>
    <row r="51" spans="1:7" x14ac:dyDescent="0.2">
      <c r="A51" s="16" t="str">
        <v>successful</v>
      </c>
      <c r="B51" s="5">
        <v>127</v>
      </c>
      <c r="D51" s="17" t="str">
        <v>failed</v>
      </c>
      <c r="E51" s="5">
        <v>30</v>
      </c>
      <c r="F51" s="88" t="str">
        <v>canceled</v>
      </c>
      <c r="G51" s="5">
        <v>296</v>
      </c>
    </row>
    <row r="52" spans="1:7" x14ac:dyDescent="0.2">
      <c r="A52" s="16" t="str">
        <v>successful</v>
      </c>
      <c r="B52" s="5">
        <v>411</v>
      </c>
      <c r="D52" s="17" t="str">
        <v>failed</v>
      </c>
      <c r="E52" s="5">
        <v>75</v>
      </c>
      <c r="F52" s="88" t="str">
        <v>canceled</v>
      </c>
      <c r="G52" s="5">
        <v>976</v>
      </c>
    </row>
    <row r="53" spans="1:7" x14ac:dyDescent="0.2">
      <c r="A53" s="16" t="str">
        <v>successful</v>
      </c>
      <c r="B53" s="5">
        <v>180</v>
      </c>
      <c r="D53" s="17" t="str">
        <v>failed</v>
      </c>
      <c r="E53" s="5">
        <v>955</v>
      </c>
      <c r="F53" s="88" t="str">
        <v>canceled</v>
      </c>
      <c r="G53" s="5">
        <v>160</v>
      </c>
    </row>
    <row r="54" spans="1:7" x14ac:dyDescent="0.2">
      <c r="A54" s="16" t="str">
        <v>successful</v>
      </c>
      <c r="B54" s="5">
        <v>374</v>
      </c>
      <c r="D54" s="17" t="str">
        <v>failed</v>
      </c>
      <c r="E54" s="5">
        <v>67</v>
      </c>
      <c r="F54" s="88" t="str">
        <v>canceled</v>
      </c>
      <c r="G54" s="5">
        <v>2266</v>
      </c>
    </row>
    <row r="55" spans="1:7" x14ac:dyDescent="0.2">
      <c r="A55" s="16" t="str">
        <v>successful</v>
      </c>
      <c r="B55" s="5">
        <v>71</v>
      </c>
      <c r="D55" s="17" t="str">
        <v>failed</v>
      </c>
      <c r="E55" s="5">
        <v>5</v>
      </c>
      <c r="F55" s="88" t="str">
        <v>canceled</v>
      </c>
      <c r="G55" s="5">
        <v>75</v>
      </c>
    </row>
    <row r="56" spans="1:7" x14ac:dyDescent="0.2">
      <c r="A56" s="16" t="str">
        <v>successful</v>
      </c>
      <c r="B56" s="5">
        <v>203</v>
      </c>
      <c r="D56" s="17" t="str">
        <v>failed</v>
      </c>
      <c r="E56" s="5">
        <v>26</v>
      </c>
      <c r="F56" s="88" t="str">
        <v>canceled</v>
      </c>
      <c r="G56" s="5">
        <v>139</v>
      </c>
    </row>
    <row r="57" spans="1:7" x14ac:dyDescent="0.2">
      <c r="A57" s="16" t="str">
        <v>successful</v>
      </c>
      <c r="B57" s="5">
        <v>113</v>
      </c>
      <c r="D57" s="17" t="str">
        <v>failed</v>
      </c>
      <c r="E57" s="5">
        <v>1130</v>
      </c>
      <c r="F57" s="88" t="str">
        <v>canceled</v>
      </c>
      <c r="G57" s="5">
        <v>1122</v>
      </c>
    </row>
    <row r="58" spans="1:7" x14ac:dyDescent="0.2">
      <c r="A58" s="16" t="str">
        <v>successful</v>
      </c>
      <c r="B58" s="5">
        <v>96</v>
      </c>
      <c r="D58" s="17" t="str">
        <v>failed</v>
      </c>
      <c r="E58" s="5">
        <v>782</v>
      </c>
    </row>
    <row r="59" spans="1:7" x14ac:dyDescent="0.2">
      <c r="A59" s="16" t="str">
        <v>successful</v>
      </c>
      <c r="B59" s="5">
        <v>498</v>
      </c>
      <c r="D59" s="17" t="str">
        <v>failed</v>
      </c>
      <c r="E59" s="5">
        <v>210</v>
      </c>
    </row>
    <row r="60" spans="1:7" x14ac:dyDescent="0.2">
      <c r="A60" s="16" t="str">
        <v>successful</v>
      </c>
      <c r="B60" s="5">
        <v>180</v>
      </c>
      <c r="D60" s="17" t="str">
        <v>failed</v>
      </c>
      <c r="E60" s="5">
        <v>136</v>
      </c>
    </row>
    <row r="61" spans="1:7" x14ac:dyDescent="0.2">
      <c r="A61" s="16" t="str">
        <v>successful</v>
      </c>
      <c r="B61" s="5">
        <v>27</v>
      </c>
      <c r="D61" s="17" t="str">
        <v>failed</v>
      </c>
      <c r="E61" s="5">
        <v>86</v>
      </c>
    </row>
    <row r="62" spans="1:7" x14ac:dyDescent="0.2">
      <c r="A62" s="16" t="str">
        <v>successful</v>
      </c>
      <c r="B62" s="5">
        <v>2331</v>
      </c>
      <c r="D62" s="17" t="str">
        <v>failed</v>
      </c>
      <c r="E62" s="5">
        <v>19</v>
      </c>
    </row>
    <row r="63" spans="1:7" x14ac:dyDescent="0.2">
      <c r="A63" s="16" t="str">
        <v>successful</v>
      </c>
      <c r="B63" s="5">
        <v>113</v>
      </c>
      <c r="D63" s="17" t="str">
        <v>failed</v>
      </c>
      <c r="E63" s="5">
        <v>886</v>
      </c>
    </row>
    <row r="64" spans="1:7" x14ac:dyDescent="0.2">
      <c r="A64" s="16" t="str">
        <v>successful</v>
      </c>
      <c r="B64" s="5">
        <v>164</v>
      </c>
      <c r="D64" s="17" t="str">
        <v>failed</v>
      </c>
      <c r="E64" s="5">
        <v>35</v>
      </c>
    </row>
    <row r="65" spans="1:5" x14ac:dyDescent="0.2">
      <c r="A65" s="16" t="str">
        <v>successful</v>
      </c>
      <c r="B65" s="5">
        <v>164</v>
      </c>
      <c r="D65" s="17" t="str">
        <v>failed</v>
      </c>
      <c r="E65" s="5">
        <v>24</v>
      </c>
    </row>
    <row r="66" spans="1:5" x14ac:dyDescent="0.2">
      <c r="A66" s="16" t="str">
        <v>successful</v>
      </c>
      <c r="B66" s="5">
        <v>336</v>
      </c>
      <c r="D66" s="17" t="str">
        <v>failed</v>
      </c>
      <c r="E66" s="5">
        <v>86</v>
      </c>
    </row>
    <row r="67" spans="1:5" x14ac:dyDescent="0.2">
      <c r="A67" s="16" t="str">
        <v>successful</v>
      </c>
      <c r="B67" s="5">
        <v>1917</v>
      </c>
      <c r="D67" s="17" t="str">
        <v>failed</v>
      </c>
      <c r="E67" s="5">
        <v>243</v>
      </c>
    </row>
    <row r="68" spans="1:5" x14ac:dyDescent="0.2">
      <c r="A68" s="16" t="str">
        <v>successful</v>
      </c>
      <c r="B68" s="5">
        <v>95</v>
      </c>
      <c r="D68" s="17" t="str">
        <v>failed</v>
      </c>
      <c r="E68" s="5">
        <v>65</v>
      </c>
    </row>
    <row r="69" spans="1:5" x14ac:dyDescent="0.2">
      <c r="A69" s="16" t="str">
        <v>successful</v>
      </c>
      <c r="B69" s="5">
        <v>147</v>
      </c>
      <c r="D69" s="17" t="str">
        <v>failed</v>
      </c>
      <c r="E69" s="5">
        <v>100</v>
      </c>
    </row>
    <row r="70" spans="1:5" x14ac:dyDescent="0.2">
      <c r="A70" s="16" t="str">
        <v>successful</v>
      </c>
      <c r="B70" s="5">
        <v>86</v>
      </c>
      <c r="D70" s="17" t="str">
        <v>failed</v>
      </c>
      <c r="E70" s="5">
        <v>168</v>
      </c>
    </row>
    <row r="71" spans="1:5" x14ac:dyDescent="0.2">
      <c r="A71" s="16" t="str">
        <v>successful</v>
      </c>
      <c r="B71" s="5">
        <v>83</v>
      </c>
      <c r="D71" s="17" t="str">
        <v>failed</v>
      </c>
      <c r="E71" s="5">
        <v>13</v>
      </c>
    </row>
    <row r="72" spans="1:5" x14ac:dyDescent="0.2">
      <c r="A72" s="16" t="str">
        <v>successful</v>
      </c>
      <c r="B72" s="5">
        <v>676</v>
      </c>
      <c r="D72" s="17" t="str">
        <v>failed</v>
      </c>
      <c r="E72" s="5">
        <v>1</v>
      </c>
    </row>
    <row r="73" spans="1:5" x14ac:dyDescent="0.2">
      <c r="A73" s="16" t="str">
        <v>successful</v>
      </c>
      <c r="B73" s="5">
        <v>361</v>
      </c>
      <c r="D73" s="17" t="str">
        <v>failed</v>
      </c>
      <c r="E73" s="5">
        <v>40</v>
      </c>
    </row>
    <row r="74" spans="1:5" x14ac:dyDescent="0.2">
      <c r="A74" s="16" t="str">
        <v>successful</v>
      </c>
      <c r="B74" s="5">
        <v>131</v>
      </c>
      <c r="D74" s="17" t="str">
        <v>failed</v>
      </c>
      <c r="E74" s="5">
        <v>226</v>
      </c>
    </row>
    <row r="75" spans="1:5" x14ac:dyDescent="0.2">
      <c r="A75" s="16" t="str">
        <v>successful</v>
      </c>
      <c r="B75" s="5">
        <v>126</v>
      </c>
      <c r="D75" s="17" t="str">
        <v>failed</v>
      </c>
      <c r="E75" s="5">
        <v>1625</v>
      </c>
    </row>
    <row r="76" spans="1:5" x14ac:dyDescent="0.2">
      <c r="A76" s="16" t="str">
        <v>successful</v>
      </c>
      <c r="B76" s="5">
        <v>275</v>
      </c>
      <c r="D76" s="17" t="str">
        <v>failed</v>
      </c>
      <c r="E76" s="5">
        <v>143</v>
      </c>
    </row>
    <row r="77" spans="1:5" x14ac:dyDescent="0.2">
      <c r="A77" s="16" t="str">
        <v>successful</v>
      </c>
      <c r="B77" s="5">
        <v>67</v>
      </c>
      <c r="D77" s="17" t="str">
        <v>failed</v>
      </c>
      <c r="E77" s="5">
        <v>934</v>
      </c>
    </row>
    <row r="78" spans="1:5" x14ac:dyDescent="0.2">
      <c r="A78" s="16" t="str">
        <v>successful</v>
      </c>
      <c r="B78" s="5">
        <v>154</v>
      </c>
      <c r="D78" s="17" t="str">
        <v>failed</v>
      </c>
      <c r="E78" s="5">
        <v>17</v>
      </c>
    </row>
    <row r="79" spans="1:5" x14ac:dyDescent="0.2">
      <c r="A79" s="16" t="str">
        <v>successful</v>
      </c>
      <c r="B79" s="5">
        <v>1782</v>
      </c>
      <c r="D79" s="17" t="str">
        <v>failed</v>
      </c>
      <c r="E79" s="5">
        <v>2179</v>
      </c>
    </row>
    <row r="80" spans="1:5" x14ac:dyDescent="0.2">
      <c r="A80" s="16" t="str">
        <v>successful</v>
      </c>
      <c r="B80" s="5">
        <v>903</v>
      </c>
      <c r="D80" s="17" t="str">
        <v>failed</v>
      </c>
      <c r="E80" s="5">
        <v>931</v>
      </c>
    </row>
    <row r="81" spans="1:5" x14ac:dyDescent="0.2">
      <c r="A81" s="16" t="str">
        <v>successful</v>
      </c>
      <c r="B81" s="5">
        <v>94</v>
      </c>
      <c r="D81" s="17" t="str">
        <v>failed</v>
      </c>
      <c r="E81" s="5">
        <v>92</v>
      </c>
    </row>
    <row r="82" spans="1:5" x14ac:dyDescent="0.2">
      <c r="A82" s="16" t="str">
        <v>successful</v>
      </c>
      <c r="B82" s="5">
        <v>180</v>
      </c>
      <c r="D82" s="17" t="str">
        <v>failed</v>
      </c>
      <c r="E82" s="5">
        <v>57</v>
      </c>
    </row>
    <row r="83" spans="1:5" x14ac:dyDescent="0.2">
      <c r="A83" s="16" t="str">
        <v>successful</v>
      </c>
      <c r="B83" s="5">
        <v>533</v>
      </c>
      <c r="D83" s="17" t="str">
        <v>failed</v>
      </c>
      <c r="E83" s="5">
        <v>41</v>
      </c>
    </row>
    <row r="84" spans="1:5" x14ac:dyDescent="0.2">
      <c r="A84" s="16" t="str">
        <v>successful</v>
      </c>
      <c r="B84" s="5">
        <v>2443</v>
      </c>
      <c r="D84" s="17" t="str">
        <v>failed</v>
      </c>
      <c r="E84" s="5">
        <v>1</v>
      </c>
    </row>
    <row r="85" spans="1:5" x14ac:dyDescent="0.2">
      <c r="A85" s="16" t="str">
        <v>successful</v>
      </c>
      <c r="B85" s="5">
        <v>89</v>
      </c>
      <c r="D85" s="17" t="str">
        <v>failed</v>
      </c>
      <c r="E85" s="5">
        <v>101</v>
      </c>
    </row>
    <row r="86" spans="1:5" x14ac:dyDescent="0.2">
      <c r="A86" s="16" t="str">
        <v>successful</v>
      </c>
      <c r="B86" s="5">
        <v>159</v>
      </c>
      <c r="D86" s="17" t="str">
        <v>failed</v>
      </c>
      <c r="E86" s="5">
        <v>1335</v>
      </c>
    </row>
    <row r="87" spans="1:5" x14ac:dyDescent="0.2">
      <c r="A87" s="16" t="str">
        <v>successful</v>
      </c>
      <c r="B87" s="5">
        <v>50</v>
      </c>
      <c r="D87" s="17" t="str">
        <v>failed</v>
      </c>
      <c r="E87" s="5">
        <v>15</v>
      </c>
    </row>
    <row r="88" spans="1:5" x14ac:dyDescent="0.2">
      <c r="A88" s="16" t="str">
        <v>successful</v>
      </c>
      <c r="B88" s="5">
        <v>186</v>
      </c>
      <c r="D88" s="17" t="str">
        <v>failed</v>
      </c>
      <c r="E88" s="5">
        <v>454</v>
      </c>
    </row>
    <row r="89" spans="1:5" x14ac:dyDescent="0.2">
      <c r="A89" s="16" t="str">
        <v>successful</v>
      </c>
      <c r="B89" s="5">
        <v>1071</v>
      </c>
      <c r="D89" s="17" t="str">
        <v>failed</v>
      </c>
      <c r="E89" s="5">
        <v>3182</v>
      </c>
    </row>
    <row r="90" spans="1:5" x14ac:dyDescent="0.2">
      <c r="A90" s="16" t="str">
        <v>successful</v>
      </c>
      <c r="B90" s="5">
        <v>117</v>
      </c>
      <c r="D90" s="17" t="str">
        <v>failed</v>
      </c>
      <c r="E90" s="5">
        <v>15</v>
      </c>
    </row>
    <row r="91" spans="1:5" x14ac:dyDescent="0.2">
      <c r="A91" s="16" t="str">
        <v>successful</v>
      </c>
      <c r="B91" s="5">
        <v>70</v>
      </c>
      <c r="D91" s="17" t="str">
        <v>failed</v>
      </c>
      <c r="E91" s="5">
        <v>133</v>
      </c>
    </row>
    <row r="92" spans="1:5" x14ac:dyDescent="0.2">
      <c r="A92" s="16" t="str">
        <v>successful</v>
      </c>
      <c r="B92" s="5">
        <v>135</v>
      </c>
      <c r="D92" s="17" t="str">
        <v>failed</v>
      </c>
      <c r="E92" s="5">
        <v>2062</v>
      </c>
    </row>
    <row r="93" spans="1:5" x14ac:dyDescent="0.2">
      <c r="A93" s="16" t="str">
        <v>successful</v>
      </c>
      <c r="B93" s="5">
        <v>768</v>
      </c>
      <c r="D93" s="17" t="str">
        <v>failed</v>
      </c>
      <c r="E93" s="5">
        <v>29</v>
      </c>
    </row>
    <row r="94" spans="1:5" x14ac:dyDescent="0.2">
      <c r="A94" s="16" t="str">
        <v>successful</v>
      </c>
      <c r="B94" s="5">
        <v>199</v>
      </c>
      <c r="D94" s="17" t="str">
        <v>failed</v>
      </c>
      <c r="E94" s="5">
        <v>132</v>
      </c>
    </row>
    <row r="95" spans="1:5" x14ac:dyDescent="0.2">
      <c r="A95" s="16" t="str">
        <v>successful</v>
      </c>
      <c r="B95" s="5">
        <v>107</v>
      </c>
      <c r="D95" s="17" t="str">
        <v>failed</v>
      </c>
      <c r="E95" s="5">
        <v>137</v>
      </c>
    </row>
    <row r="96" spans="1:5" x14ac:dyDescent="0.2">
      <c r="A96" s="16" t="str">
        <v>successful</v>
      </c>
      <c r="B96" s="5">
        <v>195</v>
      </c>
      <c r="D96" s="17" t="str">
        <v>failed</v>
      </c>
      <c r="E96" s="5">
        <v>908</v>
      </c>
    </row>
    <row r="97" spans="1:5" x14ac:dyDescent="0.2">
      <c r="A97" s="16" t="str">
        <v>successful</v>
      </c>
      <c r="B97" s="5">
        <v>3376</v>
      </c>
      <c r="D97" s="17" t="str">
        <v>failed</v>
      </c>
      <c r="E97" s="5">
        <v>10</v>
      </c>
    </row>
    <row r="98" spans="1:5" x14ac:dyDescent="0.2">
      <c r="A98" s="16" t="str">
        <v>successful</v>
      </c>
      <c r="B98" s="5">
        <v>41</v>
      </c>
      <c r="D98" s="17" t="str">
        <v>failed</v>
      </c>
      <c r="E98" s="5">
        <v>1910</v>
      </c>
    </row>
    <row r="99" spans="1:5" x14ac:dyDescent="0.2">
      <c r="A99" s="16" t="str">
        <v>successful</v>
      </c>
      <c r="B99" s="5">
        <v>1821</v>
      </c>
      <c r="D99" s="17" t="str">
        <v>failed</v>
      </c>
      <c r="E99" s="5">
        <v>38</v>
      </c>
    </row>
    <row r="100" spans="1:5" x14ac:dyDescent="0.2">
      <c r="A100" s="16" t="str">
        <v>successful</v>
      </c>
      <c r="B100" s="5">
        <v>164</v>
      </c>
      <c r="D100" s="17" t="str">
        <v>failed</v>
      </c>
      <c r="E100" s="5">
        <v>104</v>
      </c>
    </row>
    <row r="101" spans="1:5" x14ac:dyDescent="0.2">
      <c r="A101" s="16" t="str">
        <v>successful</v>
      </c>
      <c r="B101" s="5">
        <v>157</v>
      </c>
      <c r="D101" s="17" t="str">
        <v>failed</v>
      </c>
      <c r="E101" s="5">
        <v>49</v>
      </c>
    </row>
    <row r="102" spans="1:5" x14ac:dyDescent="0.2">
      <c r="A102" s="16" t="str">
        <v>successful</v>
      </c>
      <c r="B102" s="5">
        <v>246</v>
      </c>
      <c r="D102" s="17" t="str">
        <v>failed</v>
      </c>
      <c r="E102" s="5">
        <v>1</v>
      </c>
    </row>
    <row r="103" spans="1:5" x14ac:dyDescent="0.2">
      <c r="A103" s="16" t="str">
        <v>successful</v>
      </c>
      <c r="B103" s="5">
        <v>1396</v>
      </c>
      <c r="D103" s="17" t="str">
        <v>failed</v>
      </c>
      <c r="E103" s="5">
        <v>245</v>
      </c>
    </row>
    <row r="104" spans="1:5" x14ac:dyDescent="0.2">
      <c r="A104" s="16" t="str">
        <v>successful</v>
      </c>
      <c r="B104" s="5">
        <v>2506</v>
      </c>
      <c r="D104" s="17" t="str">
        <v>failed</v>
      </c>
      <c r="E104" s="5">
        <v>32</v>
      </c>
    </row>
    <row r="105" spans="1:5" x14ac:dyDescent="0.2">
      <c r="A105" s="16" t="str">
        <v>successful</v>
      </c>
      <c r="B105" s="5">
        <v>244</v>
      </c>
      <c r="D105" s="17" t="str">
        <v>failed</v>
      </c>
      <c r="E105" s="5">
        <v>7</v>
      </c>
    </row>
    <row r="106" spans="1:5" x14ac:dyDescent="0.2">
      <c r="A106" s="16" t="str">
        <v>successful</v>
      </c>
      <c r="B106" s="5">
        <v>146</v>
      </c>
      <c r="D106" s="17" t="str">
        <v>failed</v>
      </c>
      <c r="E106" s="5">
        <v>803</v>
      </c>
    </row>
    <row r="107" spans="1:5" x14ac:dyDescent="0.2">
      <c r="A107" s="16" t="str">
        <v>successful</v>
      </c>
      <c r="B107" s="5">
        <v>1267</v>
      </c>
      <c r="D107" s="17" t="str">
        <v>failed</v>
      </c>
      <c r="E107" s="5">
        <v>16</v>
      </c>
    </row>
    <row r="108" spans="1:5" x14ac:dyDescent="0.2">
      <c r="A108" s="16" t="str">
        <v>successful</v>
      </c>
      <c r="B108" s="5">
        <v>1561</v>
      </c>
      <c r="D108" s="17" t="str">
        <v>failed</v>
      </c>
      <c r="E108" s="5">
        <v>31</v>
      </c>
    </row>
    <row r="109" spans="1:5" x14ac:dyDescent="0.2">
      <c r="A109" s="16" t="str">
        <v>successful</v>
      </c>
      <c r="B109" s="5">
        <v>48</v>
      </c>
      <c r="D109" s="17" t="str">
        <v>failed</v>
      </c>
      <c r="E109" s="5">
        <v>108</v>
      </c>
    </row>
    <row r="110" spans="1:5" x14ac:dyDescent="0.2">
      <c r="A110" s="16" t="str">
        <v>successful</v>
      </c>
      <c r="B110" s="5">
        <v>2739</v>
      </c>
      <c r="D110" s="17" t="str">
        <v>failed</v>
      </c>
      <c r="E110" s="5">
        <v>30</v>
      </c>
    </row>
    <row r="111" spans="1:5" x14ac:dyDescent="0.2">
      <c r="A111" s="16" t="str">
        <v>successful</v>
      </c>
      <c r="B111" s="5">
        <v>3537</v>
      </c>
      <c r="D111" s="17" t="str">
        <v>failed</v>
      </c>
      <c r="E111" s="5">
        <v>17</v>
      </c>
    </row>
    <row r="112" spans="1:5" x14ac:dyDescent="0.2">
      <c r="A112" s="16" t="str">
        <v>successful</v>
      </c>
      <c r="B112" s="5">
        <v>2107</v>
      </c>
      <c r="D112" s="17" t="str">
        <v>failed</v>
      </c>
      <c r="E112" s="5">
        <v>80</v>
      </c>
    </row>
    <row r="113" spans="1:5" x14ac:dyDescent="0.2">
      <c r="A113" s="16" t="str">
        <v>successful</v>
      </c>
      <c r="B113" s="5">
        <v>3318</v>
      </c>
      <c r="D113" s="17" t="str">
        <v>failed</v>
      </c>
      <c r="E113" s="5">
        <v>2468</v>
      </c>
    </row>
    <row r="114" spans="1:5" x14ac:dyDescent="0.2">
      <c r="A114" s="16" t="str">
        <v>successful</v>
      </c>
      <c r="B114" s="5">
        <v>340</v>
      </c>
      <c r="D114" s="17" t="str">
        <v>failed</v>
      </c>
      <c r="E114" s="5">
        <v>26</v>
      </c>
    </row>
    <row r="115" spans="1:5" x14ac:dyDescent="0.2">
      <c r="A115" s="16" t="str">
        <v>successful</v>
      </c>
      <c r="B115" s="5">
        <v>1442</v>
      </c>
      <c r="D115" s="17" t="str">
        <v>failed</v>
      </c>
      <c r="E115" s="5">
        <v>73</v>
      </c>
    </row>
    <row r="116" spans="1:5" x14ac:dyDescent="0.2">
      <c r="A116" s="16" t="str">
        <v>successful</v>
      </c>
      <c r="B116" s="5">
        <v>126</v>
      </c>
      <c r="D116" s="17" t="str">
        <v>failed</v>
      </c>
      <c r="E116" s="5">
        <v>128</v>
      </c>
    </row>
    <row r="117" spans="1:5" x14ac:dyDescent="0.2">
      <c r="A117" s="16" t="str">
        <v>successful</v>
      </c>
      <c r="B117" s="5">
        <v>524</v>
      </c>
      <c r="D117" s="17" t="str">
        <v>failed</v>
      </c>
      <c r="E117" s="5">
        <v>33</v>
      </c>
    </row>
    <row r="118" spans="1:5" x14ac:dyDescent="0.2">
      <c r="A118" s="16" t="str">
        <v>successful</v>
      </c>
      <c r="B118" s="5">
        <v>1989</v>
      </c>
      <c r="D118" s="17" t="str">
        <v>failed</v>
      </c>
      <c r="E118" s="5">
        <v>1072</v>
      </c>
    </row>
    <row r="119" spans="1:5" x14ac:dyDescent="0.2">
      <c r="A119" s="16" t="str">
        <v>successful</v>
      </c>
      <c r="B119" s="5">
        <v>157</v>
      </c>
      <c r="D119" s="17" t="str">
        <v>failed</v>
      </c>
      <c r="E119" s="5">
        <v>393</v>
      </c>
    </row>
    <row r="120" spans="1:5" x14ac:dyDescent="0.2">
      <c r="A120" s="16" t="str">
        <v>successful</v>
      </c>
      <c r="B120" s="5">
        <v>4498</v>
      </c>
      <c r="D120" s="17" t="str">
        <v>failed</v>
      </c>
      <c r="E120" s="5">
        <v>1257</v>
      </c>
    </row>
    <row r="121" spans="1:5" x14ac:dyDescent="0.2">
      <c r="A121" s="16" t="str">
        <v>successful</v>
      </c>
      <c r="B121" s="5">
        <v>80</v>
      </c>
      <c r="D121" s="17" t="str">
        <v>failed</v>
      </c>
      <c r="E121" s="5">
        <v>328</v>
      </c>
    </row>
    <row r="122" spans="1:5" x14ac:dyDescent="0.2">
      <c r="A122" s="16" t="str">
        <v>successful</v>
      </c>
      <c r="B122" s="5">
        <v>43</v>
      </c>
      <c r="D122" s="17" t="str">
        <v>failed</v>
      </c>
      <c r="E122" s="5">
        <v>147</v>
      </c>
    </row>
    <row r="123" spans="1:5" x14ac:dyDescent="0.2">
      <c r="A123" s="16" t="str">
        <v>successful</v>
      </c>
      <c r="B123" s="5">
        <v>2053</v>
      </c>
      <c r="D123" s="17" t="str">
        <v>failed</v>
      </c>
      <c r="E123" s="5">
        <v>830</v>
      </c>
    </row>
    <row r="124" spans="1:5" x14ac:dyDescent="0.2">
      <c r="A124" s="16" t="str">
        <v>successful</v>
      </c>
      <c r="B124" s="5">
        <v>168</v>
      </c>
      <c r="D124" s="17" t="str">
        <v>failed</v>
      </c>
      <c r="E124" s="5">
        <v>331</v>
      </c>
    </row>
    <row r="125" spans="1:5" x14ac:dyDescent="0.2">
      <c r="A125" s="16" t="str">
        <v>successful</v>
      </c>
      <c r="B125" s="5">
        <v>4289</v>
      </c>
      <c r="D125" s="17" t="str">
        <v>failed</v>
      </c>
      <c r="E125" s="5">
        <v>25</v>
      </c>
    </row>
    <row r="126" spans="1:5" x14ac:dyDescent="0.2">
      <c r="A126" s="16" t="str">
        <v>successful</v>
      </c>
      <c r="B126" s="5">
        <v>165</v>
      </c>
      <c r="D126" s="17" t="str">
        <v>failed</v>
      </c>
      <c r="E126" s="5">
        <v>3483</v>
      </c>
    </row>
    <row r="127" spans="1:5" x14ac:dyDescent="0.2">
      <c r="A127" s="16" t="str">
        <v>successful</v>
      </c>
      <c r="B127" s="5">
        <v>1815</v>
      </c>
      <c r="D127" s="17" t="str">
        <v>failed</v>
      </c>
      <c r="E127" s="5">
        <v>923</v>
      </c>
    </row>
    <row r="128" spans="1:5" x14ac:dyDescent="0.2">
      <c r="A128" s="16" t="str">
        <v>successful</v>
      </c>
      <c r="B128" s="5">
        <v>397</v>
      </c>
      <c r="D128" s="17" t="str">
        <v>failed</v>
      </c>
      <c r="E128" s="5">
        <v>1</v>
      </c>
    </row>
    <row r="129" spans="1:5" x14ac:dyDescent="0.2">
      <c r="A129" s="16" t="str">
        <v>successful</v>
      </c>
      <c r="B129" s="5">
        <v>1539</v>
      </c>
      <c r="D129" s="17" t="str">
        <v>failed</v>
      </c>
      <c r="E129" s="5">
        <v>33</v>
      </c>
    </row>
    <row r="130" spans="1:5" x14ac:dyDescent="0.2">
      <c r="A130" s="16" t="str">
        <v>successful</v>
      </c>
      <c r="B130" s="5">
        <v>138</v>
      </c>
      <c r="D130" s="17" t="str">
        <v>failed</v>
      </c>
      <c r="E130" s="5">
        <v>40</v>
      </c>
    </row>
    <row r="131" spans="1:5" x14ac:dyDescent="0.2">
      <c r="A131" s="16" t="str">
        <v>successful</v>
      </c>
      <c r="B131" s="5">
        <v>3594</v>
      </c>
      <c r="D131" s="17" t="str">
        <v>failed</v>
      </c>
      <c r="E131" s="5">
        <v>23</v>
      </c>
    </row>
    <row r="132" spans="1:5" x14ac:dyDescent="0.2">
      <c r="A132" s="16" t="str">
        <v>successful</v>
      </c>
      <c r="B132" s="5">
        <v>5880</v>
      </c>
      <c r="D132" s="17" t="str">
        <v>failed</v>
      </c>
      <c r="E132" s="5">
        <v>75</v>
      </c>
    </row>
    <row r="133" spans="1:5" x14ac:dyDescent="0.2">
      <c r="A133" s="16" t="str">
        <v>successful</v>
      </c>
      <c r="B133" s="5">
        <v>112</v>
      </c>
      <c r="D133" s="17" t="str">
        <v>failed</v>
      </c>
      <c r="E133" s="5">
        <v>2176</v>
      </c>
    </row>
    <row r="134" spans="1:5" x14ac:dyDescent="0.2">
      <c r="A134" s="16" t="str">
        <v>successful</v>
      </c>
      <c r="B134" s="5">
        <v>943</v>
      </c>
      <c r="D134" s="17" t="str">
        <v>failed</v>
      </c>
      <c r="E134" s="5">
        <v>441</v>
      </c>
    </row>
    <row r="135" spans="1:5" x14ac:dyDescent="0.2">
      <c r="A135" s="16" t="str">
        <v>successful</v>
      </c>
      <c r="B135" s="5">
        <v>2468</v>
      </c>
      <c r="D135" s="17" t="str">
        <v>failed</v>
      </c>
      <c r="E135" s="5">
        <v>25</v>
      </c>
    </row>
    <row r="136" spans="1:5" x14ac:dyDescent="0.2">
      <c r="A136" s="16" t="str">
        <v>successful</v>
      </c>
      <c r="B136" s="5">
        <v>2551</v>
      </c>
      <c r="D136" s="17" t="str">
        <v>failed</v>
      </c>
      <c r="E136" s="5">
        <v>127</v>
      </c>
    </row>
    <row r="137" spans="1:5" x14ac:dyDescent="0.2">
      <c r="A137" s="16" t="str">
        <v>successful</v>
      </c>
      <c r="B137" s="5">
        <v>101</v>
      </c>
      <c r="D137" s="17" t="str">
        <v>failed</v>
      </c>
      <c r="E137" s="5">
        <v>355</v>
      </c>
    </row>
    <row r="138" spans="1:5" x14ac:dyDescent="0.2">
      <c r="A138" s="16" t="str">
        <v>successful</v>
      </c>
      <c r="B138" s="5">
        <v>92</v>
      </c>
      <c r="D138" s="17" t="str">
        <v>failed</v>
      </c>
      <c r="E138" s="5">
        <v>44</v>
      </c>
    </row>
    <row r="139" spans="1:5" x14ac:dyDescent="0.2">
      <c r="A139" s="16" t="str">
        <v>successful</v>
      </c>
      <c r="B139" s="5">
        <v>62</v>
      </c>
      <c r="D139" s="17" t="str">
        <v>failed</v>
      </c>
      <c r="E139" s="5">
        <v>67</v>
      </c>
    </row>
    <row r="140" spans="1:5" x14ac:dyDescent="0.2">
      <c r="A140" s="16" t="str">
        <v>successful</v>
      </c>
      <c r="B140" s="5">
        <v>149</v>
      </c>
      <c r="D140" s="17" t="str">
        <v>failed</v>
      </c>
      <c r="E140" s="5">
        <v>1068</v>
      </c>
    </row>
    <row r="141" spans="1:5" x14ac:dyDescent="0.2">
      <c r="A141" s="16" t="str">
        <v>successful</v>
      </c>
      <c r="B141" s="5">
        <v>329</v>
      </c>
      <c r="D141" s="17" t="str">
        <v>failed</v>
      </c>
      <c r="E141" s="5">
        <v>424</v>
      </c>
    </row>
    <row r="142" spans="1:5" x14ac:dyDescent="0.2">
      <c r="A142" s="16" t="str">
        <v>successful</v>
      </c>
      <c r="B142" s="5">
        <v>97</v>
      </c>
      <c r="D142" s="17" t="str">
        <v>failed</v>
      </c>
      <c r="E142" s="5">
        <v>151</v>
      </c>
    </row>
    <row r="143" spans="1:5" x14ac:dyDescent="0.2">
      <c r="A143" s="16" t="str">
        <v>successful</v>
      </c>
      <c r="B143" s="5">
        <v>1784</v>
      </c>
      <c r="D143" s="17" t="str">
        <v>failed</v>
      </c>
      <c r="E143" s="5">
        <v>1608</v>
      </c>
    </row>
    <row r="144" spans="1:5" x14ac:dyDescent="0.2">
      <c r="A144" s="16" t="str">
        <v>successful</v>
      </c>
      <c r="B144" s="5">
        <v>1684</v>
      </c>
      <c r="D144" s="17" t="str">
        <v>failed</v>
      </c>
      <c r="E144" s="5">
        <v>941</v>
      </c>
    </row>
    <row r="145" spans="1:5" x14ac:dyDescent="0.2">
      <c r="A145" s="16" t="str">
        <v>successful</v>
      </c>
      <c r="B145" s="5">
        <v>250</v>
      </c>
      <c r="D145" s="17" t="str">
        <v>failed</v>
      </c>
      <c r="E145" s="5">
        <v>1</v>
      </c>
    </row>
    <row r="146" spans="1:5" x14ac:dyDescent="0.2">
      <c r="A146" s="16" t="str">
        <v>successful</v>
      </c>
      <c r="B146" s="5">
        <v>238</v>
      </c>
      <c r="D146" s="17" t="str">
        <v>failed</v>
      </c>
      <c r="E146" s="5">
        <v>40</v>
      </c>
    </row>
    <row r="147" spans="1:5" x14ac:dyDescent="0.2">
      <c r="A147" s="16" t="str">
        <v>successful</v>
      </c>
      <c r="B147" s="5">
        <v>53</v>
      </c>
      <c r="D147" s="17" t="str">
        <v>failed</v>
      </c>
      <c r="E147" s="5">
        <v>3015</v>
      </c>
    </row>
    <row r="148" spans="1:5" x14ac:dyDescent="0.2">
      <c r="A148" s="16" t="str">
        <v>successful</v>
      </c>
      <c r="B148" s="5">
        <v>214</v>
      </c>
      <c r="D148" s="17" t="str">
        <v>failed</v>
      </c>
      <c r="E148" s="5">
        <v>435</v>
      </c>
    </row>
    <row r="149" spans="1:5" x14ac:dyDescent="0.2">
      <c r="A149" s="16" t="str">
        <v>successful</v>
      </c>
      <c r="B149" s="5">
        <v>222</v>
      </c>
      <c r="D149" s="17" t="str">
        <v>failed</v>
      </c>
      <c r="E149" s="5">
        <v>714</v>
      </c>
    </row>
    <row r="150" spans="1:5" x14ac:dyDescent="0.2">
      <c r="A150" s="16" t="str">
        <v>successful</v>
      </c>
      <c r="B150" s="5">
        <v>1884</v>
      </c>
      <c r="D150" s="17" t="str">
        <v>failed</v>
      </c>
      <c r="E150" s="5">
        <v>5497</v>
      </c>
    </row>
    <row r="151" spans="1:5" x14ac:dyDescent="0.2">
      <c r="A151" s="16" t="str">
        <v>successful</v>
      </c>
      <c r="B151" s="5">
        <v>218</v>
      </c>
      <c r="D151" s="17" t="str">
        <v>failed</v>
      </c>
      <c r="E151" s="5">
        <v>418</v>
      </c>
    </row>
    <row r="152" spans="1:5" x14ac:dyDescent="0.2">
      <c r="A152" s="16" t="str">
        <v>successful</v>
      </c>
      <c r="B152" s="5">
        <v>6465</v>
      </c>
      <c r="D152" s="17" t="str">
        <v>failed</v>
      </c>
      <c r="E152" s="5">
        <v>1439</v>
      </c>
    </row>
    <row r="153" spans="1:5" x14ac:dyDescent="0.2">
      <c r="A153" s="16" t="str">
        <v>successful</v>
      </c>
      <c r="B153" s="5">
        <v>59</v>
      </c>
      <c r="D153" s="17" t="str">
        <v>failed</v>
      </c>
      <c r="E153" s="5">
        <v>15</v>
      </c>
    </row>
    <row r="154" spans="1:5" x14ac:dyDescent="0.2">
      <c r="A154" s="16" t="str">
        <v>successful</v>
      </c>
      <c r="B154" s="5">
        <v>88</v>
      </c>
      <c r="D154" s="17" t="str">
        <v>failed</v>
      </c>
      <c r="E154" s="5">
        <v>1999</v>
      </c>
    </row>
    <row r="155" spans="1:5" x14ac:dyDescent="0.2">
      <c r="A155" s="16" t="str">
        <v>successful</v>
      </c>
      <c r="B155" s="5">
        <v>1697</v>
      </c>
      <c r="D155" s="17" t="str">
        <v>failed</v>
      </c>
      <c r="E155" s="5">
        <v>118</v>
      </c>
    </row>
    <row r="156" spans="1:5" x14ac:dyDescent="0.2">
      <c r="A156" s="16" t="str">
        <v>successful</v>
      </c>
      <c r="B156" s="5">
        <v>92</v>
      </c>
      <c r="D156" s="17" t="str">
        <v>failed</v>
      </c>
      <c r="E156" s="5">
        <v>162</v>
      </c>
    </row>
    <row r="157" spans="1:5" x14ac:dyDescent="0.2">
      <c r="A157" s="16" t="str">
        <v>successful</v>
      </c>
      <c r="B157" s="5">
        <v>186</v>
      </c>
      <c r="D157" s="17" t="str">
        <v>failed</v>
      </c>
      <c r="E157" s="5">
        <v>83</v>
      </c>
    </row>
    <row r="158" spans="1:5" x14ac:dyDescent="0.2">
      <c r="A158" s="16" t="str">
        <v>successful</v>
      </c>
      <c r="B158" s="5">
        <v>138</v>
      </c>
      <c r="D158" s="17" t="str">
        <v>failed</v>
      </c>
      <c r="E158" s="5">
        <v>747</v>
      </c>
    </row>
    <row r="159" spans="1:5" x14ac:dyDescent="0.2">
      <c r="A159" s="16" t="str">
        <v>successful</v>
      </c>
      <c r="B159" s="5">
        <v>261</v>
      </c>
      <c r="D159" s="17" t="str">
        <v>failed</v>
      </c>
      <c r="E159" s="5">
        <v>84</v>
      </c>
    </row>
    <row r="160" spans="1:5" x14ac:dyDescent="0.2">
      <c r="A160" s="16" t="str">
        <v>successful</v>
      </c>
      <c r="B160" s="5">
        <v>107</v>
      </c>
      <c r="D160" s="17" t="str">
        <v>failed</v>
      </c>
      <c r="E160" s="5">
        <v>91</v>
      </c>
    </row>
    <row r="161" spans="1:5" x14ac:dyDescent="0.2">
      <c r="A161" s="16" t="str">
        <v>successful</v>
      </c>
      <c r="B161" s="5">
        <v>199</v>
      </c>
      <c r="D161" s="17" t="str">
        <v>failed</v>
      </c>
      <c r="E161" s="5">
        <v>792</v>
      </c>
    </row>
    <row r="162" spans="1:5" x14ac:dyDescent="0.2">
      <c r="A162" s="16" t="str">
        <v>successful</v>
      </c>
      <c r="B162" s="5">
        <v>5512</v>
      </c>
      <c r="D162" s="17" t="str">
        <v>failed</v>
      </c>
      <c r="E162" s="5">
        <v>32</v>
      </c>
    </row>
    <row r="163" spans="1:5" x14ac:dyDescent="0.2">
      <c r="A163" s="16" t="str">
        <v>successful</v>
      </c>
      <c r="B163" s="5">
        <v>86</v>
      </c>
      <c r="D163" s="17" t="str">
        <v>failed</v>
      </c>
      <c r="E163" s="5">
        <v>186</v>
      </c>
    </row>
    <row r="164" spans="1:5" x14ac:dyDescent="0.2">
      <c r="A164" s="16" t="str">
        <v>successful</v>
      </c>
      <c r="B164" s="5">
        <v>2768</v>
      </c>
      <c r="D164" s="17" t="str">
        <v>failed</v>
      </c>
      <c r="E164" s="5">
        <v>605</v>
      </c>
    </row>
    <row r="165" spans="1:5" x14ac:dyDescent="0.2">
      <c r="A165" s="16" t="str">
        <v>successful</v>
      </c>
      <c r="B165" s="5">
        <v>48</v>
      </c>
      <c r="D165" s="17" t="str">
        <v>failed</v>
      </c>
      <c r="E165" s="5">
        <v>1</v>
      </c>
    </row>
    <row r="166" spans="1:5" x14ac:dyDescent="0.2">
      <c r="A166" s="16" t="str">
        <v>successful</v>
      </c>
      <c r="B166" s="5">
        <v>87</v>
      </c>
      <c r="D166" s="17" t="str">
        <v>failed</v>
      </c>
      <c r="E166" s="5">
        <v>31</v>
      </c>
    </row>
    <row r="167" spans="1:5" x14ac:dyDescent="0.2">
      <c r="A167" s="16" t="str">
        <v>successful</v>
      </c>
      <c r="B167" s="5">
        <v>1894</v>
      </c>
      <c r="D167" s="17" t="str">
        <v>failed</v>
      </c>
      <c r="E167" s="5">
        <v>1181</v>
      </c>
    </row>
    <row r="168" spans="1:5" x14ac:dyDescent="0.2">
      <c r="A168" s="16" t="str">
        <v>successful</v>
      </c>
      <c r="B168" s="5">
        <v>282</v>
      </c>
      <c r="D168" s="17" t="str">
        <v>failed</v>
      </c>
      <c r="E168" s="5">
        <v>39</v>
      </c>
    </row>
    <row r="169" spans="1:5" x14ac:dyDescent="0.2">
      <c r="A169" s="16" t="str">
        <v>successful</v>
      </c>
      <c r="B169" s="5">
        <v>116</v>
      </c>
      <c r="D169" s="17" t="str">
        <v>failed</v>
      </c>
      <c r="E169" s="5">
        <v>46</v>
      </c>
    </row>
    <row r="170" spans="1:5" x14ac:dyDescent="0.2">
      <c r="A170" s="16" t="str">
        <v>successful</v>
      </c>
      <c r="B170" s="5">
        <v>83</v>
      </c>
      <c r="D170" s="17" t="str">
        <v>failed</v>
      </c>
      <c r="E170" s="5">
        <v>105</v>
      </c>
    </row>
    <row r="171" spans="1:5" x14ac:dyDescent="0.2">
      <c r="A171" s="16" t="str">
        <v>successful</v>
      </c>
      <c r="B171" s="5">
        <v>91</v>
      </c>
      <c r="D171" s="17" t="str">
        <v>failed</v>
      </c>
      <c r="E171" s="5">
        <v>535</v>
      </c>
    </row>
    <row r="172" spans="1:5" x14ac:dyDescent="0.2">
      <c r="A172" s="16" t="str">
        <v>successful</v>
      </c>
      <c r="B172" s="5">
        <v>546</v>
      </c>
      <c r="D172" s="17" t="str">
        <v>failed</v>
      </c>
      <c r="E172" s="5">
        <v>16</v>
      </c>
    </row>
    <row r="173" spans="1:5" x14ac:dyDescent="0.2">
      <c r="A173" s="16" t="str">
        <v>successful</v>
      </c>
      <c r="B173" s="5">
        <v>393</v>
      </c>
      <c r="D173" s="17" t="str">
        <v>failed</v>
      </c>
      <c r="E173" s="5">
        <v>575</v>
      </c>
    </row>
    <row r="174" spans="1:5" x14ac:dyDescent="0.2">
      <c r="A174" s="16" t="str">
        <v>successful</v>
      </c>
      <c r="B174" s="5">
        <v>133</v>
      </c>
      <c r="D174" s="17" t="str">
        <v>failed</v>
      </c>
      <c r="E174" s="5">
        <v>1120</v>
      </c>
    </row>
    <row r="175" spans="1:5" x14ac:dyDescent="0.2">
      <c r="A175" s="16" t="str">
        <v>successful</v>
      </c>
      <c r="B175" s="5">
        <v>254</v>
      </c>
      <c r="D175" s="17" t="str">
        <v>failed</v>
      </c>
      <c r="E175" s="5">
        <v>113</v>
      </c>
    </row>
    <row r="176" spans="1:5" x14ac:dyDescent="0.2">
      <c r="A176" s="16" t="str">
        <v>successful</v>
      </c>
      <c r="B176" s="5">
        <v>176</v>
      </c>
      <c r="D176" s="17" t="str">
        <v>failed</v>
      </c>
      <c r="E176" s="5">
        <v>1538</v>
      </c>
    </row>
    <row r="177" spans="1:5" x14ac:dyDescent="0.2">
      <c r="A177" s="16" t="str">
        <v>successful</v>
      </c>
      <c r="B177" s="5">
        <v>337</v>
      </c>
      <c r="D177" s="17" t="str">
        <v>failed</v>
      </c>
      <c r="E177" s="5">
        <v>9</v>
      </c>
    </row>
    <row r="178" spans="1:5" x14ac:dyDescent="0.2">
      <c r="A178" s="16" t="str">
        <v>successful</v>
      </c>
      <c r="B178" s="5">
        <v>107</v>
      </c>
      <c r="D178" s="17" t="str">
        <v>failed</v>
      </c>
      <c r="E178" s="5">
        <v>554</v>
      </c>
    </row>
    <row r="179" spans="1:5" x14ac:dyDescent="0.2">
      <c r="A179" s="16" t="str">
        <v>successful</v>
      </c>
      <c r="B179" s="5">
        <v>183</v>
      </c>
      <c r="D179" s="17" t="str">
        <v>failed</v>
      </c>
      <c r="E179" s="5">
        <v>648</v>
      </c>
    </row>
    <row r="180" spans="1:5" x14ac:dyDescent="0.2">
      <c r="A180" s="16" t="str">
        <v>successful</v>
      </c>
      <c r="B180" s="5">
        <v>72</v>
      </c>
      <c r="D180" s="17" t="str">
        <v>failed</v>
      </c>
      <c r="E180" s="5">
        <v>21</v>
      </c>
    </row>
    <row r="181" spans="1:5" x14ac:dyDescent="0.2">
      <c r="A181" s="16" t="str">
        <v>successful</v>
      </c>
      <c r="B181" s="5">
        <v>295</v>
      </c>
      <c r="D181" s="17" t="str">
        <v>failed</v>
      </c>
      <c r="E181" s="5">
        <v>54</v>
      </c>
    </row>
    <row r="182" spans="1:5" x14ac:dyDescent="0.2">
      <c r="A182" s="16" t="str">
        <v>successful</v>
      </c>
      <c r="B182" s="5">
        <v>142</v>
      </c>
      <c r="D182" s="17" t="str">
        <v>failed</v>
      </c>
      <c r="E182" s="5">
        <v>120</v>
      </c>
    </row>
    <row r="183" spans="1:5" x14ac:dyDescent="0.2">
      <c r="A183" s="16" t="str">
        <v>successful</v>
      </c>
      <c r="B183" s="5">
        <v>85</v>
      </c>
      <c r="D183" s="17" t="str">
        <v>failed</v>
      </c>
      <c r="E183" s="5">
        <v>579</v>
      </c>
    </row>
    <row r="184" spans="1:5" x14ac:dyDescent="0.2">
      <c r="A184" s="16" t="str">
        <v>successful</v>
      </c>
      <c r="B184" s="5">
        <v>659</v>
      </c>
      <c r="D184" s="17" t="str">
        <v>failed</v>
      </c>
      <c r="E184" s="5">
        <v>2072</v>
      </c>
    </row>
    <row r="185" spans="1:5" x14ac:dyDescent="0.2">
      <c r="A185" s="16" t="str">
        <v>successful</v>
      </c>
      <c r="B185" s="5">
        <v>121</v>
      </c>
      <c r="D185" s="17" t="str">
        <v>failed</v>
      </c>
      <c r="E185" s="5">
        <v>0</v>
      </c>
    </row>
    <row r="186" spans="1:5" x14ac:dyDescent="0.2">
      <c r="A186" s="16" t="str">
        <v>successful</v>
      </c>
      <c r="B186" s="5">
        <v>3742</v>
      </c>
      <c r="D186" s="17" t="str">
        <v>failed</v>
      </c>
      <c r="E186" s="5">
        <v>1796</v>
      </c>
    </row>
    <row r="187" spans="1:5" x14ac:dyDescent="0.2">
      <c r="A187" s="16" t="str">
        <v>successful</v>
      </c>
      <c r="B187" s="5">
        <v>223</v>
      </c>
      <c r="D187" s="17" t="str">
        <v>failed</v>
      </c>
      <c r="E187" s="5">
        <v>62</v>
      </c>
    </row>
    <row r="188" spans="1:5" x14ac:dyDescent="0.2">
      <c r="A188" s="16" t="str">
        <v>successful</v>
      </c>
      <c r="B188" s="5">
        <v>133</v>
      </c>
      <c r="D188" s="17" t="str">
        <v>failed</v>
      </c>
      <c r="E188" s="5">
        <v>347</v>
      </c>
    </row>
    <row r="189" spans="1:5" x14ac:dyDescent="0.2">
      <c r="A189" s="16" t="str">
        <v>successful</v>
      </c>
      <c r="B189" s="5">
        <v>5168</v>
      </c>
      <c r="D189" s="17" t="str">
        <v>failed</v>
      </c>
      <c r="E189" s="5">
        <v>19</v>
      </c>
    </row>
    <row r="190" spans="1:5" x14ac:dyDescent="0.2">
      <c r="A190" s="16" t="str">
        <v>successful</v>
      </c>
      <c r="B190" s="5">
        <v>307</v>
      </c>
      <c r="D190" s="17" t="str">
        <v>failed</v>
      </c>
      <c r="E190" s="5">
        <v>1258</v>
      </c>
    </row>
    <row r="191" spans="1:5" x14ac:dyDescent="0.2">
      <c r="A191" s="16" t="str">
        <v>successful</v>
      </c>
      <c r="B191" s="5">
        <v>2441</v>
      </c>
      <c r="D191" s="17" t="str">
        <v>failed</v>
      </c>
      <c r="E191" s="5">
        <v>362</v>
      </c>
    </row>
    <row r="192" spans="1:5" x14ac:dyDescent="0.2">
      <c r="A192" s="16" t="str">
        <v>successful</v>
      </c>
      <c r="B192" s="5">
        <v>1385</v>
      </c>
      <c r="D192" s="17" t="str">
        <v>failed</v>
      </c>
      <c r="E192" s="5">
        <v>133</v>
      </c>
    </row>
    <row r="193" spans="1:5" x14ac:dyDescent="0.2">
      <c r="A193" s="16" t="str">
        <v>successful</v>
      </c>
      <c r="B193" s="5">
        <v>190</v>
      </c>
      <c r="D193" s="17" t="str">
        <v>failed</v>
      </c>
      <c r="E193" s="5">
        <v>846</v>
      </c>
    </row>
    <row r="194" spans="1:5" x14ac:dyDescent="0.2">
      <c r="A194" s="16" t="str">
        <v>successful</v>
      </c>
      <c r="B194" s="5">
        <v>470</v>
      </c>
      <c r="D194" s="17" t="str">
        <v>failed</v>
      </c>
      <c r="E194" s="5">
        <v>10</v>
      </c>
    </row>
    <row r="195" spans="1:5" x14ac:dyDescent="0.2">
      <c r="A195" s="16" t="str">
        <v>successful</v>
      </c>
      <c r="B195" s="5">
        <v>253</v>
      </c>
      <c r="D195" s="17" t="str">
        <v>failed</v>
      </c>
      <c r="E195" s="5">
        <v>191</v>
      </c>
    </row>
    <row r="196" spans="1:5" x14ac:dyDescent="0.2">
      <c r="A196" s="16" t="str">
        <v>successful</v>
      </c>
      <c r="B196" s="5">
        <v>1113</v>
      </c>
      <c r="D196" s="17" t="str">
        <v>failed</v>
      </c>
      <c r="E196" s="5">
        <v>1979</v>
      </c>
    </row>
    <row r="197" spans="1:5" x14ac:dyDescent="0.2">
      <c r="A197" s="16" t="str">
        <v>successful</v>
      </c>
      <c r="B197" s="5">
        <v>2283</v>
      </c>
      <c r="D197" s="17" t="str">
        <v>failed</v>
      </c>
      <c r="E197" s="5">
        <v>63</v>
      </c>
    </row>
    <row r="198" spans="1:5" x14ac:dyDescent="0.2">
      <c r="A198" s="16" t="str">
        <v>successful</v>
      </c>
      <c r="B198" s="5">
        <v>1095</v>
      </c>
      <c r="D198" s="17" t="str">
        <v>failed</v>
      </c>
      <c r="E198" s="5">
        <v>6080</v>
      </c>
    </row>
    <row r="199" spans="1:5" x14ac:dyDescent="0.2">
      <c r="A199" s="16" t="str">
        <v>successful</v>
      </c>
      <c r="B199" s="5">
        <v>1690</v>
      </c>
      <c r="D199" s="17" t="str">
        <v>failed</v>
      </c>
      <c r="E199" s="5">
        <v>80</v>
      </c>
    </row>
    <row r="200" spans="1:5" x14ac:dyDescent="0.2">
      <c r="A200" s="16" t="str">
        <v>successful</v>
      </c>
      <c r="B200" s="5">
        <v>191</v>
      </c>
      <c r="D200" s="17" t="str">
        <v>failed</v>
      </c>
      <c r="E200" s="5">
        <v>9</v>
      </c>
    </row>
    <row r="201" spans="1:5" x14ac:dyDescent="0.2">
      <c r="A201" s="16" t="str">
        <v>successful</v>
      </c>
      <c r="B201" s="5">
        <v>2013</v>
      </c>
      <c r="D201" s="17" t="str">
        <v>failed</v>
      </c>
      <c r="E201" s="5">
        <v>1784</v>
      </c>
    </row>
    <row r="202" spans="1:5" x14ac:dyDescent="0.2">
      <c r="A202" s="16" t="str">
        <v>successful</v>
      </c>
      <c r="B202" s="5">
        <v>1703</v>
      </c>
      <c r="D202" s="17" t="str">
        <v>failed</v>
      </c>
      <c r="E202" s="5">
        <v>243</v>
      </c>
    </row>
    <row r="203" spans="1:5" x14ac:dyDescent="0.2">
      <c r="A203" s="16" t="str">
        <v>successful</v>
      </c>
      <c r="B203" s="5">
        <v>80</v>
      </c>
      <c r="D203" s="17" t="str">
        <v>failed</v>
      </c>
      <c r="E203" s="5">
        <v>1296</v>
      </c>
    </row>
    <row r="204" spans="1:5" x14ac:dyDescent="0.2">
      <c r="A204" s="16" t="str">
        <v>successful</v>
      </c>
      <c r="B204" s="5">
        <v>41</v>
      </c>
      <c r="D204" s="17" t="str">
        <v>failed</v>
      </c>
      <c r="E204" s="5">
        <v>77</v>
      </c>
    </row>
    <row r="205" spans="1:5" x14ac:dyDescent="0.2">
      <c r="A205" s="16" t="str">
        <v>successful</v>
      </c>
      <c r="B205" s="5">
        <v>187</v>
      </c>
      <c r="D205" s="17" t="str">
        <v>failed</v>
      </c>
      <c r="E205" s="5">
        <v>395</v>
      </c>
    </row>
    <row r="206" spans="1:5" x14ac:dyDescent="0.2">
      <c r="A206" s="16" t="str">
        <v>successful</v>
      </c>
      <c r="B206" s="5">
        <v>2875</v>
      </c>
      <c r="D206" s="17" t="str">
        <v>failed</v>
      </c>
      <c r="E206" s="5">
        <v>49</v>
      </c>
    </row>
    <row r="207" spans="1:5" x14ac:dyDescent="0.2">
      <c r="A207" s="16" t="str">
        <v>successful</v>
      </c>
      <c r="B207" s="5">
        <v>88</v>
      </c>
      <c r="D207" s="17" t="str">
        <v>failed</v>
      </c>
      <c r="E207" s="5">
        <v>180</v>
      </c>
    </row>
    <row r="208" spans="1:5" x14ac:dyDescent="0.2">
      <c r="A208" s="16" t="str">
        <v>successful</v>
      </c>
      <c r="B208" s="5">
        <v>191</v>
      </c>
      <c r="D208" s="17" t="str">
        <v>failed</v>
      </c>
      <c r="E208" s="5">
        <v>2690</v>
      </c>
    </row>
    <row r="209" spans="1:5" x14ac:dyDescent="0.2">
      <c r="A209" s="16" t="str">
        <v>successful</v>
      </c>
      <c r="B209" s="5">
        <v>139</v>
      </c>
      <c r="D209" s="17" t="str">
        <v>failed</v>
      </c>
      <c r="E209" s="5">
        <v>2779</v>
      </c>
    </row>
    <row r="210" spans="1:5" x14ac:dyDescent="0.2">
      <c r="A210" s="16" t="str">
        <v>successful</v>
      </c>
      <c r="B210" s="5">
        <v>186</v>
      </c>
      <c r="D210" s="17" t="str">
        <v>failed</v>
      </c>
      <c r="E210" s="5">
        <v>92</v>
      </c>
    </row>
    <row r="211" spans="1:5" x14ac:dyDescent="0.2">
      <c r="A211" s="16" t="str">
        <v>successful</v>
      </c>
      <c r="B211" s="5">
        <v>112</v>
      </c>
      <c r="D211" s="17" t="str">
        <v>failed</v>
      </c>
      <c r="E211" s="5">
        <v>1028</v>
      </c>
    </row>
    <row r="212" spans="1:5" x14ac:dyDescent="0.2">
      <c r="A212" s="16" t="str">
        <v>successful</v>
      </c>
      <c r="B212" s="5">
        <v>101</v>
      </c>
      <c r="D212" s="17" t="str">
        <v>failed</v>
      </c>
      <c r="E212" s="5">
        <v>26</v>
      </c>
    </row>
    <row r="213" spans="1:5" x14ac:dyDescent="0.2">
      <c r="A213" s="16" t="str">
        <v>successful</v>
      </c>
      <c r="B213" s="5">
        <v>206</v>
      </c>
      <c r="D213" s="17" t="str">
        <v>failed</v>
      </c>
      <c r="E213" s="5">
        <v>1790</v>
      </c>
    </row>
    <row r="214" spans="1:5" x14ac:dyDescent="0.2">
      <c r="A214" s="16" t="str">
        <v>successful</v>
      </c>
      <c r="B214" s="5">
        <v>154</v>
      </c>
      <c r="D214" s="17" t="str">
        <v>failed</v>
      </c>
      <c r="E214" s="5">
        <v>37</v>
      </c>
    </row>
    <row r="215" spans="1:5" x14ac:dyDescent="0.2">
      <c r="A215" s="16" t="str">
        <v>successful</v>
      </c>
      <c r="B215" s="5">
        <v>5966</v>
      </c>
      <c r="D215" s="17" t="str">
        <v>failed</v>
      </c>
      <c r="E215" s="5">
        <v>35</v>
      </c>
    </row>
    <row r="216" spans="1:5" x14ac:dyDescent="0.2">
      <c r="A216" s="16" t="str">
        <v>successful</v>
      </c>
      <c r="B216" s="5">
        <v>169</v>
      </c>
      <c r="D216" s="17" t="str">
        <v>failed</v>
      </c>
      <c r="E216" s="5">
        <v>558</v>
      </c>
    </row>
    <row r="217" spans="1:5" x14ac:dyDescent="0.2">
      <c r="A217" s="16" t="str">
        <v>successful</v>
      </c>
      <c r="B217" s="5">
        <v>2106</v>
      </c>
      <c r="D217" s="17" t="str">
        <v>failed</v>
      </c>
      <c r="E217" s="5">
        <v>64</v>
      </c>
    </row>
    <row r="218" spans="1:5" x14ac:dyDescent="0.2">
      <c r="A218" s="16" t="str">
        <v>successful</v>
      </c>
      <c r="B218" s="5">
        <v>131</v>
      </c>
      <c r="D218" s="17" t="str">
        <v>failed</v>
      </c>
      <c r="E218" s="5">
        <v>245</v>
      </c>
    </row>
    <row r="219" spans="1:5" x14ac:dyDescent="0.2">
      <c r="A219" s="16" t="str">
        <v>successful</v>
      </c>
      <c r="B219" s="5">
        <v>84</v>
      </c>
      <c r="D219" s="17" t="str">
        <v>failed</v>
      </c>
      <c r="E219" s="5">
        <v>71</v>
      </c>
    </row>
    <row r="220" spans="1:5" x14ac:dyDescent="0.2">
      <c r="A220" s="16" t="str">
        <v>successful</v>
      </c>
      <c r="B220" s="5">
        <v>155</v>
      </c>
      <c r="D220" s="17" t="str">
        <v>failed</v>
      </c>
      <c r="E220" s="5">
        <v>42</v>
      </c>
    </row>
    <row r="221" spans="1:5" x14ac:dyDescent="0.2">
      <c r="A221" s="16" t="str">
        <v>successful</v>
      </c>
      <c r="B221" s="5">
        <v>189</v>
      </c>
      <c r="D221" s="17" t="str">
        <v>failed</v>
      </c>
      <c r="E221" s="5">
        <v>156</v>
      </c>
    </row>
    <row r="222" spans="1:5" x14ac:dyDescent="0.2">
      <c r="A222" s="16" t="str">
        <v>successful</v>
      </c>
      <c r="B222" s="5">
        <v>4799</v>
      </c>
      <c r="D222" s="17" t="str">
        <v>failed</v>
      </c>
      <c r="E222" s="5">
        <v>1368</v>
      </c>
    </row>
    <row r="223" spans="1:5" x14ac:dyDescent="0.2">
      <c r="A223" s="16" t="str">
        <v>successful</v>
      </c>
      <c r="B223" s="5">
        <v>1137</v>
      </c>
      <c r="D223" s="17" t="str">
        <v>failed</v>
      </c>
      <c r="E223" s="5">
        <v>102</v>
      </c>
    </row>
    <row r="224" spans="1:5" x14ac:dyDescent="0.2">
      <c r="A224" s="16" t="str">
        <v>successful</v>
      </c>
      <c r="B224" s="5">
        <v>1152</v>
      </c>
      <c r="D224" s="17" t="str">
        <v>failed</v>
      </c>
      <c r="E224" s="5">
        <v>86</v>
      </c>
    </row>
    <row r="225" spans="1:5" x14ac:dyDescent="0.2">
      <c r="A225" s="16" t="str">
        <v>successful</v>
      </c>
      <c r="B225" s="5">
        <v>50</v>
      </c>
      <c r="D225" s="17" t="str">
        <v>failed</v>
      </c>
      <c r="E225" s="5">
        <v>253</v>
      </c>
    </row>
    <row r="226" spans="1:5" x14ac:dyDescent="0.2">
      <c r="A226" s="16" t="str">
        <v>successful</v>
      </c>
      <c r="B226" s="5">
        <v>3059</v>
      </c>
      <c r="D226" s="17" t="str">
        <v>failed</v>
      </c>
      <c r="E226" s="5">
        <v>157</v>
      </c>
    </row>
    <row r="227" spans="1:5" x14ac:dyDescent="0.2">
      <c r="A227" s="16" t="str">
        <v>successful</v>
      </c>
      <c r="B227" s="5">
        <v>34</v>
      </c>
      <c r="D227" s="17" t="str">
        <v>failed</v>
      </c>
      <c r="E227" s="5">
        <v>183</v>
      </c>
    </row>
    <row r="228" spans="1:5" x14ac:dyDescent="0.2">
      <c r="A228" s="16" t="str">
        <v>successful</v>
      </c>
      <c r="B228" s="5">
        <v>220</v>
      </c>
      <c r="D228" s="17" t="str">
        <v>failed</v>
      </c>
      <c r="E228" s="5">
        <v>82</v>
      </c>
    </row>
    <row r="229" spans="1:5" x14ac:dyDescent="0.2">
      <c r="A229" s="16" t="str">
        <v>successful</v>
      </c>
      <c r="B229" s="5">
        <v>1604</v>
      </c>
      <c r="D229" s="17" t="str">
        <v>failed</v>
      </c>
      <c r="E229" s="5">
        <v>1</v>
      </c>
    </row>
    <row r="230" spans="1:5" x14ac:dyDescent="0.2">
      <c r="A230" s="16" t="str">
        <v>successful</v>
      </c>
      <c r="B230" s="5">
        <v>454</v>
      </c>
      <c r="D230" s="17" t="str">
        <v>failed</v>
      </c>
      <c r="E230" s="5">
        <v>1198</v>
      </c>
    </row>
    <row r="231" spans="1:5" x14ac:dyDescent="0.2">
      <c r="A231" s="16" t="str">
        <v>successful</v>
      </c>
      <c r="B231" s="5">
        <v>123</v>
      </c>
      <c r="D231" s="17" t="str">
        <v>failed</v>
      </c>
      <c r="E231" s="5">
        <v>648</v>
      </c>
    </row>
    <row r="232" spans="1:5" x14ac:dyDescent="0.2">
      <c r="A232" s="16" t="str">
        <v>successful</v>
      </c>
      <c r="B232" s="5">
        <v>299</v>
      </c>
      <c r="D232" s="17" t="str">
        <v>failed</v>
      </c>
      <c r="E232" s="5">
        <v>64</v>
      </c>
    </row>
    <row r="233" spans="1:5" x14ac:dyDescent="0.2">
      <c r="A233" s="16" t="str">
        <v>successful</v>
      </c>
      <c r="B233" s="5">
        <v>2237</v>
      </c>
      <c r="D233" s="17" t="str">
        <v>failed</v>
      </c>
      <c r="E233" s="5">
        <v>62</v>
      </c>
    </row>
    <row r="234" spans="1:5" x14ac:dyDescent="0.2">
      <c r="A234" s="16" t="str">
        <v>successful</v>
      </c>
      <c r="B234" s="5">
        <v>645</v>
      </c>
      <c r="D234" s="17" t="str">
        <v>failed</v>
      </c>
      <c r="E234" s="5">
        <v>750</v>
      </c>
    </row>
    <row r="235" spans="1:5" x14ac:dyDescent="0.2">
      <c r="A235" s="16" t="str">
        <v>successful</v>
      </c>
      <c r="B235" s="5">
        <v>484</v>
      </c>
      <c r="D235" s="17" t="str">
        <v>failed</v>
      </c>
      <c r="E235" s="5">
        <v>105</v>
      </c>
    </row>
    <row r="236" spans="1:5" x14ac:dyDescent="0.2">
      <c r="A236" s="16" t="str">
        <v>successful</v>
      </c>
      <c r="B236" s="5">
        <v>154</v>
      </c>
      <c r="D236" s="17" t="str">
        <v>failed</v>
      </c>
      <c r="E236" s="5">
        <v>2604</v>
      </c>
    </row>
    <row r="237" spans="1:5" x14ac:dyDescent="0.2">
      <c r="A237" s="16" t="str">
        <v>successful</v>
      </c>
      <c r="B237" s="5">
        <v>82</v>
      </c>
      <c r="D237" s="17" t="str">
        <v>failed</v>
      </c>
      <c r="E237" s="5">
        <v>65</v>
      </c>
    </row>
    <row r="238" spans="1:5" x14ac:dyDescent="0.2">
      <c r="A238" s="16" t="str">
        <v>successful</v>
      </c>
      <c r="B238" s="5">
        <v>134</v>
      </c>
      <c r="D238" s="17" t="str">
        <v>failed</v>
      </c>
      <c r="E238" s="5">
        <v>94</v>
      </c>
    </row>
    <row r="239" spans="1:5" x14ac:dyDescent="0.2">
      <c r="A239" s="16" t="str">
        <v>successful</v>
      </c>
      <c r="B239" s="5">
        <v>5203</v>
      </c>
      <c r="D239" s="17" t="str">
        <v>failed</v>
      </c>
      <c r="E239" s="5">
        <v>257</v>
      </c>
    </row>
    <row r="240" spans="1:5" x14ac:dyDescent="0.2">
      <c r="A240" s="16" t="str">
        <v>successful</v>
      </c>
      <c r="B240" s="5">
        <v>94</v>
      </c>
      <c r="D240" s="17" t="str">
        <v>failed</v>
      </c>
      <c r="E240" s="5">
        <v>2928</v>
      </c>
    </row>
    <row r="241" spans="1:5" x14ac:dyDescent="0.2">
      <c r="A241" s="16" t="str">
        <v>successful</v>
      </c>
      <c r="B241" s="5">
        <v>205</v>
      </c>
      <c r="D241" s="17" t="str">
        <v>failed</v>
      </c>
      <c r="E241" s="5">
        <v>4697</v>
      </c>
    </row>
    <row r="242" spans="1:5" x14ac:dyDescent="0.2">
      <c r="A242" s="16" t="str">
        <v>successful</v>
      </c>
      <c r="B242" s="5">
        <v>92</v>
      </c>
      <c r="D242" s="17" t="str">
        <v>failed</v>
      </c>
      <c r="E242" s="5">
        <v>2915</v>
      </c>
    </row>
    <row r="243" spans="1:5" x14ac:dyDescent="0.2">
      <c r="A243" s="16" t="str">
        <v>successful</v>
      </c>
      <c r="B243" s="5">
        <v>219</v>
      </c>
      <c r="D243" s="17" t="str">
        <v>failed</v>
      </c>
      <c r="E243" s="5">
        <v>18</v>
      </c>
    </row>
    <row r="244" spans="1:5" x14ac:dyDescent="0.2">
      <c r="A244" s="16" t="str">
        <v>successful</v>
      </c>
      <c r="B244" s="5">
        <v>2526</v>
      </c>
      <c r="D244" s="17" t="str">
        <v>failed</v>
      </c>
      <c r="E244" s="5">
        <v>602</v>
      </c>
    </row>
    <row r="245" spans="1:5" x14ac:dyDescent="0.2">
      <c r="A245" s="16" t="str">
        <v>successful</v>
      </c>
      <c r="B245" s="5">
        <v>94</v>
      </c>
      <c r="D245" s="17" t="str">
        <v>failed</v>
      </c>
      <c r="E245" s="5">
        <v>1</v>
      </c>
    </row>
    <row r="246" spans="1:5" x14ac:dyDescent="0.2">
      <c r="A246" s="16" t="str">
        <v>successful</v>
      </c>
      <c r="B246" s="5">
        <v>1713</v>
      </c>
      <c r="D246" s="17" t="str">
        <v>failed</v>
      </c>
      <c r="E246" s="5">
        <v>3868</v>
      </c>
    </row>
    <row r="247" spans="1:5" x14ac:dyDescent="0.2">
      <c r="A247" s="16" t="str">
        <v>successful</v>
      </c>
      <c r="B247" s="5">
        <v>249</v>
      </c>
      <c r="D247" s="17" t="str">
        <v>failed</v>
      </c>
      <c r="E247" s="5">
        <v>504</v>
      </c>
    </row>
    <row r="248" spans="1:5" x14ac:dyDescent="0.2">
      <c r="A248" s="16" t="str">
        <v>successful</v>
      </c>
      <c r="B248" s="5">
        <v>192</v>
      </c>
      <c r="D248" s="17" t="str">
        <v>failed</v>
      </c>
      <c r="E248" s="5">
        <v>14</v>
      </c>
    </row>
    <row r="249" spans="1:5" x14ac:dyDescent="0.2">
      <c r="A249" s="16" t="str">
        <v>successful</v>
      </c>
      <c r="B249" s="5">
        <v>247</v>
      </c>
      <c r="D249" s="17" t="str">
        <v>failed</v>
      </c>
      <c r="E249" s="5">
        <v>750</v>
      </c>
    </row>
    <row r="250" spans="1:5" x14ac:dyDescent="0.2">
      <c r="A250" s="16" t="str">
        <v>successful</v>
      </c>
      <c r="B250" s="5">
        <v>2293</v>
      </c>
      <c r="D250" s="17" t="str">
        <v>failed</v>
      </c>
      <c r="E250" s="5">
        <v>77</v>
      </c>
    </row>
    <row r="251" spans="1:5" x14ac:dyDescent="0.2">
      <c r="A251" s="16" t="str">
        <v>successful</v>
      </c>
      <c r="B251" s="5">
        <v>3131</v>
      </c>
      <c r="D251" s="17" t="str">
        <v>failed</v>
      </c>
      <c r="E251" s="5">
        <v>752</v>
      </c>
    </row>
    <row r="252" spans="1:5" x14ac:dyDescent="0.2">
      <c r="A252" s="16" t="str">
        <v>successful</v>
      </c>
      <c r="B252" s="5">
        <v>143</v>
      </c>
      <c r="D252" s="17" t="str">
        <v>failed</v>
      </c>
      <c r="E252" s="5">
        <v>131</v>
      </c>
    </row>
    <row r="253" spans="1:5" x14ac:dyDescent="0.2">
      <c r="A253" s="16" t="str">
        <v>successful</v>
      </c>
      <c r="B253" s="5">
        <v>296</v>
      </c>
      <c r="D253" s="17" t="str">
        <v>failed</v>
      </c>
      <c r="E253" s="5">
        <v>87</v>
      </c>
    </row>
    <row r="254" spans="1:5" x14ac:dyDescent="0.2">
      <c r="A254" s="16" t="str">
        <v>successful</v>
      </c>
      <c r="B254" s="5">
        <v>170</v>
      </c>
      <c r="D254" s="17" t="str">
        <v>failed</v>
      </c>
      <c r="E254" s="5">
        <v>1063</v>
      </c>
    </row>
    <row r="255" spans="1:5" x14ac:dyDescent="0.2">
      <c r="A255" s="16" t="str">
        <v>successful</v>
      </c>
      <c r="B255" s="5">
        <v>86</v>
      </c>
      <c r="D255" s="17" t="str">
        <v>failed</v>
      </c>
      <c r="E255" s="5">
        <v>76</v>
      </c>
    </row>
    <row r="256" spans="1:5" x14ac:dyDescent="0.2">
      <c r="A256" s="16" t="str">
        <v>successful</v>
      </c>
      <c r="B256" s="5">
        <v>6286</v>
      </c>
      <c r="D256" s="17" t="str">
        <v>failed</v>
      </c>
      <c r="E256" s="5">
        <v>4428</v>
      </c>
    </row>
    <row r="257" spans="1:5" x14ac:dyDescent="0.2">
      <c r="A257" s="16" t="str">
        <v>successful</v>
      </c>
      <c r="B257" s="5">
        <v>3727</v>
      </c>
      <c r="D257" s="17" t="str">
        <v>failed</v>
      </c>
      <c r="E257" s="5">
        <v>58</v>
      </c>
    </row>
    <row r="258" spans="1:5" x14ac:dyDescent="0.2">
      <c r="A258" s="16" t="str">
        <v>successful</v>
      </c>
      <c r="B258" s="5">
        <v>1605</v>
      </c>
      <c r="D258" s="17" t="str">
        <v>failed</v>
      </c>
      <c r="E258" s="5">
        <v>111</v>
      </c>
    </row>
    <row r="259" spans="1:5" x14ac:dyDescent="0.2">
      <c r="A259" s="16" t="str">
        <v>successful</v>
      </c>
      <c r="B259" s="5">
        <v>2120</v>
      </c>
      <c r="D259" s="17" t="str">
        <v>failed</v>
      </c>
      <c r="E259" s="5">
        <v>2955</v>
      </c>
    </row>
    <row r="260" spans="1:5" x14ac:dyDescent="0.2">
      <c r="A260" s="16" t="str">
        <v>successful</v>
      </c>
      <c r="B260" s="5">
        <v>50</v>
      </c>
      <c r="D260" s="17" t="str">
        <v>failed</v>
      </c>
      <c r="E260" s="5">
        <v>1657</v>
      </c>
    </row>
    <row r="261" spans="1:5" x14ac:dyDescent="0.2">
      <c r="A261" s="16" t="str">
        <v>successful</v>
      </c>
      <c r="B261" s="5">
        <v>2080</v>
      </c>
      <c r="D261" s="17" t="str">
        <v>failed</v>
      </c>
      <c r="E261" s="5">
        <v>926</v>
      </c>
    </row>
    <row r="262" spans="1:5" x14ac:dyDescent="0.2">
      <c r="A262" s="16" t="str">
        <v>successful</v>
      </c>
      <c r="B262" s="5">
        <v>2105</v>
      </c>
      <c r="D262" s="17" t="str">
        <v>failed</v>
      </c>
      <c r="E262" s="5">
        <v>77</v>
      </c>
    </row>
    <row r="263" spans="1:5" x14ac:dyDescent="0.2">
      <c r="A263" s="16" t="str">
        <v>successful</v>
      </c>
      <c r="B263" s="5">
        <v>2436</v>
      </c>
      <c r="D263" s="17" t="str">
        <v>failed</v>
      </c>
      <c r="E263" s="5">
        <v>1748</v>
      </c>
    </row>
    <row r="264" spans="1:5" x14ac:dyDescent="0.2">
      <c r="A264" s="16" t="str">
        <v>successful</v>
      </c>
      <c r="B264" s="5">
        <v>80</v>
      </c>
      <c r="D264" s="17" t="str">
        <v>failed</v>
      </c>
      <c r="E264" s="5">
        <v>79</v>
      </c>
    </row>
    <row r="265" spans="1:5" x14ac:dyDescent="0.2">
      <c r="A265" s="16" t="str">
        <v>successful</v>
      </c>
      <c r="B265" s="5">
        <v>42</v>
      </c>
      <c r="D265" s="17" t="str">
        <v>failed</v>
      </c>
      <c r="E265" s="5">
        <v>889</v>
      </c>
    </row>
    <row r="266" spans="1:5" x14ac:dyDescent="0.2">
      <c r="A266" s="16" t="str">
        <v>successful</v>
      </c>
      <c r="B266" s="5">
        <v>139</v>
      </c>
      <c r="D266" s="17" t="str">
        <v>failed</v>
      </c>
      <c r="E266" s="5">
        <v>56</v>
      </c>
    </row>
    <row r="267" spans="1:5" x14ac:dyDescent="0.2">
      <c r="A267" s="16" t="str">
        <v>successful</v>
      </c>
      <c r="B267" s="5">
        <v>159</v>
      </c>
      <c r="D267" s="17" t="str">
        <v>failed</v>
      </c>
      <c r="E267" s="5">
        <v>1</v>
      </c>
    </row>
    <row r="268" spans="1:5" x14ac:dyDescent="0.2">
      <c r="A268" s="16" t="str">
        <v>successful</v>
      </c>
      <c r="B268" s="5">
        <v>381</v>
      </c>
      <c r="D268" s="17" t="str">
        <v>failed</v>
      </c>
      <c r="E268" s="5">
        <v>83</v>
      </c>
    </row>
    <row r="269" spans="1:5" x14ac:dyDescent="0.2">
      <c r="A269" s="16" t="str">
        <v>successful</v>
      </c>
      <c r="B269" s="5">
        <v>194</v>
      </c>
      <c r="D269" s="17" t="str">
        <v>failed</v>
      </c>
      <c r="E269" s="5">
        <v>2025</v>
      </c>
    </row>
    <row r="270" spans="1:5" x14ac:dyDescent="0.2">
      <c r="A270" s="16" t="str">
        <v>successful</v>
      </c>
      <c r="B270" s="5">
        <v>106</v>
      </c>
      <c r="D270" s="17" t="str">
        <v>failed</v>
      </c>
      <c r="E270" s="5">
        <v>14</v>
      </c>
    </row>
    <row r="271" spans="1:5" x14ac:dyDescent="0.2">
      <c r="A271" s="16" t="str">
        <v>successful</v>
      </c>
      <c r="B271" s="5">
        <v>142</v>
      </c>
      <c r="D271" s="17" t="str">
        <v>failed</v>
      </c>
      <c r="E271" s="5">
        <v>656</v>
      </c>
    </row>
    <row r="272" spans="1:5" x14ac:dyDescent="0.2">
      <c r="A272" s="16" t="str">
        <v>successful</v>
      </c>
      <c r="B272" s="5">
        <v>211</v>
      </c>
      <c r="D272" s="17" t="str">
        <v>failed</v>
      </c>
      <c r="E272" s="5">
        <v>1596</v>
      </c>
    </row>
    <row r="273" spans="1:5" x14ac:dyDescent="0.2">
      <c r="A273" s="16" t="str">
        <v>successful</v>
      </c>
      <c r="B273" s="5">
        <v>2756</v>
      </c>
      <c r="D273" s="17" t="str">
        <v>failed</v>
      </c>
      <c r="E273" s="5">
        <v>10</v>
      </c>
    </row>
    <row r="274" spans="1:5" x14ac:dyDescent="0.2">
      <c r="A274" s="16" t="str">
        <v>successful</v>
      </c>
      <c r="B274" s="5">
        <v>173</v>
      </c>
      <c r="D274" s="17" t="str">
        <v>failed</v>
      </c>
      <c r="E274" s="5">
        <v>1121</v>
      </c>
    </row>
    <row r="275" spans="1:5" x14ac:dyDescent="0.2">
      <c r="A275" s="16" t="str">
        <v>successful</v>
      </c>
      <c r="B275" s="5">
        <v>87</v>
      </c>
      <c r="D275" s="17" t="str">
        <v>failed</v>
      </c>
      <c r="E275" s="5">
        <v>15</v>
      </c>
    </row>
    <row r="276" spans="1:5" x14ac:dyDescent="0.2">
      <c r="A276" s="16" t="str">
        <v>successful</v>
      </c>
      <c r="B276" s="5">
        <v>1572</v>
      </c>
      <c r="D276" s="17" t="str">
        <v>failed</v>
      </c>
      <c r="E276" s="5">
        <v>191</v>
      </c>
    </row>
    <row r="277" spans="1:5" x14ac:dyDescent="0.2">
      <c r="A277" s="16" t="str">
        <v>successful</v>
      </c>
      <c r="B277" s="5">
        <v>2346</v>
      </c>
      <c r="D277" s="17" t="str">
        <v>failed</v>
      </c>
      <c r="E277" s="5">
        <v>16</v>
      </c>
    </row>
    <row r="278" spans="1:5" x14ac:dyDescent="0.2">
      <c r="A278" s="16" t="str">
        <v>successful</v>
      </c>
      <c r="B278" s="5">
        <v>115</v>
      </c>
      <c r="D278" s="17" t="str">
        <v>failed</v>
      </c>
      <c r="E278" s="5">
        <v>17</v>
      </c>
    </row>
    <row r="279" spans="1:5" x14ac:dyDescent="0.2">
      <c r="A279" s="16" t="str">
        <v>successful</v>
      </c>
      <c r="B279" s="5">
        <v>85</v>
      </c>
      <c r="D279" s="17" t="str">
        <v>failed</v>
      </c>
      <c r="E279" s="5">
        <v>34</v>
      </c>
    </row>
    <row r="280" spans="1:5" x14ac:dyDescent="0.2">
      <c r="A280" s="16" t="str">
        <v>successful</v>
      </c>
      <c r="B280" s="5">
        <v>144</v>
      </c>
      <c r="D280" s="17" t="str">
        <v>failed</v>
      </c>
      <c r="E280" s="5">
        <v>1</v>
      </c>
    </row>
    <row r="281" spans="1:5" x14ac:dyDescent="0.2">
      <c r="A281" s="16" t="str">
        <v>successful</v>
      </c>
      <c r="B281" s="5">
        <v>2443</v>
      </c>
      <c r="D281" s="17" t="str">
        <v>failed</v>
      </c>
      <c r="E281" s="5">
        <v>1274</v>
      </c>
    </row>
    <row r="282" spans="1:5" x14ac:dyDescent="0.2">
      <c r="A282" s="16" t="str">
        <v>successful</v>
      </c>
      <c r="B282" s="5">
        <v>64</v>
      </c>
      <c r="D282" s="17" t="str">
        <v>failed</v>
      </c>
      <c r="E282" s="5">
        <v>210</v>
      </c>
    </row>
    <row r="283" spans="1:5" x14ac:dyDescent="0.2">
      <c r="A283" s="16" t="str">
        <v>successful</v>
      </c>
      <c r="B283" s="5">
        <v>268</v>
      </c>
      <c r="D283" s="17" t="str">
        <v>failed</v>
      </c>
      <c r="E283" s="5">
        <v>248</v>
      </c>
    </row>
    <row r="284" spans="1:5" x14ac:dyDescent="0.2">
      <c r="A284" s="16" t="str">
        <v>successful</v>
      </c>
      <c r="B284" s="5">
        <v>195</v>
      </c>
      <c r="D284" s="17" t="str">
        <v>failed</v>
      </c>
      <c r="E284" s="5">
        <v>513</v>
      </c>
    </row>
    <row r="285" spans="1:5" x14ac:dyDescent="0.2">
      <c r="A285" s="16" t="str">
        <v>successful</v>
      </c>
      <c r="B285" s="5">
        <v>186</v>
      </c>
      <c r="D285" s="17" t="str">
        <v>failed</v>
      </c>
      <c r="E285" s="5">
        <v>3410</v>
      </c>
    </row>
    <row r="286" spans="1:5" x14ac:dyDescent="0.2">
      <c r="A286" s="16" t="str">
        <v>successful</v>
      </c>
      <c r="B286" s="5">
        <v>460</v>
      </c>
      <c r="D286" s="17" t="str">
        <v>failed</v>
      </c>
      <c r="E286" s="5">
        <v>10</v>
      </c>
    </row>
    <row r="287" spans="1:5" x14ac:dyDescent="0.2">
      <c r="A287" s="16" t="str">
        <v>successful</v>
      </c>
      <c r="B287" s="5">
        <v>2528</v>
      </c>
      <c r="D287" s="17" t="str">
        <v>failed</v>
      </c>
      <c r="E287" s="5">
        <v>2201</v>
      </c>
    </row>
    <row r="288" spans="1:5" x14ac:dyDescent="0.2">
      <c r="A288" s="16" t="str">
        <v>successful</v>
      </c>
      <c r="B288" s="5">
        <v>3657</v>
      </c>
      <c r="D288" s="17" t="str">
        <v>failed</v>
      </c>
      <c r="E288" s="5">
        <v>676</v>
      </c>
    </row>
    <row r="289" spans="1:5" x14ac:dyDescent="0.2">
      <c r="A289" s="16" t="str">
        <v>successful</v>
      </c>
      <c r="B289" s="5">
        <v>131</v>
      </c>
      <c r="D289" s="17" t="str">
        <v>failed</v>
      </c>
      <c r="E289" s="5">
        <v>831</v>
      </c>
    </row>
    <row r="290" spans="1:5" x14ac:dyDescent="0.2">
      <c r="A290" s="16" t="str">
        <v>successful</v>
      </c>
      <c r="B290" s="5">
        <v>239</v>
      </c>
      <c r="D290" s="17" t="str">
        <v>failed</v>
      </c>
      <c r="E290" s="5">
        <v>859</v>
      </c>
    </row>
    <row r="291" spans="1:5" x14ac:dyDescent="0.2">
      <c r="A291" s="16" t="str">
        <v>successful</v>
      </c>
      <c r="B291" s="5">
        <v>78</v>
      </c>
      <c r="D291" s="17" t="str">
        <v>failed</v>
      </c>
      <c r="E291" s="5">
        <v>45</v>
      </c>
    </row>
    <row r="292" spans="1:5" x14ac:dyDescent="0.2">
      <c r="A292" s="16" t="str">
        <v>successful</v>
      </c>
      <c r="B292" s="5">
        <v>1773</v>
      </c>
      <c r="D292" s="17" t="str">
        <v>failed</v>
      </c>
      <c r="E292" s="5">
        <v>6</v>
      </c>
    </row>
    <row r="293" spans="1:5" x14ac:dyDescent="0.2">
      <c r="A293" s="16" t="str">
        <v>successful</v>
      </c>
      <c r="B293" s="5">
        <v>32</v>
      </c>
      <c r="D293" s="17" t="str">
        <v>failed</v>
      </c>
      <c r="E293" s="5">
        <v>7</v>
      </c>
    </row>
    <row r="294" spans="1:5" x14ac:dyDescent="0.2">
      <c r="A294" s="16" t="str">
        <v>successful</v>
      </c>
      <c r="B294" s="5">
        <v>369</v>
      </c>
      <c r="D294" s="17" t="str">
        <v>failed</v>
      </c>
      <c r="E294" s="5">
        <v>31</v>
      </c>
    </row>
    <row r="295" spans="1:5" x14ac:dyDescent="0.2">
      <c r="A295" s="16" t="str">
        <v>successful</v>
      </c>
      <c r="B295" s="5">
        <v>89</v>
      </c>
      <c r="D295" s="17" t="str">
        <v>failed</v>
      </c>
      <c r="E295" s="5">
        <v>78</v>
      </c>
    </row>
    <row r="296" spans="1:5" x14ac:dyDescent="0.2">
      <c r="A296" s="16" t="str">
        <v>successful</v>
      </c>
      <c r="B296" s="5">
        <v>147</v>
      </c>
      <c r="D296" s="17" t="str">
        <v>failed</v>
      </c>
      <c r="E296" s="5">
        <v>1225</v>
      </c>
    </row>
    <row r="297" spans="1:5" x14ac:dyDescent="0.2">
      <c r="A297" s="16" t="str">
        <v>successful</v>
      </c>
      <c r="B297" s="5">
        <v>126</v>
      </c>
      <c r="D297" s="17" t="str">
        <v>failed</v>
      </c>
      <c r="E297" s="5">
        <v>1</v>
      </c>
    </row>
    <row r="298" spans="1:5" x14ac:dyDescent="0.2">
      <c r="A298" s="16" t="str">
        <v>successful</v>
      </c>
      <c r="B298" s="5">
        <v>2218</v>
      </c>
      <c r="D298" s="17" t="str">
        <v>failed</v>
      </c>
      <c r="E298" s="5">
        <v>67</v>
      </c>
    </row>
    <row r="299" spans="1:5" x14ac:dyDescent="0.2">
      <c r="A299" s="16" t="str">
        <v>successful</v>
      </c>
      <c r="B299" s="5">
        <v>202</v>
      </c>
      <c r="D299" s="17" t="str">
        <v>failed</v>
      </c>
      <c r="E299" s="5">
        <v>19</v>
      </c>
    </row>
    <row r="300" spans="1:5" x14ac:dyDescent="0.2">
      <c r="A300" s="16" t="str">
        <v>successful</v>
      </c>
      <c r="B300" s="5">
        <v>140</v>
      </c>
      <c r="D300" s="17" t="str">
        <v>failed</v>
      </c>
      <c r="E300" s="5">
        <v>2108</v>
      </c>
    </row>
    <row r="301" spans="1:5" x14ac:dyDescent="0.2">
      <c r="A301" s="16" t="str">
        <v>successful</v>
      </c>
      <c r="B301" s="5">
        <v>1052</v>
      </c>
      <c r="D301" s="17" t="str">
        <v>failed</v>
      </c>
      <c r="E301" s="5">
        <v>679</v>
      </c>
    </row>
    <row r="302" spans="1:5" x14ac:dyDescent="0.2">
      <c r="A302" s="16" t="str">
        <v>successful</v>
      </c>
      <c r="B302" s="5">
        <v>247</v>
      </c>
      <c r="D302" s="17" t="str">
        <v>failed</v>
      </c>
      <c r="E302" s="5">
        <v>36</v>
      </c>
    </row>
    <row r="303" spans="1:5" x14ac:dyDescent="0.2">
      <c r="A303" s="16" t="str">
        <v>successful</v>
      </c>
      <c r="B303" s="5">
        <v>84</v>
      </c>
      <c r="D303" s="17" t="str">
        <v>failed</v>
      </c>
      <c r="E303" s="5">
        <v>47</v>
      </c>
    </row>
    <row r="304" spans="1:5" x14ac:dyDescent="0.2">
      <c r="A304" s="16" t="str">
        <v>successful</v>
      </c>
      <c r="B304" s="5">
        <v>88</v>
      </c>
      <c r="D304" s="17" t="str">
        <v>failed</v>
      </c>
      <c r="E304" s="5">
        <v>70</v>
      </c>
    </row>
    <row r="305" spans="1:5" x14ac:dyDescent="0.2">
      <c r="A305" s="16" t="str">
        <v>successful</v>
      </c>
      <c r="B305" s="5">
        <v>156</v>
      </c>
      <c r="D305" s="17" t="str">
        <v>failed</v>
      </c>
      <c r="E305" s="5">
        <v>154</v>
      </c>
    </row>
    <row r="306" spans="1:5" x14ac:dyDescent="0.2">
      <c r="A306" s="16" t="str">
        <v>successful</v>
      </c>
      <c r="B306" s="5">
        <v>2985</v>
      </c>
      <c r="D306" s="17" t="str">
        <v>failed</v>
      </c>
      <c r="E306" s="5">
        <v>22</v>
      </c>
    </row>
    <row r="307" spans="1:5" x14ac:dyDescent="0.2">
      <c r="A307" s="16" t="str">
        <v>successful</v>
      </c>
      <c r="B307" s="5">
        <v>762</v>
      </c>
      <c r="D307" s="17" t="str">
        <v>failed</v>
      </c>
      <c r="E307" s="5">
        <v>1758</v>
      </c>
    </row>
    <row r="308" spans="1:5" x14ac:dyDescent="0.2">
      <c r="A308" s="16" t="str">
        <v>successful</v>
      </c>
      <c r="B308" s="5">
        <v>554</v>
      </c>
      <c r="D308" s="17" t="str">
        <v>failed</v>
      </c>
      <c r="E308" s="5">
        <v>94</v>
      </c>
    </row>
    <row r="309" spans="1:5" x14ac:dyDescent="0.2">
      <c r="A309" s="16" t="str">
        <v>successful</v>
      </c>
      <c r="B309" s="5">
        <v>135</v>
      </c>
      <c r="D309" s="17" t="str">
        <v>failed</v>
      </c>
      <c r="E309" s="5">
        <v>33</v>
      </c>
    </row>
    <row r="310" spans="1:5" x14ac:dyDescent="0.2">
      <c r="A310" s="16" t="str">
        <v>successful</v>
      </c>
      <c r="B310" s="5">
        <v>122</v>
      </c>
      <c r="D310" s="17" t="str">
        <v>failed</v>
      </c>
      <c r="E310" s="5">
        <v>1</v>
      </c>
    </row>
    <row r="311" spans="1:5" x14ac:dyDescent="0.2">
      <c r="A311" s="16" t="str">
        <v>successful</v>
      </c>
      <c r="B311" s="5">
        <v>221</v>
      </c>
      <c r="D311" s="17" t="str">
        <v>failed</v>
      </c>
      <c r="E311" s="5">
        <v>31</v>
      </c>
    </row>
    <row r="312" spans="1:5" x14ac:dyDescent="0.2">
      <c r="A312" s="16" t="str">
        <v>successful</v>
      </c>
      <c r="B312" s="5">
        <v>126</v>
      </c>
      <c r="D312" s="17" t="str">
        <v>failed</v>
      </c>
      <c r="E312" s="5">
        <v>35</v>
      </c>
    </row>
    <row r="313" spans="1:5" x14ac:dyDescent="0.2">
      <c r="A313" s="16" t="str">
        <v>successful</v>
      </c>
      <c r="B313" s="5">
        <v>1022</v>
      </c>
      <c r="D313" s="17" t="str">
        <v>failed</v>
      </c>
      <c r="E313" s="5">
        <v>63</v>
      </c>
    </row>
    <row r="314" spans="1:5" x14ac:dyDescent="0.2">
      <c r="A314" s="16" t="str">
        <v>successful</v>
      </c>
      <c r="B314" s="5">
        <v>3177</v>
      </c>
      <c r="D314" s="17" t="str">
        <v>failed</v>
      </c>
      <c r="E314" s="5">
        <v>526</v>
      </c>
    </row>
    <row r="315" spans="1:5" x14ac:dyDescent="0.2">
      <c r="A315" s="16" t="str">
        <v>successful</v>
      </c>
      <c r="B315" s="5">
        <v>198</v>
      </c>
      <c r="D315" s="17" t="str">
        <v>failed</v>
      </c>
      <c r="E315" s="5">
        <v>121</v>
      </c>
    </row>
    <row r="316" spans="1:5" x14ac:dyDescent="0.2">
      <c r="A316" s="16" t="str">
        <v>successful</v>
      </c>
      <c r="B316" s="5">
        <v>85</v>
      </c>
      <c r="D316" s="17" t="str">
        <v>failed</v>
      </c>
      <c r="E316" s="5">
        <v>67</v>
      </c>
    </row>
    <row r="317" spans="1:5" x14ac:dyDescent="0.2">
      <c r="A317" s="16" t="str">
        <v>successful</v>
      </c>
      <c r="B317" s="5">
        <v>3596</v>
      </c>
      <c r="D317" s="17" t="str">
        <v>failed</v>
      </c>
      <c r="E317" s="5">
        <v>57</v>
      </c>
    </row>
    <row r="318" spans="1:5" x14ac:dyDescent="0.2">
      <c r="A318" s="16" t="str">
        <v>successful</v>
      </c>
      <c r="B318" s="5">
        <v>244</v>
      </c>
      <c r="D318" s="17" t="str">
        <v>failed</v>
      </c>
      <c r="E318" s="5">
        <v>1229</v>
      </c>
    </row>
    <row r="319" spans="1:5" x14ac:dyDescent="0.2">
      <c r="A319" s="16" t="str">
        <v>successful</v>
      </c>
      <c r="B319" s="5">
        <v>5180</v>
      </c>
      <c r="D319" s="17" t="str">
        <v>failed</v>
      </c>
      <c r="E319" s="5">
        <v>12</v>
      </c>
    </row>
    <row r="320" spans="1:5" x14ac:dyDescent="0.2">
      <c r="A320" s="16" t="str">
        <v>successful</v>
      </c>
      <c r="B320" s="5">
        <v>589</v>
      </c>
      <c r="D320" s="17" t="str">
        <v>failed</v>
      </c>
      <c r="E320" s="5">
        <v>452</v>
      </c>
    </row>
    <row r="321" spans="1:5" x14ac:dyDescent="0.2">
      <c r="A321" s="16" t="str">
        <v>successful</v>
      </c>
      <c r="B321" s="5">
        <v>2725</v>
      </c>
      <c r="D321" s="17" t="str">
        <v>failed</v>
      </c>
      <c r="E321" s="5">
        <v>1886</v>
      </c>
    </row>
    <row r="322" spans="1:5" x14ac:dyDescent="0.2">
      <c r="A322" s="16" t="str">
        <v>successful</v>
      </c>
      <c r="B322" s="5">
        <v>300</v>
      </c>
      <c r="D322" s="17" t="str">
        <v>failed</v>
      </c>
      <c r="E322" s="5">
        <v>1825</v>
      </c>
    </row>
    <row r="323" spans="1:5" x14ac:dyDescent="0.2">
      <c r="A323" s="16" t="str">
        <v>successful</v>
      </c>
      <c r="B323" s="5">
        <v>144</v>
      </c>
      <c r="D323" s="17" t="str">
        <v>failed</v>
      </c>
      <c r="E323" s="5">
        <v>31</v>
      </c>
    </row>
    <row r="324" spans="1:5" x14ac:dyDescent="0.2">
      <c r="A324" s="16" t="str">
        <v>successful</v>
      </c>
      <c r="B324" s="5">
        <v>87</v>
      </c>
      <c r="D324" s="17" t="str">
        <v>failed</v>
      </c>
      <c r="E324" s="5">
        <v>107</v>
      </c>
    </row>
    <row r="325" spans="1:5" x14ac:dyDescent="0.2">
      <c r="A325" s="16" t="str">
        <v>successful</v>
      </c>
      <c r="B325" s="5">
        <v>3116</v>
      </c>
      <c r="D325" s="17" t="str">
        <v>failed</v>
      </c>
      <c r="E325" s="5">
        <v>27</v>
      </c>
    </row>
    <row r="326" spans="1:5" x14ac:dyDescent="0.2">
      <c r="A326" s="16" t="str">
        <v>successful</v>
      </c>
      <c r="B326" s="5">
        <v>909</v>
      </c>
      <c r="D326" s="17" t="str">
        <v>failed</v>
      </c>
      <c r="E326" s="5">
        <v>1221</v>
      </c>
    </row>
    <row r="327" spans="1:5" x14ac:dyDescent="0.2">
      <c r="A327" s="16" t="str">
        <v>successful</v>
      </c>
      <c r="B327" s="5">
        <v>1613</v>
      </c>
      <c r="D327" s="17" t="str">
        <v>failed</v>
      </c>
      <c r="E327" s="5">
        <v>1</v>
      </c>
    </row>
    <row r="328" spans="1:5" x14ac:dyDescent="0.2">
      <c r="A328" s="16" t="str">
        <v>successful</v>
      </c>
      <c r="B328" s="5">
        <v>136</v>
      </c>
      <c r="D328" s="17" t="str">
        <v>failed</v>
      </c>
      <c r="E328" s="5">
        <v>16</v>
      </c>
    </row>
    <row r="329" spans="1:5" x14ac:dyDescent="0.2">
      <c r="A329" s="16" t="str">
        <v>successful</v>
      </c>
      <c r="B329" s="5">
        <v>130</v>
      </c>
      <c r="D329" s="17" t="str">
        <v>failed</v>
      </c>
      <c r="E329" s="5">
        <v>41</v>
      </c>
    </row>
    <row r="330" spans="1:5" x14ac:dyDescent="0.2">
      <c r="A330" s="16" t="str">
        <v>successful</v>
      </c>
      <c r="B330" s="5">
        <v>102</v>
      </c>
      <c r="D330" s="17" t="str">
        <v>failed</v>
      </c>
      <c r="E330" s="5">
        <v>523</v>
      </c>
    </row>
    <row r="331" spans="1:5" x14ac:dyDescent="0.2">
      <c r="A331" s="16" t="str">
        <v>successful</v>
      </c>
      <c r="B331" s="5">
        <v>4006</v>
      </c>
      <c r="D331" s="17" t="str">
        <v>failed</v>
      </c>
      <c r="E331" s="5">
        <v>141</v>
      </c>
    </row>
    <row r="332" spans="1:5" x14ac:dyDescent="0.2">
      <c r="A332" s="16" t="str">
        <v>successful</v>
      </c>
      <c r="B332" s="5">
        <v>1629</v>
      </c>
      <c r="D332" s="17" t="str">
        <v>failed</v>
      </c>
      <c r="E332" s="5">
        <v>52</v>
      </c>
    </row>
    <row r="333" spans="1:5" x14ac:dyDescent="0.2">
      <c r="A333" s="16" t="str">
        <v>successful</v>
      </c>
      <c r="B333" s="5">
        <v>2188</v>
      </c>
      <c r="D333" s="17" t="str">
        <v>failed</v>
      </c>
      <c r="E333" s="5">
        <v>225</v>
      </c>
    </row>
    <row r="334" spans="1:5" x14ac:dyDescent="0.2">
      <c r="A334" s="16" t="str">
        <v>successful</v>
      </c>
      <c r="B334" s="5">
        <v>2409</v>
      </c>
      <c r="D334" s="17" t="str">
        <v>failed</v>
      </c>
      <c r="E334" s="5">
        <v>38</v>
      </c>
    </row>
    <row r="335" spans="1:5" x14ac:dyDescent="0.2">
      <c r="A335" s="16" t="str">
        <v>successful</v>
      </c>
      <c r="B335" s="5">
        <v>194</v>
      </c>
      <c r="D335" s="17" t="str">
        <v>failed</v>
      </c>
      <c r="E335" s="5">
        <v>15</v>
      </c>
    </row>
    <row r="336" spans="1:5" x14ac:dyDescent="0.2">
      <c r="A336" s="16" t="str">
        <v>successful</v>
      </c>
      <c r="B336" s="5">
        <v>1140</v>
      </c>
      <c r="D336" s="17" t="str">
        <v>failed</v>
      </c>
      <c r="E336" s="5">
        <v>37</v>
      </c>
    </row>
    <row r="337" spans="1:5" x14ac:dyDescent="0.2">
      <c r="A337" s="16" t="str">
        <v>successful</v>
      </c>
      <c r="B337" s="5">
        <v>102</v>
      </c>
      <c r="D337" s="17" t="str">
        <v>failed</v>
      </c>
      <c r="E337" s="5">
        <v>112</v>
      </c>
    </row>
    <row r="338" spans="1:5" x14ac:dyDescent="0.2">
      <c r="A338" s="16" t="str">
        <v>successful</v>
      </c>
      <c r="B338" s="5">
        <v>2857</v>
      </c>
      <c r="D338" s="17" t="str">
        <v>failed</v>
      </c>
      <c r="E338" s="5">
        <v>21</v>
      </c>
    </row>
    <row r="339" spans="1:5" x14ac:dyDescent="0.2">
      <c r="A339" s="16" t="str">
        <v>successful</v>
      </c>
      <c r="B339" s="5">
        <v>107</v>
      </c>
      <c r="D339" s="17" t="str">
        <v>failed</v>
      </c>
      <c r="E339" s="5">
        <v>67</v>
      </c>
    </row>
    <row r="340" spans="1:5" x14ac:dyDescent="0.2">
      <c r="A340" s="16" t="str">
        <v>successful</v>
      </c>
      <c r="B340" s="5">
        <v>160</v>
      </c>
      <c r="D340" s="17" t="str">
        <v>failed</v>
      </c>
      <c r="E340" s="5">
        <v>78</v>
      </c>
    </row>
    <row r="341" spans="1:5" x14ac:dyDescent="0.2">
      <c r="A341" s="16" t="str">
        <v>successful</v>
      </c>
      <c r="B341" s="5">
        <v>2230</v>
      </c>
      <c r="D341" s="17" t="str">
        <v>failed</v>
      </c>
      <c r="E341" s="5">
        <v>67</v>
      </c>
    </row>
    <row r="342" spans="1:5" x14ac:dyDescent="0.2">
      <c r="A342" s="16" t="str">
        <v>successful</v>
      </c>
      <c r="B342" s="5">
        <v>316</v>
      </c>
      <c r="D342" s="17" t="str">
        <v>failed</v>
      </c>
      <c r="E342" s="5">
        <v>263</v>
      </c>
    </row>
    <row r="343" spans="1:5" x14ac:dyDescent="0.2">
      <c r="A343" s="16" t="str">
        <v>successful</v>
      </c>
      <c r="B343" s="5">
        <v>117</v>
      </c>
      <c r="D343" s="17" t="str">
        <v>failed</v>
      </c>
      <c r="E343" s="5">
        <v>1691</v>
      </c>
    </row>
    <row r="344" spans="1:5" x14ac:dyDescent="0.2">
      <c r="A344" s="16" t="str">
        <v>successful</v>
      </c>
      <c r="B344" s="5">
        <v>6406</v>
      </c>
      <c r="D344" s="17" t="str">
        <v>failed</v>
      </c>
      <c r="E344" s="5">
        <v>181</v>
      </c>
    </row>
    <row r="345" spans="1:5" x14ac:dyDescent="0.2">
      <c r="A345" s="16" t="str">
        <v>successful</v>
      </c>
      <c r="B345" s="5">
        <v>192</v>
      </c>
      <c r="D345" s="17" t="str">
        <v>failed</v>
      </c>
      <c r="E345" s="5">
        <v>13</v>
      </c>
    </row>
    <row r="346" spans="1:5" x14ac:dyDescent="0.2">
      <c r="A346" s="16" t="str">
        <v>successful</v>
      </c>
      <c r="B346" s="5">
        <v>26</v>
      </c>
      <c r="D346" s="17" t="str">
        <v>failed</v>
      </c>
      <c r="E346" s="5">
        <v>1</v>
      </c>
    </row>
    <row r="347" spans="1:5" x14ac:dyDescent="0.2">
      <c r="A347" s="16" t="str">
        <v>successful</v>
      </c>
      <c r="B347" s="5">
        <v>723</v>
      </c>
      <c r="D347" s="17" t="str">
        <v>failed</v>
      </c>
      <c r="E347" s="5">
        <v>21</v>
      </c>
    </row>
    <row r="348" spans="1:5" x14ac:dyDescent="0.2">
      <c r="A348" s="16" t="str">
        <v>successful</v>
      </c>
      <c r="B348" s="5">
        <v>170</v>
      </c>
      <c r="D348" s="17" t="str">
        <v>failed</v>
      </c>
      <c r="E348" s="5">
        <v>830</v>
      </c>
    </row>
    <row r="349" spans="1:5" x14ac:dyDescent="0.2">
      <c r="A349" s="16" t="str">
        <v>successful</v>
      </c>
      <c r="B349" s="5">
        <v>238</v>
      </c>
      <c r="D349" s="17" t="str">
        <v>failed</v>
      </c>
      <c r="E349" s="5">
        <v>130</v>
      </c>
    </row>
    <row r="350" spans="1:5" x14ac:dyDescent="0.2">
      <c r="A350" s="16" t="str">
        <v>successful</v>
      </c>
      <c r="B350" s="5">
        <v>55</v>
      </c>
      <c r="D350" s="17" t="str">
        <v>failed</v>
      </c>
      <c r="E350" s="5">
        <v>55</v>
      </c>
    </row>
    <row r="351" spans="1:5" x14ac:dyDescent="0.2">
      <c r="A351" s="16" t="str">
        <v>successful</v>
      </c>
      <c r="B351" s="5">
        <v>128</v>
      </c>
      <c r="D351" s="17" t="str">
        <v>failed</v>
      </c>
      <c r="E351" s="5">
        <v>114</v>
      </c>
    </row>
    <row r="352" spans="1:5" x14ac:dyDescent="0.2">
      <c r="A352" s="16" t="str">
        <v>successful</v>
      </c>
      <c r="B352" s="5">
        <v>2144</v>
      </c>
      <c r="D352" s="17" t="str">
        <v>failed</v>
      </c>
      <c r="E352" s="5">
        <v>594</v>
      </c>
    </row>
    <row r="353" spans="1:5" x14ac:dyDescent="0.2">
      <c r="A353" s="16" t="str">
        <v>successful</v>
      </c>
      <c r="B353" s="5">
        <v>2693</v>
      </c>
      <c r="D353" s="17" t="str">
        <v>failed</v>
      </c>
      <c r="E353" s="5">
        <v>24</v>
      </c>
    </row>
    <row r="354" spans="1:5" x14ac:dyDescent="0.2">
      <c r="A354" s="16" t="str">
        <v>successful</v>
      </c>
      <c r="B354" s="5">
        <v>432</v>
      </c>
      <c r="D354" s="17" t="str">
        <v>failed</v>
      </c>
      <c r="E354" s="5">
        <v>252</v>
      </c>
    </row>
    <row r="355" spans="1:5" x14ac:dyDescent="0.2">
      <c r="A355" s="16" t="str">
        <v>successful</v>
      </c>
      <c r="B355" s="5">
        <v>189</v>
      </c>
      <c r="D355" s="17" t="str">
        <v>failed</v>
      </c>
      <c r="E355" s="5">
        <v>67</v>
      </c>
    </row>
    <row r="356" spans="1:5" x14ac:dyDescent="0.2">
      <c r="A356" s="16" t="str">
        <v>successful</v>
      </c>
      <c r="B356" s="5">
        <v>154</v>
      </c>
      <c r="D356" s="17" t="str">
        <v>failed</v>
      </c>
      <c r="E356" s="5">
        <v>742</v>
      </c>
    </row>
    <row r="357" spans="1:5" x14ac:dyDescent="0.2">
      <c r="A357" s="16" t="str">
        <v>successful</v>
      </c>
      <c r="B357" s="5">
        <v>96</v>
      </c>
      <c r="D357" s="17" t="str">
        <v>failed</v>
      </c>
      <c r="E357" s="5">
        <v>75</v>
      </c>
    </row>
    <row r="358" spans="1:5" x14ac:dyDescent="0.2">
      <c r="A358" s="16" t="str">
        <v>successful</v>
      </c>
      <c r="B358" s="5">
        <v>3063</v>
      </c>
      <c r="D358" s="17" t="str">
        <v>failed</v>
      </c>
      <c r="E358" s="5">
        <v>4405</v>
      </c>
    </row>
    <row r="359" spans="1:5" x14ac:dyDescent="0.2">
      <c r="A359" s="16" t="str">
        <v>successful</v>
      </c>
      <c r="B359" s="5">
        <v>2266</v>
      </c>
      <c r="D359" s="17" t="str">
        <v>failed</v>
      </c>
      <c r="E359" s="5">
        <v>92</v>
      </c>
    </row>
    <row r="360" spans="1:5" x14ac:dyDescent="0.2">
      <c r="A360" s="16" t="str">
        <v>successful</v>
      </c>
      <c r="B360" s="5">
        <v>194</v>
      </c>
      <c r="D360" s="17" t="str">
        <v>failed</v>
      </c>
      <c r="E360" s="5">
        <v>64</v>
      </c>
    </row>
    <row r="361" spans="1:5" x14ac:dyDescent="0.2">
      <c r="A361" s="16" t="str">
        <v>successful</v>
      </c>
      <c r="B361" s="5">
        <v>129</v>
      </c>
      <c r="D361" s="17" t="str">
        <v>failed</v>
      </c>
      <c r="E361" s="5">
        <v>64</v>
      </c>
    </row>
    <row r="362" spans="1:5" x14ac:dyDescent="0.2">
      <c r="A362" s="16" t="str">
        <v>successful</v>
      </c>
      <c r="B362" s="5">
        <v>375</v>
      </c>
      <c r="D362" s="17" t="str">
        <v>failed</v>
      </c>
      <c r="E362" s="5">
        <v>842</v>
      </c>
    </row>
    <row r="363" spans="1:5" x14ac:dyDescent="0.2">
      <c r="A363" s="16" t="str">
        <v>successful</v>
      </c>
      <c r="B363" s="5">
        <v>409</v>
      </c>
      <c r="D363" s="17" t="str">
        <v>failed</v>
      </c>
      <c r="E363" s="5">
        <v>112</v>
      </c>
    </row>
    <row r="364" spans="1:5" x14ac:dyDescent="0.2">
      <c r="A364" s="16" t="str">
        <v>successful</v>
      </c>
      <c r="B364" s="5">
        <v>234</v>
      </c>
      <c r="D364" s="17" t="str">
        <v>failed</v>
      </c>
      <c r="E364" s="5">
        <v>374</v>
      </c>
    </row>
    <row r="365" spans="1:5" x14ac:dyDescent="0.2">
      <c r="A365" s="16" t="str">
        <v>successful</v>
      </c>
      <c r="B365" s="5">
        <v>3016</v>
      </c>
    </row>
    <row r="366" spans="1:5" x14ac:dyDescent="0.2">
      <c r="A366" s="16" t="str">
        <v>successful</v>
      </c>
      <c r="B366" s="5">
        <v>264</v>
      </c>
    </row>
    <row r="367" spans="1:5" x14ac:dyDescent="0.2">
      <c r="A367" s="16" t="str">
        <v>successful</v>
      </c>
      <c r="B367" s="5">
        <v>272</v>
      </c>
    </row>
    <row r="368" spans="1:5" x14ac:dyDescent="0.2">
      <c r="A368" s="16" t="str">
        <v>successful</v>
      </c>
      <c r="B368" s="5">
        <v>419</v>
      </c>
    </row>
    <row r="369" spans="1:2" x14ac:dyDescent="0.2">
      <c r="A369" s="16" t="str">
        <v>successful</v>
      </c>
      <c r="B369" s="5">
        <v>1621</v>
      </c>
    </row>
    <row r="370" spans="1:2" x14ac:dyDescent="0.2">
      <c r="A370" s="16" t="str">
        <v>successful</v>
      </c>
      <c r="B370" s="5">
        <v>1101</v>
      </c>
    </row>
    <row r="371" spans="1:2" x14ac:dyDescent="0.2">
      <c r="A371" s="16" t="str">
        <v>successful</v>
      </c>
      <c r="B371" s="5">
        <v>1073</v>
      </c>
    </row>
    <row r="372" spans="1:2" x14ac:dyDescent="0.2">
      <c r="A372" s="16" t="str">
        <v>successful</v>
      </c>
      <c r="B372" s="5">
        <v>331</v>
      </c>
    </row>
    <row r="373" spans="1:2" x14ac:dyDescent="0.2">
      <c r="A373" s="16" t="str">
        <v>successful</v>
      </c>
      <c r="B373" s="5">
        <v>1170</v>
      </c>
    </row>
    <row r="374" spans="1:2" x14ac:dyDescent="0.2">
      <c r="A374" s="16" t="str">
        <v>successful</v>
      </c>
      <c r="B374" s="5">
        <v>363</v>
      </c>
    </row>
    <row r="375" spans="1:2" x14ac:dyDescent="0.2">
      <c r="A375" s="16" t="str">
        <v>successful</v>
      </c>
      <c r="B375" s="5">
        <v>103</v>
      </c>
    </row>
    <row r="376" spans="1:2" x14ac:dyDescent="0.2">
      <c r="A376" s="16" t="str">
        <v>successful</v>
      </c>
      <c r="B376" s="5">
        <v>147</v>
      </c>
    </row>
    <row r="377" spans="1:2" x14ac:dyDescent="0.2">
      <c r="A377" s="16" t="str">
        <v>successful</v>
      </c>
      <c r="B377" s="5">
        <v>110</v>
      </c>
    </row>
    <row r="378" spans="1:2" x14ac:dyDescent="0.2">
      <c r="A378" s="16" t="str">
        <v>successful</v>
      </c>
      <c r="B378" s="5">
        <v>134</v>
      </c>
    </row>
    <row r="379" spans="1:2" x14ac:dyDescent="0.2">
      <c r="A379" s="16" t="str">
        <v>successful</v>
      </c>
      <c r="B379" s="5">
        <v>269</v>
      </c>
    </row>
    <row r="380" spans="1:2" x14ac:dyDescent="0.2">
      <c r="A380" s="16" t="str">
        <v>successful</v>
      </c>
      <c r="B380" s="5">
        <v>175</v>
      </c>
    </row>
    <row r="381" spans="1:2" x14ac:dyDescent="0.2">
      <c r="A381" s="16" t="str">
        <v>successful</v>
      </c>
      <c r="B381" s="5">
        <v>69</v>
      </c>
    </row>
    <row r="382" spans="1:2" x14ac:dyDescent="0.2">
      <c r="A382" s="16" t="str">
        <v>successful</v>
      </c>
      <c r="B382" s="5">
        <v>190</v>
      </c>
    </row>
    <row r="383" spans="1:2" x14ac:dyDescent="0.2">
      <c r="A383" s="16" t="str">
        <v>successful</v>
      </c>
      <c r="B383" s="5">
        <v>237</v>
      </c>
    </row>
    <row r="384" spans="1:2" x14ac:dyDescent="0.2">
      <c r="A384" s="16" t="str">
        <v>successful</v>
      </c>
      <c r="B384" s="5">
        <v>196</v>
      </c>
    </row>
    <row r="385" spans="1:2" x14ac:dyDescent="0.2">
      <c r="A385" s="16" t="str">
        <v>successful</v>
      </c>
      <c r="B385" s="5">
        <v>7295</v>
      </c>
    </row>
    <row r="386" spans="1:2" x14ac:dyDescent="0.2">
      <c r="A386" s="16" t="str">
        <v>successful</v>
      </c>
      <c r="B386" s="5">
        <v>2893</v>
      </c>
    </row>
    <row r="387" spans="1:2" x14ac:dyDescent="0.2">
      <c r="A387" s="16" t="str">
        <v>successful</v>
      </c>
      <c r="B387" s="5">
        <v>820</v>
      </c>
    </row>
    <row r="388" spans="1:2" x14ac:dyDescent="0.2">
      <c r="A388" s="16" t="str">
        <v>successful</v>
      </c>
      <c r="B388" s="5">
        <v>2038</v>
      </c>
    </row>
    <row r="389" spans="1:2" x14ac:dyDescent="0.2">
      <c r="A389" s="16" t="str">
        <v>successful</v>
      </c>
      <c r="B389" s="5">
        <v>116</v>
      </c>
    </row>
    <row r="390" spans="1:2" x14ac:dyDescent="0.2">
      <c r="A390" s="16" t="str">
        <v>successful</v>
      </c>
      <c r="B390" s="5">
        <v>1345</v>
      </c>
    </row>
    <row r="391" spans="1:2" x14ac:dyDescent="0.2">
      <c r="A391" s="16" t="str">
        <v>successful</v>
      </c>
      <c r="B391" s="5">
        <v>168</v>
      </c>
    </row>
    <row r="392" spans="1:2" x14ac:dyDescent="0.2">
      <c r="A392" s="16" t="str">
        <v>successful</v>
      </c>
      <c r="B392" s="5">
        <v>137</v>
      </c>
    </row>
    <row r="393" spans="1:2" x14ac:dyDescent="0.2">
      <c r="A393" s="16" t="str">
        <v>successful</v>
      </c>
      <c r="B393" s="5">
        <v>186</v>
      </c>
    </row>
    <row r="394" spans="1:2" x14ac:dyDescent="0.2">
      <c r="A394" s="16" t="str">
        <v>successful</v>
      </c>
      <c r="B394" s="5">
        <v>125</v>
      </c>
    </row>
    <row r="395" spans="1:2" x14ac:dyDescent="0.2">
      <c r="A395" s="16" t="str">
        <v>successful</v>
      </c>
      <c r="B395" s="5">
        <v>202</v>
      </c>
    </row>
    <row r="396" spans="1:2" x14ac:dyDescent="0.2">
      <c r="A396" s="16" t="str">
        <v>successful</v>
      </c>
      <c r="B396" s="5">
        <v>103</v>
      </c>
    </row>
    <row r="397" spans="1:2" x14ac:dyDescent="0.2">
      <c r="A397" s="16" t="str">
        <v>successful</v>
      </c>
      <c r="B397" s="5">
        <v>1785</v>
      </c>
    </row>
    <row r="398" spans="1:2" x14ac:dyDescent="0.2">
      <c r="A398" s="16" t="str">
        <v>successful</v>
      </c>
      <c r="B398" s="5">
        <v>157</v>
      </c>
    </row>
    <row r="399" spans="1:2" x14ac:dyDescent="0.2">
      <c r="A399" s="16" t="str">
        <v>successful</v>
      </c>
      <c r="B399" s="5">
        <v>555</v>
      </c>
    </row>
    <row r="400" spans="1:2" x14ac:dyDescent="0.2">
      <c r="A400" s="16" t="str">
        <v>successful</v>
      </c>
      <c r="B400" s="5">
        <v>297</v>
      </c>
    </row>
    <row r="401" spans="1:2" x14ac:dyDescent="0.2">
      <c r="A401" s="16" t="str">
        <v>successful</v>
      </c>
      <c r="B401" s="5">
        <v>123</v>
      </c>
    </row>
    <row r="402" spans="1:2" x14ac:dyDescent="0.2">
      <c r="A402" s="16" t="str">
        <v>successful</v>
      </c>
      <c r="B402" s="5">
        <v>3036</v>
      </c>
    </row>
    <row r="403" spans="1:2" x14ac:dyDescent="0.2">
      <c r="A403" s="16" t="str">
        <v>successful</v>
      </c>
      <c r="B403" s="5">
        <v>144</v>
      </c>
    </row>
    <row r="404" spans="1:2" x14ac:dyDescent="0.2">
      <c r="A404" s="16" t="str">
        <v>successful</v>
      </c>
      <c r="B404" s="5">
        <v>121</v>
      </c>
    </row>
    <row r="405" spans="1:2" x14ac:dyDescent="0.2">
      <c r="A405" s="16" t="str">
        <v>successful</v>
      </c>
      <c r="B405" s="5">
        <v>181</v>
      </c>
    </row>
    <row r="406" spans="1:2" x14ac:dyDescent="0.2">
      <c r="A406" s="16" t="str">
        <v>successful</v>
      </c>
      <c r="B406" s="5">
        <v>122</v>
      </c>
    </row>
    <row r="407" spans="1:2" x14ac:dyDescent="0.2">
      <c r="A407" s="16" t="str">
        <v>successful</v>
      </c>
      <c r="B407" s="5">
        <v>1071</v>
      </c>
    </row>
    <row r="408" spans="1:2" x14ac:dyDescent="0.2">
      <c r="A408" s="16" t="str">
        <v>successful</v>
      </c>
      <c r="B408" s="5">
        <v>980</v>
      </c>
    </row>
    <row r="409" spans="1:2" x14ac:dyDescent="0.2">
      <c r="A409" s="16" t="str">
        <v>successful</v>
      </c>
      <c r="B409" s="5">
        <v>536</v>
      </c>
    </row>
    <row r="410" spans="1:2" x14ac:dyDescent="0.2">
      <c r="A410" s="16" t="str">
        <v>successful</v>
      </c>
      <c r="B410" s="5">
        <v>1991</v>
      </c>
    </row>
    <row r="411" spans="1:2" x14ac:dyDescent="0.2">
      <c r="A411" s="16" t="str">
        <v>successful</v>
      </c>
      <c r="B411" s="5">
        <v>180</v>
      </c>
    </row>
    <row r="412" spans="1:2" x14ac:dyDescent="0.2">
      <c r="A412" s="16" t="str">
        <v>successful</v>
      </c>
      <c r="B412" s="5">
        <v>130</v>
      </c>
    </row>
    <row r="413" spans="1:2" x14ac:dyDescent="0.2">
      <c r="A413" s="16" t="str">
        <v>successful</v>
      </c>
      <c r="B413" s="5">
        <v>122</v>
      </c>
    </row>
    <row r="414" spans="1:2" x14ac:dyDescent="0.2">
      <c r="A414" s="16" t="str">
        <v>successful</v>
      </c>
      <c r="B414" s="5">
        <v>140</v>
      </c>
    </row>
    <row r="415" spans="1:2" x14ac:dyDescent="0.2">
      <c r="A415" s="16" t="str">
        <v>successful</v>
      </c>
      <c r="B415" s="5">
        <v>3388</v>
      </c>
    </row>
    <row r="416" spans="1:2" x14ac:dyDescent="0.2">
      <c r="A416" s="16" t="str">
        <v>successful</v>
      </c>
      <c r="B416" s="5">
        <v>280</v>
      </c>
    </row>
    <row r="417" spans="1:2" x14ac:dyDescent="0.2">
      <c r="A417" s="16" t="str">
        <v>successful</v>
      </c>
      <c r="B417" s="5">
        <v>366</v>
      </c>
    </row>
    <row r="418" spans="1:2" x14ac:dyDescent="0.2">
      <c r="A418" s="16" t="str">
        <v>successful</v>
      </c>
      <c r="B418" s="5">
        <v>270</v>
      </c>
    </row>
    <row r="419" spans="1:2" x14ac:dyDescent="0.2">
      <c r="A419" s="16" t="str">
        <v>successful</v>
      </c>
      <c r="B419" s="5">
        <v>137</v>
      </c>
    </row>
    <row r="420" spans="1:2" x14ac:dyDescent="0.2">
      <c r="A420" s="16" t="str">
        <v>successful</v>
      </c>
      <c r="B420" s="5">
        <v>3205</v>
      </c>
    </row>
    <row r="421" spans="1:2" x14ac:dyDescent="0.2">
      <c r="A421" s="16" t="str">
        <v>successful</v>
      </c>
      <c r="B421" s="5">
        <v>288</v>
      </c>
    </row>
    <row r="422" spans="1:2" x14ac:dyDescent="0.2">
      <c r="A422" s="16" t="str">
        <v>successful</v>
      </c>
      <c r="B422" s="5">
        <v>148</v>
      </c>
    </row>
    <row r="423" spans="1:2" x14ac:dyDescent="0.2">
      <c r="A423" s="16" t="str">
        <v>successful</v>
      </c>
      <c r="B423" s="5">
        <v>114</v>
      </c>
    </row>
    <row r="424" spans="1:2" x14ac:dyDescent="0.2">
      <c r="A424" s="16" t="str">
        <v>successful</v>
      </c>
      <c r="B424" s="5">
        <v>1518</v>
      </c>
    </row>
    <row r="425" spans="1:2" x14ac:dyDescent="0.2">
      <c r="A425" s="16" t="str">
        <v>successful</v>
      </c>
      <c r="B425" s="5">
        <v>166</v>
      </c>
    </row>
    <row r="426" spans="1:2" x14ac:dyDescent="0.2">
      <c r="A426" s="16" t="str">
        <v>successful</v>
      </c>
      <c r="B426" s="5">
        <v>100</v>
      </c>
    </row>
    <row r="427" spans="1:2" x14ac:dyDescent="0.2">
      <c r="A427" s="16" t="str">
        <v>successful</v>
      </c>
      <c r="B427" s="5">
        <v>235</v>
      </c>
    </row>
    <row r="428" spans="1:2" x14ac:dyDescent="0.2">
      <c r="A428" s="16" t="str">
        <v>successful</v>
      </c>
      <c r="B428" s="5">
        <v>148</v>
      </c>
    </row>
    <row r="429" spans="1:2" x14ac:dyDescent="0.2">
      <c r="A429" s="16" t="str">
        <v>successful</v>
      </c>
      <c r="B429" s="5">
        <v>198</v>
      </c>
    </row>
    <row r="430" spans="1:2" x14ac:dyDescent="0.2">
      <c r="A430" s="16" t="str">
        <v>successful</v>
      </c>
      <c r="B430" s="5">
        <v>150</v>
      </c>
    </row>
    <row r="431" spans="1:2" x14ac:dyDescent="0.2">
      <c r="A431" s="16" t="str">
        <v>successful</v>
      </c>
      <c r="B431" s="5">
        <v>216</v>
      </c>
    </row>
    <row r="432" spans="1:2" x14ac:dyDescent="0.2">
      <c r="A432" s="16" t="str">
        <v>successful</v>
      </c>
      <c r="B432" s="5">
        <v>5139</v>
      </c>
    </row>
    <row r="433" spans="1:2" x14ac:dyDescent="0.2">
      <c r="A433" s="16" t="str">
        <v>successful</v>
      </c>
      <c r="B433" s="5">
        <v>2353</v>
      </c>
    </row>
    <row r="434" spans="1:2" x14ac:dyDescent="0.2">
      <c r="A434" s="16" t="str">
        <v>successful</v>
      </c>
      <c r="B434" s="5">
        <v>78</v>
      </c>
    </row>
    <row r="435" spans="1:2" x14ac:dyDescent="0.2">
      <c r="A435" s="16" t="str">
        <v>successful</v>
      </c>
      <c r="B435" s="5">
        <v>174</v>
      </c>
    </row>
    <row r="436" spans="1:2" x14ac:dyDescent="0.2">
      <c r="A436" s="16" t="str">
        <v>successful</v>
      </c>
      <c r="B436" s="5">
        <v>164</v>
      </c>
    </row>
    <row r="437" spans="1:2" x14ac:dyDescent="0.2">
      <c r="A437" s="16" t="str">
        <v>successful</v>
      </c>
      <c r="B437" s="5">
        <v>161</v>
      </c>
    </row>
    <row r="438" spans="1:2" x14ac:dyDescent="0.2">
      <c r="A438" s="16" t="str">
        <v>successful</v>
      </c>
      <c r="B438" s="5">
        <v>138</v>
      </c>
    </row>
    <row r="439" spans="1:2" x14ac:dyDescent="0.2">
      <c r="A439" s="16" t="str">
        <v>successful</v>
      </c>
      <c r="B439" s="5">
        <v>3308</v>
      </c>
    </row>
    <row r="440" spans="1:2" x14ac:dyDescent="0.2">
      <c r="A440" s="16" t="str">
        <v>successful</v>
      </c>
      <c r="B440" s="5">
        <v>127</v>
      </c>
    </row>
    <row r="441" spans="1:2" x14ac:dyDescent="0.2">
      <c r="A441" s="16" t="str">
        <v>successful</v>
      </c>
      <c r="B441" s="5">
        <v>207</v>
      </c>
    </row>
    <row r="442" spans="1:2" x14ac:dyDescent="0.2">
      <c r="A442" s="16" t="str">
        <v>successful</v>
      </c>
      <c r="B442" s="5">
        <v>181</v>
      </c>
    </row>
    <row r="443" spans="1:2" x14ac:dyDescent="0.2">
      <c r="A443" s="16" t="str">
        <v>successful</v>
      </c>
      <c r="B443" s="5">
        <v>110</v>
      </c>
    </row>
    <row r="444" spans="1:2" x14ac:dyDescent="0.2">
      <c r="A444" s="16" t="str">
        <v>successful</v>
      </c>
      <c r="B444" s="5">
        <v>185</v>
      </c>
    </row>
    <row r="445" spans="1:2" x14ac:dyDescent="0.2">
      <c r="A445" s="16" t="str">
        <v>successful</v>
      </c>
      <c r="B445" s="5">
        <v>121</v>
      </c>
    </row>
    <row r="446" spans="1:2" x14ac:dyDescent="0.2">
      <c r="A446" s="16" t="str">
        <v>successful</v>
      </c>
      <c r="B446" s="5">
        <v>106</v>
      </c>
    </row>
    <row r="447" spans="1:2" x14ac:dyDescent="0.2">
      <c r="A447" s="16" t="str">
        <v>successful</v>
      </c>
      <c r="B447" s="5">
        <v>142</v>
      </c>
    </row>
    <row r="448" spans="1:2" x14ac:dyDescent="0.2">
      <c r="A448" s="16" t="str">
        <v>successful</v>
      </c>
      <c r="B448" s="5">
        <v>233</v>
      </c>
    </row>
    <row r="449" spans="1:2" x14ac:dyDescent="0.2">
      <c r="A449" s="16" t="str">
        <v>successful</v>
      </c>
      <c r="B449" s="5">
        <v>218</v>
      </c>
    </row>
    <row r="450" spans="1:2" x14ac:dyDescent="0.2">
      <c r="A450" s="16" t="str">
        <v>successful</v>
      </c>
      <c r="B450" s="5">
        <v>76</v>
      </c>
    </row>
    <row r="451" spans="1:2" x14ac:dyDescent="0.2">
      <c r="A451" s="16" t="str">
        <v>successful</v>
      </c>
      <c r="B451" s="5">
        <v>43</v>
      </c>
    </row>
    <row r="452" spans="1:2" x14ac:dyDescent="0.2">
      <c r="A452" s="16" t="str">
        <v>successful</v>
      </c>
      <c r="B452" s="5">
        <v>221</v>
      </c>
    </row>
    <row r="453" spans="1:2" x14ac:dyDescent="0.2">
      <c r="A453" s="16" t="str">
        <v>successful</v>
      </c>
      <c r="B453" s="5">
        <v>2805</v>
      </c>
    </row>
    <row r="454" spans="1:2" x14ac:dyDescent="0.2">
      <c r="A454" s="16" t="str">
        <v>successful</v>
      </c>
      <c r="B454" s="5">
        <v>68</v>
      </c>
    </row>
    <row r="455" spans="1:2" x14ac:dyDescent="0.2">
      <c r="A455" s="16" t="str">
        <v>successful</v>
      </c>
      <c r="B455" s="5">
        <v>183</v>
      </c>
    </row>
    <row r="456" spans="1:2" x14ac:dyDescent="0.2">
      <c r="A456" s="16" t="str">
        <v>successful</v>
      </c>
      <c r="B456" s="5">
        <v>133</v>
      </c>
    </row>
    <row r="457" spans="1:2" x14ac:dyDescent="0.2">
      <c r="A457" s="16" t="str">
        <v>successful</v>
      </c>
      <c r="B457" s="5">
        <v>2489</v>
      </c>
    </row>
    <row r="458" spans="1:2" x14ac:dyDescent="0.2">
      <c r="A458" s="16" t="str">
        <v>successful</v>
      </c>
      <c r="B458" s="5">
        <v>69</v>
      </c>
    </row>
    <row r="459" spans="1:2" x14ac:dyDescent="0.2">
      <c r="A459" s="16" t="str">
        <v>successful</v>
      </c>
      <c r="B459" s="5">
        <v>279</v>
      </c>
    </row>
    <row r="460" spans="1:2" x14ac:dyDescent="0.2">
      <c r="A460" s="16" t="str">
        <v>successful</v>
      </c>
      <c r="B460" s="5">
        <v>210</v>
      </c>
    </row>
    <row r="461" spans="1:2" x14ac:dyDescent="0.2">
      <c r="A461" s="16" t="str">
        <v>successful</v>
      </c>
      <c r="B461" s="5">
        <v>2100</v>
      </c>
    </row>
    <row r="462" spans="1:2" x14ac:dyDescent="0.2">
      <c r="A462" s="16" t="str">
        <v>successful</v>
      </c>
      <c r="B462" s="5">
        <v>252</v>
      </c>
    </row>
    <row r="463" spans="1:2" x14ac:dyDescent="0.2">
      <c r="A463" s="16" t="str">
        <v>successful</v>
      </c>
      <c r="B463" s="5">
        <v>1280</v>
      </c>
    </row>
    <row r="464" spans="1:2" x14ac:dyDescent="0.2">
      <c r="A464" s="16" t="str">
        <v>successful</v>
      </c>
      <c r="B464" s="5">
        <v>157</v>
      </c>
    </row>
    <row r="465" spans="1:2" x14ac:dyDescent="0.2">
      <c r="A465" s="16" t="str">
        <v>successful</v>
      </c>
      <c r="B465" s="5">
        <v>194</v>
      </c>
    </row>
    <row r="466" spans="1:2" x14ac:dyDescent="0.2">
      <c r="A466" s="16" t="str">
        <v>successful</v>
      </c>
      <c r="B466" s="5">
        <v>82</v>
      </c>
    </row>
    <row r="467" spans="1:2" x14ac:dyDescent="0.2">
      <c r="A467" s="16" t="str">
        <v>successful</v>
      </c>
      <c r="B467" s="5">
        <v>4233</v>
      </c>
    </row>
    <row r="468" spans="1:2" x14ac:dyDescent="0.2">
      <c r="A468" s="16" t="str">
        <v>successful</v>
      </c>
      <c r="B468" s="5">
        <v>1297</v>
      </c>
    </row>
    <row r="469" spans="1:2" x14ac:dyDescent="0.2">
      <c r="A469" s="16" t="str">
        <v>successful</v>
      </c>
      <c r="B469" s="5">
        <v>165</v>
      </c>
    </row>
    <row r="470" spans="1:2" x14ac:dyDescent="0.2">
      <c r="A470" s="16" t="str">
        <v>successful</v>
      </c>
      <c r="B470" s="5">
        <v>119</v>
      </c>
    </row>
    <row r="471" spans="1:2" x14ac:dyDescent="0.2">
      <c r="A471" s="16" t="str">
        <v>successful</v>
      </c>
      <c r="B471" s="5">
        <v>1797</v>
      </c>
    </row>
    <row r="472" spans="1:2" x14ac:dyDescent="0.2">
      <c r="A472" s="16" t="str">
        <v>successful</v>
      </c>
      <c r="B472" s="5">
        <v>261</v>
      </c>
    </row>
    <row r="473" spans="1:2" x14ac:dyDescent="0.2">
      <c r="A473" s="16" t="str">
        <v>successful</v>
      </c>
      <c r="B473" s="5">
        <v>157</v>
      </c>
    </row>
    <row r="474" spans="1:2" x14ac:dyDescent="0.2">
      <c r="A474" s="16" t="str">
        <v>successful</v>
      </c>
      <c r="B474" s="5">
        <v>3533</v>
      </c>
    </row>
    <row r="475" spans="1:2" x14ac:dyDescent="0.2">
      <c r="A475" s="16" t="str">
        <v>successful</v>
      </c>
      <c r="B475" s="5">
        <v>155</v>
      </c>
    </row>
    <row r="476" spans="1:2" x14ac:dyDescent="0.2">
      <c r="A476" s="16" t="str">
        <v>successful</v>
      </c>
      <c r="B476" s="5">
        <v>132</v>
      </c>
    </row>
    <row r="477" spans="1:2" x14ac:dyDescent="0.2">
      <c r="A477" s="16" t="str">
        <v>successful</v>
      </c>
      <c r="B477" s="5">
        <v>1354</v>
      </c>
    </row>
    <row r="478" spans="1:2" x14ac:dyDescent="0.2">
      <c r="A478" s="16" t="str">
        <v>successful</v>
      </c>
      <c r="B478" s="5">
        <v>48</v>
      </c>
    </row>
    <row r="479" spans="1:2" x14ac:dyDescent="0.2">
      <c r="A479" s="16" t="str">
        <v>successful</v>
      </c>
      <c r="B479" s="5">
        <v>110</v>
      </c>
    </row>
    <row r="480" spans="1:2" x14ac:dyDescent="0.2">
      <c r="A480" s="16" t="str">
        <v>successful</v>
      </c>
      <c r="B480" s="5">
        <v>172</v>
      </c>
    </row>
    <row r="481" spans="1:2" x14ac:dyDescent="0.2">
      <c r="A481" s="16" t="str">
        <v>successful</v>
      </c>
      <c r="B481" s="5">
        <v>307</v>
      </c>
    </row>
    <row r="482" spans="1:2" x14ac:dyDescent="0.2">
      <c r="A482" s="16" t="str">
        <v>successful</v>
      </c>
      <c r="B482" s="5">
        <v>160</v>
      </c>
    </row>
    <row r="483" spans="1:2" x14ac:dyDescent="0.2">
      <c r="A483" s="16" t="str">
        <v>successful</v>
      </c>
      <c r="B483" s="5">
        <v>1467</v>
      </c>
    </row>
    <row r="484" spans="1:2" x14ac:dyDescent="0.2">
      <c r="A484" s="16" t="str">
        <v>successful</v>
      </c>
      <c r="B484" s="5">
        <v>2662</v>
      </c>
    </row>
    <row r="485" spans="1:2" x14ac:dyDescent="0.2">
      <c r="A485" s="16" t="str">
        <v>successful</v>
      </c>
      <c r="B485" s="5">
        <v>452</v>
      </c>
    </row>
    <row r="486" spans="1:2" x14ac:dyDescent="0.2">
      <c r="A486" s="16" t="str">
        <v>successful</v>
      </c>
      <c r="B486" s="5">
        <v>158</v>
      </c>
    </row>
    <row r="487" spans="1:2" x14ac:dyDescent="0.2">
      <c r="A487" s="16" t="str">
        <v>successful</v>
      </c>
      <c r="B487" s="5">
        <v>225</v>
      </c>
    </row>
    <row r="488" spans="1:2" x14ac:dyDescent="0.2">
      <c r="A488" s="16" t="str">
        <v>successful</v>
      </c>
      <c r="B488" s="5">
        <v>65</v>
      </c>
    </row>
    <row r="489" spans="1:2" x14ac:dyDescent="0.2">
      <c r="A489" s="16" t="str">
        <v>successful</v>
      </c>
      <c r="B489" s="5">
        <v>163</v>
      </c>
    </row>
    <row r="490" spans="1:2" x14ac:dyDescent="0.2">
      <c r="A490" s="16" t="str">
        <v>successful</v>
      </c>
      <c r="B490" s="5">
        <v>85</v>
      </c>
    </row>
    <row r="491" spans="1:2" x14ac:dyDescent="0.2">
      <c r="A491" s="16" t="str">
        <v>successful</v>
      </c>
      <c r="B491" s="5">
        <v>217</v>
      </c>
    </row>
    <row r="492" spans="1:2" x14ac:dyDescent="0.2">
      <c r="A492" s="16" t="str">
        <v>successful</v>
      </c>
      <c r="B492" s="5">
        <v>150</v>
      </c>
    </row>
    <row r="493" spans="1:2" x14ac:dyDescent="0.2">
      <c r="A493" s="16" t="str">
        <v>successful</v>
      </c>
      <c r="B493" s="5">
        <v>3272</v>
      </c>
    </row>
    <row r="494" spans="1:2" x14ac:dyDescent="0.2">
      <c r="A494" s="16" t="str">
        <v>successful</v>
      </c>
      <c r="B494" s="5">
        <v>300</v>
      </c>
    </row>
    <row r="495" spans="1:2" x14ac:dyDescent="0.2">
      <c r="A495" s="16" t="str">
        <v>successful</v>
      </c>
      <c r="B495" s="5">
        <v>126</v>
      </c>
    </row>
    <row r="496" spans="1:2" x14ac:dyDescent="0.2">
      <c r="A496" s="16" t="str">
        <v>successful</v>
      </c>
      <c r="B496" s="5">
        <v>2320</v>
      </c>
    </row>
    <row r="497" spans="1:2" x14ac:dyDescent="0.2">
      <c r="A497" s="16" t="str">
        <v>successful</v>
      </c>
      <c r="B497" s="5">
        <v>81</v>
      </c>
    </row>
    <row r="498" spans="1:2" x14ac:dyDescent="0.2">
      <c r="A498" s="16" t="str">
        <v>successful</v>
      </c>
      <c r="B498" s="5">
        <v>1887</v>
      </c>
    </row>
    <row r="499" spans="1:2" x14ac:dyDescent="0.2">
      <c r="A499" s="16" t="str">
        <v>successful</v>
      </c>
      <c r="B499" s="5">
        <v>4358</v>
      </c>
    </row>
    <row r="500" spans="1:2" x14ac:dyDescent="0.2">
      <c r="A500" s="16" t="str">
        <v>successful</v>
      </c>
      <c r="B500" s="5">
        <v>53</v>
      </c>
    </row>
    <row r="501" spans="1:2" x14ac:dyDescent="0.2">
      <c r="A501" s="16" t="str">
        <v>successful</v>
      </c>
      <c r="B501" s="5">
        <v>2414</v>
      </c>
    </row>
    <row r="502" spans="1:2" x14ac:dyDescent="0.2">
      <c r="A502" s="16" t="str">
        <v>successful</v>
      </c>
      <c r="B502" s="5">
        <v>80</v>
      </c>
    </row>
    <row r="503" spans="1:2" x14ac:dyDescent="0.2">
      <c r="A503" s="16" t="str">
        <v>successful</v>
      </c>
      <c r="B503" s="5">
        <v>193</v>
      </c>
    </row>
    <row r="504" spans="1:2" x14ac:dyDescent="0.2">
      <c r="A504" s="16" t="str">
        <v>successful</v>
      </c>
      <c r="B504" s="5">
        <v>52</v>
      </c>
    </row>
    <row r="505" spans="1:2" x14ac:dyDescent="0.2">
      <c r="A505" s="16" t="str">
        <v>successful</v>
      </c>
      <c r="B505" s="5">
        <v>290</v>
      </c>
    </row>
    <row r="506" spans="1:2" x14ac:dyDescent="0.2">
      <c r="A506" s="16" t="str">
        <v>successful</v>
      </c>
      <c r="B506" s="5">
        <v>122</v>
      </c>
    </row>
    <row r="507" spans="1:2" x14ac:dyDescent="0.2">
      <c r="A507" s="16" t="str">
        <v>successful</v>
      </c>
      <c r="B507" s="5">
        <v>1470</v>
      </c>
    </row>
    <row r="508" spans="1:2" x14ac:dyDescent="0.2">
      <c r="A508" s="16" t="str">
        <v>successful</v>
      </c>
      <c r="B508" s="5">
        <v>165</v>
      </c>
    </row>
    <row r="509" spans="1:2" x14ac:dyDescent="0.2">
      <c r="A509" s="16" t="str">
        <v>successful</v>
      </c>
      <c r="B509" s="5">
        <v>182</v>
      </c>
    </row>
    <row r="510" spans="1:2" x14ac:dyDescent="0.2">
      <c r="A510" s="16" t="str">
        <v>successful</v>
      </c>
      <c r="B510" s="5">
        <v>199</v>
      </c>
    </row>
    <row r="511" spans="1:2" x14ac:dyDescent="0.2">
      <c r="A511" s="16" t="str">
        <v>successful</v>
      </c>
      <c r="B511" s="5">
        <v>56</v>
      </c>
    </row>
    <row r="512" spans="1:2" x14ac:dyDescent="0.2">
      <c r="A512" s="16" t="str">
        <v>successful</v>
      </c>
      <c r="B512" s="5">
        <v>1460</v>
      </c>
    </row>
    <row r="513" spans="1:2" x14ac:dyDescent="0.2">
      <c r="A513" s="16" t="str">
        <v>successful</v>
      </c>
      <c r="B513" s="5">
        <v>123</v>
      </c>
    </row>
    <row r="514" spans="1:2" x14ac:dyDescent="0.2">
      <c r="A514" s="16" t="str">
        <v>successful</v>
      </c>
      <c r="B514" s="5">
        <v>159</v>
      </c>
    </row>
    <row r="515" spans="1:2" x14ac:dyDescent="0.2">
      <c r="A515" s="16" t="str">
        <v>successful</v>
      </c>
      <c r="B515" s="5">
        <v>110</v>
      </c>
    </row>
    <row r="516" spans="1:2" x14ac:dyDescent="0.2">
      <c r="A516" s="16" t="str">
        <v>successful</v>
      </c>
      <c r="B516" s="5">
        <v>236</v>
      </c>
    </row>
    <row r="517" spans="1:2" x14ac:dyDescent="0.2">
      <c r="A517" s="16" t="str">
        <v>successful</v>
      </c>
      <c r="B517" s="5">
        <v>191</v>
      </c>
    </row>
    <row r="518" spans="1:2" x14ac:dyDescent="0.2">
      <c r="A518" s="16" t="str">
        <v>successful</v>
      </c>
      <c r="B518" s="5">
        <v>3934</v>
      </c>
    </row>
    <row r="519" spans="1:2" x14ac:dyDescent="0.2">
      <c r="A519" s="16" t="str">
        <v>successful</v>
      </c>
      <c r="B519" s="5">
        <v>80</v>
      </c>
    </row>
    <row r="520" spans="1:2" x14ac:dyDescent="0.2">
      <c r="A520" s="16" t="str">
        <v>successful</v>
      </c>
      <c r="B520" s="5">
        <v>462</v>
      </c>
    </row>
    <row r="521" spans="1:2" x14ac:dyDescent="0.2">
      <c r="A521" s="16" t="str">
        <v>successful</v>
      </c>
      <c r="B521" s="5">
        <v>179</v>
      </c>
    </row>
    <row r="522" spans="1:2" x14ac:dyDescent="0.2">
      <c r="A522" s="16" t="str">
        <v>successful</v>
      </c>
      <c r="B522" s="5">
        <v>1866</v>
      </c>
    </row>
    <row r="523" spans="1:2" x14ac:dyDescent="0.2">
      <c r="A523" s="16" t="str">
        <v>successful</v>
      </c>
      <c r="B523" s="5">
        <v>156</v>
      </c>
    </row>
    <row r="524" spans="1:2" x14ac:dyDescent="0.2">
      <c r="A524" s="16" t="str">
        <v>successful</v>
      </c>
      <c r="B524" s="5">
        <v>255</v>
      </c>
    </row>
    <row r="525" spans="1:2" x14ac:dyDescent="0.2">
      <c r="A525" s="16" t="str">
        <v>successful</v>
      </c>
      <c r="B525" s="5">
        <v>2261</v>
      </c>
    </row>
    <row r="526" spans="1:2" x14ac:dyDescent="0.2">
      <c r="A526" s="16" t="str">
        <v>successful</v>
      </c>
      <c r="B526" s="5">
        <v>40</v>
      </c>
    </row>
    <row r="527" spans="1:2" x14ac:dyDescent="0.2">
      <c r="A527" s="16" t="str">
        <v>successful</v>
      </c>
      <c r="B527" s="5">
        <v>2289</v>
      </c>
    </row>
    <row r="528" spans="1:2" x14ac:dyDescent="0.2">
      <c r="A528" s="16" t="str">
        <v>successful</v>
      </c>
      <c r="B528" s="5">
        <v>65</v>
      </c>
    </row>
    <row r="529" spans="1:2" x14ac:dyDescent="0.2">
      <c r="A529" s="16" t="str">
        <v>successful</v>
      </c>
      <c r="B529" s="5">
        <v>3777</v>
      </c>
    </row>
    <row r="530" spans="1:2" x14ac:dyDescent="0.2">
      <c r="A530" s="16" t="str">
        <v>successful</v>
      </c>
      <c r="B530" s="5">
        <v>184</v>
      </c>
    </row>
    <row r="531" spans="1:2" x14ac:dyDescent="0.2">
      <c r="A531" s="16" t="str">
        <v>successful</v>
      </c>
      <c r="B531" s="5">
        <v>85</v>
      </c>
    </row>
    <row r="532" spans="1:2" x14ac:dyDescent="0.2">
      <c r="A532" s="16" t="str">
        <v>successful</v>
      </c>
      <c r="B532" s="5">
        <v>144</v>
      </c>
    </row>
    <row r="533" spans="1:2" x14ac:dyDescent="0.2">
      <c r="A533" s="16" t="str">
        <v>successful</v>
      </c>
      <c r="B533" s="5">
        <v>1902</v>
      </c>
    </row>
    <row r="534" spans="1:2" x14ac:dyDescent="0.2">
      <c r="A534" s="16" t="str">
        <v>successful</v>
      </c>
      <c r="B534" s="5">
        <v>105</v>
      </c>
    </row>
    <row r="535" spans="1:2" x14ac:dyDescent="0.2">
      <c r="A535" s="16" t="str">
        <v>successful</v>
      </c>
      <c r="B535" s="5">
        <v>132</v>
      </c>
    </row>
    <row r="536" spans="1:2" x14ac:dyDescent="0.2">
      <c r="A536" s="16" t="str">
        <v>successful</v>
      </c>
      <c r="B536" s="5">
        <v>96</v>
      </c>
    </row>
    <row r="537" spans="1:2" x14ac:dyDescent="0.2">
      <c r="A537" s="16" t="str">
        <v>successful</v>
      </c>
      <c r="B537" s="5">
        <v>114</v>
      </c>
    </row>
    <row r="538" spans="1:2" x14ac:dyDescent="0.2">
      <c r="A538" s="16" t="str">
        <v>successful</v>
      </c>
      <c r="B538" s="5">
        <v>203</v>
      </c>
    </row>
    <row r="539" spans="1:2" x14ac:dyDescent="0.2">
      <c r="A539" s="16" t="str">
        <v>successful</v>
      </c>
      <c r="B539" s="5">
        <v>1559</v>
      </c>
    </row>
    <row r="540" spans="1:2" x14ac:dyDescent="0.2">
      <c r="A540" s="16" t="str">
        <v>successful</v>
      </c>
      <c r="B540" s="5">
        <v>1548</v>
      </c>
    </row>
    <row r="541" spans="1:2" x14ac:dyDescent="0.2">
      <c r="A541" s="16" t="str">
        <v>successful</v>
      </c>
      <c r="B541" s="5">
        <v>80</v>
      </c>
    </row>
    <row r="542" spans="1:2" x14ac:dyDescent="0.2">
      <c r="A542" s="16" t="str">
        <v>successful</v>
      </c>
      <c r="B542" s="5">
        <v>131</v>
      </c>
    </row>
    <row r="543" spans="1:2" x14ac:dyDescent="0.2">
      <c r="A543" s="16" t="str">
        <v>successful</v>
      </c>
      <c r="B543" s="5">
        <v>112</v>
      </c>
    </row>
    <row r="544" spans="1:2" x14ac:dyDescent="0.2">
      <c r="A544" s="16" t="str">
        <v>successful</v>
      </c>
      <c r="B544" s="5">
        <v>155</v>
      </c>
    </row>
    <row r="545" spans="1:2" x14ac:dyDescent="0.2">
      <c r="A545" s="16" t="str">
        <v>successful</v>
      </c>
      <c r="B545" s="5">
        <v>266</v>
      </c>
    </row>
    <row r="546" spans="1:2" x14ac:dyDescent="0.2">
      <c r="A546" s="16" t="str">
        <v>successful</v>
      </c>
      <c r="B546" s="5">
        <v>155</v>
      </c>
    </row>
    <row r="547" spans="1:2" x14ac:dyDescent="0.2">
      <c r="A547" s="16" t="str">
        <v>successful</v>
      </c>
      <c r="B547" s="5">
        <v>207</v>
      </c>
    </row>
    <row r="548" spans="1:2" x14ac:dyDescent="0.2">
      <c r="A548" s="16" t="str">
        <v>successful</v>
      </c>
      <c r="B548" s="5">
        <v>245</v>
      </c>
    </row>
    <row r="549" spans="1:2" x14ac:dyDescent="0.2">
      <c r="A549" s="16" t="str">
        <v>successful</v>
      </c>
      <c r="B549" s="5">
        <v>1573</v>
      </c>
    </row>
    <row r="550" spans="1:2" x14ac:dyDescent="0.2">
      <c r="A550" s="16" t="str">
        <v>successful</v>
      </c>
      <c r="B550" s="5">
        <v>114</v>
      </c>
    </row>
    <row r="551" spans="1:2" x14ac:dyDescent="0.2">
      <c r="A551" s="16" t="str">
        <v>successful</v>
      </c>
      <c r="B551" s="5">
        <v>93</v>
      </c>
    </row>
    <row r="552" spans="1:2" x14ac:dyDescent="0.2">
      <c r="A552" s="16" t="str">
        <v>successful</v>
      </c>
      <c r="B552" s="5">
        <v>1681</v>
      </c>
    </row>
    <row r="553" spans="1:2" x14ac:dyDescent="0.2">
      <c r="A553" s="16" t="str">
        <v>successful</v>
      </c>
      <c r="B553" s="5">
        <v>32</v>
      </c>
    </row>
    <row r="554" spans="1:2" x14ac:dyDescent="0.2">
      <c r="A554" s="16" t="str">
        <v>successful</v>
      </c>
      <c r="B554" s="5">
        <v>135</v>
      </c>
    </row>
    <row r="555" spans="1:2" x14ac:dyDescent="0.2">
      <c r="A555" s="16" t="str">
        <v>successful</v>
      </c>
      <c r="B555" s="5">
        <v>140</v>
      </c>
    </row>
    <row r="556" spans="1:2" x14ac:dyDescent="0.2">
      <c r="A556" s="16" t="str">
        <v>successful</v>
      </c>
      <c r="B556" s="5">
        <v>92</v>
      </c>
    </row>
    <row r="557" spans="1:2" x14ac:dyDescent="0.2">
      <c r="A557" s="16" t="str">
        <v>successful</v>
      </c>
      <c r="B557" s="5">
        <v>1015</v>
      </c>
    </row>
    <row r="558" spans="1:2" x14ac:dyDescent="0.2">
      <c r="A558" s="16" t="str">
        <v>successful</v>
      </c>
      <c r="B558" s="5">
        <v>323</v>
      </c>
    </row>
    <row r="559" spans="1:2" x14ac:dyDescent="0.2">
      <c r="A559" s="16" t="str">
        <v>successful</v>
      </c>
      <c r="B559" s="5">
        <v>2326</v>
      </c>
    </row>
    <row r="560" spans="1:2" x14ac:dyDescent="0.2">
      <c r="A560" s="16" t="str">
        <v>successful</v>
      </c>
      <c r="B560" s="5">
        <v>381</v>
      </c>
    </row>
    <row r="561" spans="1:2" x14ac:dyDescent="0.2">
      <c r="A561" s="16" t="str">
        <v>successful</v>
      </c>
      <c r="B561" s="5">
        <v>480</v>
      </c>
    </row>
    <row r="562" spans="1:2" x14ac:dyDescent="0.2">
      <c r="A562" s="16" t="str">
        <v>successful</v>
      </c>
      <c r="B562" s="5">
        <v>226</v>
      </c>
    </row>
    <row r="563" spans="1:2" x14ac:dyDescent="0.2">
      <c r="A563" s="16" t="str">
        <v>successful</v>
      </c>
      <c r="B563" s="5">
        <v>241</v>
      </c>
    </row>
    <row r="564" spans="1:2" x14ac:dyDescent="0.2">
      <c r="A564" s="16" t="str">
        <v>successful</v>
      </c>
      <c r="B564" s="5">
        <v>132</v>
      </c>
    </row>
    <row r="565" spans="1:2" x14ac:dyDescent="0.2">
      <c r="A565" s="16" t="str">
        <v>successful</v>
      </c>
      <c r="B565" s="5">
        <v>2043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F336F-DDB0-8C4F-9FB8-FE4C85773623}">
  <dimension ref="A1:Q565"/>
  <sheetViews>
    <sheetView zoomScaleNormal="100" workbookViewId="0">
      <selection activeCell="J1" sqref="J1"/>
    </sheetView>
  </sheetViews>
  <sheetFormatPr baseColWidth="10" defaultRowHeight="16" x14ac:dyDescent="0.2"/>
  <cols>
    <col min="1" max="12" width="10.83203125" style="5"/>
    <col min="13" max="13" width="20.83203125" style="5" customWidth="1"/>
    <col min="14" max="15" width="20.83203125" style="21" customWidth="1"/>
    <col min="16" max="17" width="20.83203125" style="5" customWidth="1"/>
    <col min="18" max="16384" width="10.83203125" style="5"/>
  </cols>
  <sheetData>
    <row r="1" spans="1:17" x14ac:dyDescent="0.2">
      <c r="A1" s="16" t="str" cm="1">
        <f t="array" ref="A1:A565">_xlfn._xlws.FILTER(CrowdfundingTable[outcome],CrowdfundingTable[outcome]="successful")</f>
        <v>successful</v>
      </c>
      <c r="B1" s="5" cm="1">
        <f t="array" ref="B1:B565">_xlfn._xlws.FILTER(CrowdfundingTable[duration],CrowdfundingTable[outcome]="successful")</f>
        <v>2</v>
      </c>
      <c r="D1" s="17" t="str" cm="1">
        <f t="array" ref="D1:D364">_xlfn._xlws.FILTER(CrowdfundingTable[outcome],CrowdfundingTable[outcome]="failed")</f>
        <v>failed</v>
      </c>
      <c r="E1" s="5" cm="1">
        <f t="array" ref="E1:E364">_xlfn._xlws.FILTER(CrowdfundingTable[duration],CrowdfundingTable[outcome]="failed")</f>
        <v>17</v>
      </c>
      <c r="F1" s="88" t="str" cm="1">
        <f t="array" ref="F1:F57">_xlfn._xlws.FILTER(CrowdfundingTable[outcome],CrowdfundingTable[outcome]="canceled")</f>
        <v>canceled</v>
      </c>
      <c r="G1" s="5" cm="1">
        <f t="array" ref="G1:G57">_xlfn._xlws.FILTER(CrowdfundingTable[duration],CrowdfundingTable[outcome]="canceled")</f>
        <v>8</v>
      </c>
      <c r="H1" s="90" t="str" cm="1">
        <f t="array" ref="H1:H14">_xlfn._xlws.FILTER(CrowdfundingTable[outcome],CrowdfundingTable[outcome]="live")</f>
        <v>live</v>
      </c>
      <c r="I1" s="5" cm="1">
        <f t="array" ref="I1:I14">_xlfn._xlws.FILTER(CrowdfundingTable[duration],CrowdfundingTable[outcome]="live")</f>
        <v>2</v>
      </c>
      <c r="M1" s="5" t="s">
        <v>2105</v>
      </c>
      <c r="N1" s="21" t="s">
        <v>2096</v>
      </c>
      <c r="O1" s="21" t="s">
        <v>2097</v>
      </c>
      <c r="P1" s="21" t="s">
        <v>2225</v>
      </c>
      <c r="Q1" s="21" t="s">
        <v>2226</v>
      </c>
    </row>
    <row r="2" spans="1:17" x14ac:dyDescent="0.2">
      <c r="A2" s="16" t="str">
        <v>successful</v>
      </c>
      <c r="B2" s="5">
        <v>2</v>
      </c>
      <c r="D2" s="17" t="str">
        <v>failed</v>
      </c>
      <c r="E2" s="5">
        <v>40</v>
      </c>
      <c r="F2" s="88" t="str">
        <v>canceled</v>
      </c>
      <c r="G2" s="5">
        <v>27</v>
      </c>
      <c r="H2" s="90" t="str">
        <v>live</v>
      </c>
      <c r="I2" s="5">
        <v>7</v>
      </c>
      <c r="M2" s="5" t="s">
        <v>2122</v>
      </c>
      <c r="N2" s="32">
        <f>SUM($B$1:$B$565)</f>
        <v>8549</v>
      </c>
      <c r="O2" s="32">
        <f>SUM($E$1:$E$565)</f>
        <v>5718</v>
      </c>
      <c r="P2" s="32">
        <f>SUM(_xlfn.ANCHORARRAY(G1))</f>
        <v>856</v>
      </c>
      <c r="Q2" s="32">
        <f>SUM(_xlfn.ANCHORARRAY(I1))</f>
        <v>274</v>
      </c>
    </row>
    <row r="3" spans="1:17" x14ac:dyDescent="0.2">
      <c r="A3" s="16" t="str">
        <v>successful</v>
      </c>
      <c r="B3" s="5">
        <v>11</v>
      </c>
      <c r="D3" s="17" t="str">
        <v>failed</v>
      </c>
      <c r="E3" s="5">
        <v>4</v>
      </c>
      <c r="F3" s="88" t="str">
        <v>canceled</v>
      </c>
      <c r="G3" s="5">
        <v>34</v>
      </c>
      <c r="H3" s="90" t="str">
        <v>live</v>
      </c>
      <c r="I3" s="5">
        <v>31</v>
      </c>
      <c r="M3" s="5" t="s">
        <v>2098</v>
      </c>
      <c r="N3" s="31">
        <f>AVERAGE($B$1:$B$565)</f>
        <v>15.130973451327433</v>
      </c>
      <c r="O3" s="31">
        <f>AVERAGE($E$1:$E$565)</f>
        <v>15.708791208791208</v>
      </c>
      <c r="P3" s="31">
        <f>AVERAGE(_xlfn.ANCHORARRAY(G1))</f>
        <v>15.017543859649123</v>
      </c>
      <c r="Q3" s="31">
        <f>AVERAGE(_xlfn.ANCHORARRAY(I1))</f>
        <v>19.571428571428573</v>
      </c>
    </row>
    <row r="4" spans="1:17" x14ac:dyDescent="0.2">
      <c r="A4" s="16" t="str">
        <v>successful</v>
      </c>
      <c r="B4" s="5">
        <v>2</v>
      </c>
      <c r="D4" s="17" t="str">
        <v>failed</v>
      </c>
      <c r="E4" s="5">
        <v>1</v>
      </c>
      <c r="F4" s="88" t="str">
        <v>canceled</v>
      </c>
      <c r="G4" s="5">
        <v>4</v>
      </c>
      <c r="H4" s="90" t="str">
        <v>live</v>
      </c>
      <c r="I4" s="5">
        <v>11</v>
      </c>
      <c r="M4" s="5" t="s">
        <v>2102</v>
      </c>
      <c r="N4" s="32">
        <f>MODE($B$1:$B$565)</f>
        <v>1</v>
      </c>
      <c r="O4" s="32">
        <f>MODE($E$1:$E$565)</f>
        <v>2</v>
      </c>
      <c r="P4" s="32">
        <f>MODE(_xlfn.ANCHORARRAY(G1))</f>
        <v>14</v>
      </c>
      <c r="Q4" s="32">
        <f>MODE(_xlfn.ANCHORARRAY(I1))</f>
        <v>0</v>
      </c>
    </row>
    <row r="5" spans="1:17" x14ac:dyDescent="0.2">
      <c r="A5" s="16" t="str">
        <v>successful</v>
      </c>
      <c r="B5" s="5">
        <v>48</v>
      </c>
      <c r="D5" s="17" t="str">
        <v>failed</v>
      </c>
      <c r="E5" s="5">
        <v>49</v>
      </c>
      <c r="F5" s="88" t="str">
        <v>canceled</v>
      </c>
      <c r="G5" s="5">
        <v>13</v>
      </c>
      <c r="H5" s="90" t="str">
        <v>live</v>
      </c>
      <c r="I5" s="5">
        <v>40</v>
      </c>
      <c r="M5" s="5" t="s">
        <v>2099</v>
      </c>
      <c r="N5" s="32">
        <f>MIN($B$1:$B$565)</f>
        <v>0</v>
      </c>
      <c r="O5" s="32">
        <f>MIN($E$1:$E$565)</f>
        <v>0</v>
      </c>
      <c r="P5" s="32">
        <f>MIN(_xlfn.ANCHORARRAY(G1))</f>
        <v>0</v>
      </c>
      <c r="Q5" s="32">
        <f>MIN(_xlfn.ANCHORARRAY(I1))</f>
        <v>0</v>
      </c>
    </row>
    <row r="6" spans="1:17" x14ac:dyDescent="0.2">
      <c r="A6" s="16" t="str">
        <v>successful</v>
      </c>
      <c r="B6" s="5">
        <v>12</v>
      </c>
      <c r="D6" s="17" t="str">
        <v>failed</v>
      </c>
      <c r="E6" s="5">
        <v>6</v>
      </c>
      <c r="F6" s="88" t="str">
        <v>canceled</v>
      </c>
      <c r="G6" s="5">
        <v>25</v>
      </c>
      <c r="H6" s="90" t="str">
        <v>live</v>
      </c>
      <c r="I6" s="5">
        <v>0</v>
      </c>
      <c r="M6" s="5" t="s">
        <v>2108</v>
      </c>
      <c r="N6" s="32">
        <f>_xlfn.QUARTILE.EXC($B$1:$B$565,1)</f>
        <v>5</v>
      </c>
      <c r="O6" s="32">
        <f>_xlfn.QUARTILE.EXC($E$1:$E$565,1)</f>
        <v>4</v>
      </c>
      <c r="P6" s="32">
        <f>_xlfn.QUARTILE.EXC(_xlfn.ANCHORARRAY(G1),1)</f>
        <v>5.5</v>
      </c>
      <c r="Q6" s="32">
        <f>_xlfn.QUARTILE.EXC(_xlfn.ANCHORARRAY(I1),1)</f>
        <v>5.75</v>
      </c>
    </row>
    <row r="7" spans="1:17" x14ac:dyDescent="0.2">
      <c r="A7" s="16" t="str">
        <v>successful</v>
      </c>
      <c r="B7" s="5">
        <v>22</v>
      </c>
      <c r="D7" s="17" t="str">
        <v>failed</v>
      </c>
      <c r="E7" s="5">
        <v>8</v>
      </c>
      <c r="F7" s="88" t="str">
        <v>canceled</v>
      </c>
      <c r="G7" s="5">
        <v>12</v>
      </c>
      <c r="H7" s="90" t="str">
        <v>live</v>
      </c>
      <c r="I7" s="5">
        <v>27</v>
      </c>
      <c r="M7" s="30" t="s">
        <v>2109</v>
      </c>
      <c r="N7" s="31">
        <f>_xlfn.QUARTILE.EXC($B$1:$B$565,2)</f>
        <v>12</v>
      </c>
      <c r="O7" s="31">
        <f>_xlfn.QUARTILE.EXC($E$1:$E$565,2)</f>
        <v>12</v>
      </c>
      <c r="P7" s="31">
        <f>_xlfn.QUARTILE.EXC(_xlfn.ANCHORARRAY(G1),2)</f>
        <v>13</v>
      </c>
      <c r="Q7" s="31">
        <f>_xlfn.QUARTILE.EXC(_xlfn.ANCHORARRAY(I1),2)</f>
        <v>19.5</v>
      </c>
    </row>
    <row r="8" spans="1:17" x14ac:dyDescent="0.2">
      <c r="A8" s="16" t="str">
        <v>successful</v>
      </c>
      <c r="B8" s="5">
        <v>1</v>
      </c>
      <c r="D8" s="17" t="str">
        <v>failed</v>
      </c>
      <c r="E8" s="5">
        <v>27</v>
      </c>
      <c r="F8" s="88" t="str">
        <v>canceled</v>
      </c>
      <c r="G8" s="5">
        <v>20</v>
      </c>
      <c r="H8" s="90" t="str">
        <v>live</v>
      </c>
      <c r="I8" s="5">
        <v>56</v>
      </c>
      <c r="M8" s="30" t="s">
        <v>2110</v>
      </c>
      <c r="N8" s="32">
        <f>_xlfn.QUARTILE.EXC($B$1:$B$565,3)</f>
        <v>23</v>
      </c>
      <c r="O8" s="32">
        <f>_xlfn.QUARTILE.EXC($E$1:$E$565,3)</f>
        <v>24</v>
      </c>
      <c r="P8" s="32">
        <f>_xlfn.QUARTILE.EXC(_xlfn.ANCHORARRAY(G1),3)</f>
        <v>22</v>
      </c>
      <c r="Q8" s="32">
        <f>_xlfn.QUARTILE.EXC(_xlfn.ANCHORARRAY(I1),3)</f>
        <v>28</v>
      </c>
    </row>
    <row r="9" spans="1:17" x14ac:dyDescent="0.2">
      <c r="A9" s="16" t="str">
        <v>successful</v>
      </c>
      <c r="B9" s="5">
        <v>0</v>
      </c>
      <c r="D9" s="17" t="str">
        <v>failed</v>
      </c>
      <c r="E9" s="5">
        <v>4</v>
      </c>
      <c r="F9" s="88" t="str">
        <v>canceled</v>
      </c>
      <c r="G9" s="5">
        <v>24</v>
      </c>
      <c r="H9" s="90" t="str">
        <v>live</v>
      </c>
      <c r="I9" s="5">
        <v>18</v>
      </c>
      <c r="M9" s="5" t="s">
        <v>2100</v>
      </c>
      <c r="N9" s="32">
        <f>MAX($B$1:$B$565)</f>
        <v>58</v>
      </c>
      <c r="O9" s="32">
        <f>MAX($E$1:$E$565)</f>
        <v>59</v>
      </c>
      <c r="P9" s="32">
        <f>MAX(_xlfn.ANCHORARRAY(G1))</f>
        <v>58</v>
      </c>
      <c r="Q9" s="32">
        <f>MAX(_xlfn.ANCHORARRAY(I1))</f>
        <v>56</v>
      </c>
    </row>
    <row r="10" spans="1:17" x14ac:dyDescent="0.2">
      <c r="A10" s="16" t="str">
        <v>successful</v>
      </c>
      <c r="B10" s="5">
        <v>15</v>
      </c>
      <c r="D10" s="17" t="str">
        <v>failed</v>
      </c>
      <c r="E10" s="5">
        <v>21</v>
      </c>
      <c r="F10" s="88" t="str">
        <v>canceled</v>
      </c>
      <c r="G10" s="5">
        <v>0</v>
      </c>
      <c r="H10" s="90" t="str">
        <v>live</v>
      </c>
      <c r="I10" s="5">
        <v>0</v>
      </c>
      <c r="M10" s="5" t="s">
        <v>2106</v>
      </c>
      <c r="N10" s="31">
        <f>$N$8-$N$6</f>
        <v>18</v>
      </c>
      <c r="O10" s="31">
        <f>$O$8-$O$6</f>
        <v>20</v>
      </c>
      <c r="P10" s="31">
        <f>$P$8-$P$6</f>
        <v>16.5</v>
      </c>
      <c r="Q10" s="31">
        <f>$Q$8-$Q$6</f>
        <v>22.25</v>
      </c>
    </row>
    <row r="11" spans="1:17" x14ac:dyDescent="0.2">
      <c r="A11" s="16" t="str">
        <v>successful</v>
      </c>
      <c r="B11" s="5">
        <v>53</v>
      </c>
      <c r="D11" s="17" t="str">
        <v>failed</v>
      </c>
      <c r="E11" s="5">
        <v>34</v>
      </c>
      <c r="F11" s="88" t="str">
        <v>canceled</v>
      </c>
      <c r="G11" s="5">
        <v>4</v>
      </c>
      <c r="H11" s="90" t="str">
        <v>live</v>
      </c>
      <c r="I11" s="5">
        <v>21</v>
      </c>
      <c r="M11" s="5" t="s">
        <v>2111</v>
      </c>
      <c r="N11" s="31">
        <f>$N$8+(1.5*$N$10)</f>
        <v>50</v>
      </c>
      <c r="O11" s="31">
        <f>$O$8+(1.5*$O$10)</f>
        <v>54</v>
      </c>
      <c r="P11" s="31">
        <f>$P$8+(1.5*$P$10)</f>
        <v>46.75</v>
      </c>
      <c r="Q11" s="31">
        <f>$Q$8+(1.5*$Q$10)</f>
        <v>61.375</v>
      </c>
    </row>
    <row r="12" spans="1:17" x14ac:dyDescent="0.2">
      <c r="A12" s="16" t="str">
        <v>successful</v>
      </c>
      <c r="B12" s="5">
        <v>2</v>
      </c>
      <c r="D12" s="17" t="str">
        <v>failed</v>
      </c>
      <c r="E12" s="5">
        <v>8</v>
      </c>
      <c r="F12" s="88" t="str">
        <v>canceled</v>
      </c>
      <c r="G12" s="5">
        <v>9</v>
      </c>
      <c r="H12" s="90" t="str">
        <v>live</v>
      </c>
      <c r="I12" s="5">
        <v>15</v>
      </c>
      <c r="M12" s="5" t="s">
        <v>2112</v>
      </c>
      <c r="N12" s="31">
        <f>$N$6-(1.5*$N$10)</f>
        <v>-22</v>
      </c>
      <c r="O12" s="31">
        <f>$O$6-(1.5*$O$10)</f>
        <v>-26</v>
      </c>
      <c r="P12" s="31">
        <f>$P$6-(1.5*$P$10)</f>
        <v>-19.25</v>
      </c>
      <c r="Q12" s="31">
        <f>$Q$6-(1.5*$Q$10)</f>
        <v>-27.625</v>
      </c>
    </row>
    <row r="13" spans="1:17" x14ac:dyDescent="0.2">
      <c r="A13" s="16" t="str">
        <v>successful</v>
      </c>
      <c r="B13" s="5">
        <v>20</v>
      </c>
      <c r="D13" s="17" t="str">
        <v>failed</v>
      </c>
      <c r="E13" s="5">
        <v>27</v>
      </c>
      <c r="F13" s="88" t="str">
        <v>canceled</v>
      </c>
      <c r="G13" s="5">
        <v>58</v>
      </c>
      <c r="H13" s="90" t="str">
        <v>live</v>
      </c>
      <c r="I13" s="5">
        <v>24</v>
      </c>
      <c r="M13" s="5" t="s">
        <v>2107</v>
      </c>
      <c r="N13" s="32">
        <f>COUNTIF($B$1:$B$565, "&gt;"&amp;$N$11)</f>
        <v>8</v>
      </c>
      <c r="O13" s="32">
        <f>COUNTIF($E$1:$E$565, "&gt;"&amp;$O$11)</f>
        <v>4</v>
      </c>
      <c r="P13" s="32">
        <f>COUNTIF(_xlfn.ANCHORARRAY(G1), "&gt;"&amp;$P$11)</f>
        <v>3</v>
      </c>
      <c r="Q13" s="32">
        <f>COUNTIF(_xlfn.ANCHORARRAY(I1), "&gt;"&amp;$Q$11)</f>
        <v>0</v>
      </c>
    </row>
    <row r="14" spans="1:17" x14ac:dyDescent="0.2">
      <c r="A14" s="16" t="str">
        <v>successful</v>
      </c>
      <c r="B14" s="5">
        <v>23</v>
      </c>
      <c r="D14" s="17" t="str">
        <v>failed</v>
      </c>
      <c r="E14" s="5">
        <v>14</v>
      </c>
      <c r="F14" s="88" t="str">
        <v>canceled</v>
      </c>
      <c r="G14" s="5">
        <v>2</v>
      </c>
      <c r="H14" s="90" t="str">
        <v>live</v>
      </c>
      <c r="I14" s="5">
        <v>22</v>
      </c>
      <c r="M14" s="5" t="s">
        <v>2101</v>
      </c>
      <c r="N14" s="31">
        <f>_xlfn.VAR.P($B$1:$B$565)</f>
        <v>168.47842117628633</v>
      </c>
      <c r="O14" s="31">
        <f>_xlfn.VAR.P($E$1:$E$565)</f>
        <v>192.66245018717547</v>
      </c>
      <c r="P14" s="31">
        <f>_xlfn.VAR.P(_xlfn.ANCHORARRAY(G1))</f>
        <v>156.71899045860263</v>
      </c>
      <c r="Q14" s="31">
        <f>_xlfn.VAR.P(_xlfn.ANCHORARRAY(I1))</f>
        <v>234.81632653061226</v>
      </c>
    </row>
    <row r="15" spans="1:17" x14ac:dyDescent="0.2">
      <c r="A15" s="16" t="str">
        <v>successful</v>
      </c>
      <c r="B15" s="5">
        <v>40</v>
      </c>
      <c r="D15" s="17" t="str">
        <v>failed</v>
      </c>
      <c r="E15" s="5">
        <v>15</v>
      </c>
      <c r="F15" s="88" t="str">
        <v>canceled</v>
      </c>
      <c r="G15" s="5">
        <v>7</v>
      </c>
      <c r="M15" s="5" t="s">
        <v>2103</v>
      </c>
      <c r="N15" s="31">
        <f>_xlfn.STDEV.P($B$1:$B$565)</f>
        <v>12.979923773901229</v>
      </c>
      <c r="O15" s="31">
        <f>_xlfn.STDEV.P($E$1:$E$565)</f>
        <v>13.880289989304094</v>
      </c>
      <c r="P15" s="31">
        <f>_xlfn.STDEV.P(_xlfn.ANCHORARRAY(G1))</f>
        <v>12.518745562499568</v>
      </c>
      <c r="Q15" s="31">
        <f>_xlfn.STDEV.P(_xlfn.ANCHORARRAY(I1))</f>
        <v>15.323717777700432</v>
      </c>
    </row>
    <row r="16" spans="1:17" x14ac:dyDescent="0.2">
      <c r="A16" s="16" t="str">
        <v>successful</v>
      </c>
      <c r="B16" s="5">
        <v>5</v>
      </c>
      <c r="D16" s="17" t="str">
        <v>failed</v>
      </c>
      <c r="E16" s="5">
        <v>28</v>
      </c>
      <c r="F16" s="88" t="str">
        <v>canceled</v>
      </c>
      <c r="G16" s="5">
        <v>9</v>
      </c>
      <c r="M16" s="5" t="s">
        <v>2104</v>
      </c>
      <c r="N16" s="31">
        <f>_xlfn.SKEW.P($B$1:$B$565)</f>
        <v>1.0536610297084326</v>
      </c>
      <c r="O16" s="31">
        <f>_xlfn.SKEW.P($E$1:$E$565)</f>
        <v>1.0600207517137137</v>
      </c>
      <c r="P16" s="31">
        <f>_xlfn.SKEW.P(_xlfn.ANCHORARRAY(G1))</f>
        <v>1.355317916312258</v>
      </c>
      <c r="Q16" s="31">
        <f>_xlfn.SKEW.P(_xlfn.ANCHORARRAY(I1))</f>
        <v>0.7094660174103089</v>
      </c>
    </row>
    <row r="17" spans="1:15" x14ac:dyDescent="0.2">
      <c r="A17" s="16" t="str">
        <v>successful</v>
      </c>
      <c r="B17" s="5">
        <v>28</v>
      </c>
      <c r="D17" s="17" t="str">
        <v>failed</v>
      </c>
      <c r="E17" s="5">
        <v>16</v>
      </c>
      <c r="F17" s="88" t="str">
        <v>canceled</v>
      </c>
      <c r="G17" s="5">
        <v>20</v>
      </c>
      <c r="N17" s="31"/>
      <c r="O17" s="31"/>
    </row>
    <row r="18" spans="1:15" x14ac:dyDescent="0.2">
      <c r="A18" s="16" t="str">
        <v>successful</v>
      </c>
      <c r="B18" s="5">
        <v>37</v>
      </c>
      <c r="D18" s="17" t="str">
        <v>failed</v>
      </c>
      <c r="E18" s="5">
        <v>4</v>
      </c>
      <c r="F18" s="88" t="str">
        <v>canceled</v>
      </c>
      <c r="G18" s="5">
        <v>24</v>
      </c>
      <c r="N18" s="31"/>
      <c r="O18" s="31"/>
    </row>
    <row r="19" spans="1:15" x14ac:dyDescent="0.2">
      <c r="A19" s="16" t="str">
        <v>successful</v>
      </c>
      <c r="B19" s="5">
        <v>5</v>
      </c>
      <c r="D19" s="17" t="str">
        <v>failed</v>
      </c>
      <c r="E19" s="5">
        <v>6</v>
      </c>
      <c r="F19" s="88" t="str">
        <v>canceled</v>
      </c>
      <c r="G19" s="5">
        <v>14</v>
      </c>
      <c r="N19" s="31"/>
      <c r="O19" s="31"/>
    </row>
    <row r="20" spans="1:15" x14ac:dyDescent="0.2">
      <c r="A20" s="16" t="str">
        <v>successful</v>
      </c>
      <c r="B20" s="5">
        <v>42</v>
      </c>
      <c r="D20" s="17" t="str">
        <v>failed</v>
      </c>
      <c r="E20" s="5">
        <v>40</v>
      </c>
      <c r="F20" s="88" t="str">
        <v>canceled</v>
      </c>
      <c r="G20" s="5">
        <v>2</v>
      </c>
    </row>
    <row r="21" spans="1:15" x14ac:dyDescent="0.2">
      <c r="A21" s="16" t="str">
        <v>successful</v>
      </c>
      <c r="B21" s="5">
        <v>25</v>
      </c>
      <c r="D21" s="17" t="str">
        <v>failed</v>
      </c>
      <c r="E21" s="5">
        <v>6</v>
      </c>
      <c r="F21" s="88" t="str">
        <v>canceled</v>
      </c>
      <c r="G21" s="5">
        <v>28</v>
      </c>
    </row>
    <row r="22" spans="1:15" x14ac:dyDescent="0.2">
      <c r="A22" s="16" t="str">
        <v>successful</v>
      </c>
      <c r="B22" s="5">
        <v>33</v>
      </c>
      <c r="D22" s="17" t="str">
        <v>failed</v>
      </c>
      <c r="E22" s="5">
        <v>15</v>
      </c>
      <c r="F22" s="88" t="str">
        <v>canceled</v>
      </c>
      <c r="G22" s="5">
        <v>14</v>
      </c>
    </row>
    <row r="23" spans="1:15" x14ac:dyDescent="0.2">
      <c r="A23" s="16" t="str">
        <v>successful</v>
      </c>
      <c r="B23" s="5">
        <v>5</v>
      </c>
      <c r="D23" s="17" t="str">
        <v>failed</v>
      </c>
      <c r="E23" s="5">
        <v>5</v>
      </c>
      <c r="F23" s="88" t="str">
        <v>canceled</v>
      </c>
      <c r="G23" s="5">
        <v>19</v>
      </c>
    </row>
    <row r="24" spans="1:15" x14ac:dyDescent="0.2">
      <c r="A24" s="16" t="str">
        <v>successful</v>
      </c>
      <c r="B24" s="5">
        <v>19</v>
      </c>
      <c r="D24" s="17" t="str">
        <v>failed</v>
      </c>
      <c r="E24" s="5">
        <v>49</v>
      </c>
      <c r="F24" s="88" t="str">
        <v>canceled</v>
      </c>
      <c r="G24" s="5">
        <v>16</v>
      </c>
    </row>
    <row r="25" spans="1:15" x14ac:dyDescent="0.2">
      <c r="A25" s="16" t="str">
        <v>successful</v>
      </c>
      <c r="B25" s="5">
        <v>26</v>
      </c>
      <c r="D25" s="17" t="str">
        <v>failed</v>
      </c>
      <c r="E25" s="5">
        <v>14</v>
      </c>
      <c r="F25" s="88" t="str">
        <v>canceled</v>
      </c>
      <c r="G25" s="5">
        <v>35</v>
      </c>
    </row>
    <row r="26" spans="1:15" x14ac:dyDescent="0.2">
      <c r="A26" s="16" t="str">
        <v>successful</v>
      </c>
      <c r="B26" s="5">
        <v>9</v>
      </c>
      <c r="D26" s="17" t="str">
        <v>failed</v>
      </c>
      <c r="E26" s="5">
        <v>5</v>
      </c>
      <c r="F26" s="88" t="str">
        <v>canceled</v>
      </c>
      <c r="G26" s="5">
        <v>2</v>
      </c>
    </row>
    <row r="27" spans="1:15" x14ac:dyDescent="0.2">
      <c r="A27" s="16" t="str">
        <v>successful</v>
      </c>
      <c r="B27" s="5">
        <v>16</v>
      </c>
      <c r="D27" s="17" t="str">
        <v>failed</v>
      </c>
      <c r="E27" s="5">
        <v>22</v>
      </c>
      <c r="F27" s="88" t="str">
        <v>canceled</v>
      </c>
      <c r="G27" s="5">
        <v>5</v>
      </c>
    </row>
    <row r="28" spans="1:15" x14ac:dyDescent="0.2">
      <c r="A28" s="16" t="str">
        <v>successful</v>
      </c>
      <c r="B28" s="5">
        <v>1</v>
      </c>
      <c r="D28" s="17" t="str">
        <v>failed</v>
      </c>
      <c r="E28" s="5">
        <v>11</v>
      </c>
      <c r="F28" s="88" t="str">
        <v>canceled</v>
      </c>
      <c r="G28" s="5">
        <v>21</v>
      </c>
    </row>
    <row r="29" spans="1:15" x14ac:dyDescent="0.2">
      <c r="A29" s="16" t="str">
        <v>successful</v>
      </c>
      <c r="B29" s="5">
        <v>23</v>
      </c>
      <c r="D29" s="17" t="str">
        <v>failed</v>
      </c>
      <c r="E29" s="5">
        <v>0</v>
      </c>
      <c r="F29" s="88" t="str">
        <v>canceled</v>
      </c>
      <c r="G29" s="5">
        <v>16</v>
      </c>
    </row>
    <row r="30" spans="1:15" x14ac:dyDescent="0.2">
      <c r="A30" s="16" t="str">
        <v>successful</v>
      </c>
      <c r="B30" s="5">
        <v>30</v>
      </c>
      <c r="D30" s="17" t="str">
        <v>failed</v>
      </c>
      <c r="E30" s="5">
        <v>28</v>
      </c>
      <c r="F30" s="88" t="str">
        <v>canceled</v>
      </c>
      <c r="G30" s="5">
        <v>26</v>
      </c>
    </row>
    <row r="31" spans="1:15" x14ac:dyDescent="0.2">
      <c r="A31" s="16" t="str">
        <v>successful</v>
      </c>
      <c r="B31" s="5">
        <v>12</v>
      </c>
      <c r="D31" s="17" t="str">
        <v>failed</v>
      </c>
      <c r="E31" s="5">
        <v>4</v>
      </c>
      <c r="F31" s="88" t="str">
        <v>canceled</v>
      </c>
      <c r="G31" s="5">
        <v>12</v>
      </c>
    </row>
    <row r="32" spans="1:15" x14ac:dyDescent="0.2">
      <c r="A32" s="16" t="str">
        <v>successful</v>
      </c>
      <c r="B32" s="5">
        <v>45</v>
      </c>
      <c r="D32" s="17" t="str">
        <v>failed</v>
      </c>
      <c r="E32" s="5">
        <v>18</v>
      </c>
      <c r="F32" s="88" t="str">
        <v>canceled</v>
      </c>
      <c r="G32" s="5">
        <v>11</v>
      </c>
    </row>
    <row r="33" spans="1:7" x14ac:dyDescent="0.2">
      <c r="A33" s="16" t="str">
        <v>successful</v>
      </c>
      <c r="B33" s="5">
        <v>39</v>
      </c>
      <c r="D33" s="17" t="str">
        <v>failed</v>
      </c>
      <c r="E33" s="5">
        <v>9</v>
      </c>
      <c r="F33" s="88" t="str">
        <v>canceled</v>
      </c>
      <c r="G33" s="5">
        <v>14</v>
      </c>
    </row>
    <row r="34" spans="1:7" x14ac:dyDescent="0.2">
      <c r="A34" s="16" t="str">
        <v>successful</v>
      </c>
      <c r="B34" s="5">
        <v>5</v>
      </c>
      <c r="D34" s="17" t="str">
        <v>failed</v>
      </c>
      <c r="E34" s="5">
        <v>2</v>
      </c>
      <c r="F34" s="88" t="str">
        <v>canceled</v>
      </c>
      <c r="G34" s="5">
        <v>18</v>
      </c>
    </row>
    <row r="35" spans="1:7" x14ac:dyDescent="0.2">
      <c r="A35" s="16" t="str">
        <v>successful</v>
      </c>
      <c r="B35" s="5">
        <v>7</v>
      </c>
      <c r="D35" s="17" t="str">
        <v>failed</v>
      </c>
      <c r="E35" s="5">
        <v>19</v>
      </c>
      <c r="F35" s="88" t="str">
        <v>canceled</v>
      </c>
      <c r="G35" s="5">
        <v>23</v>
      </c>
    </row>
    <row r="36" spans="1:7" x14ac:dyDescent="0.2">
      <c r="A36" s="16" t="str">
        <v>successful</v>
      </c>
      <c r="B36" s="5">
        <v>12</v>
      </c>
      <c r="D36" s="17" t="str">
        <v>failed</v>
      </c>
      <c r="E36" s="5">
        <v>35</v>
      </c>
      <c r="F36" s="88" t="str">
        <v>canceled</v>
      </c>
      <c r="G36" s="5">
        <v>6</v>
      </c>
    </row>
    <row r="37" spans="1:7" x14ac:dyDescent="0.2">
      <c r="A37" s="16" t="str">
        <v>successful</v>
      </c>
      <c r="B37" s="5">
        <v>13</v>
      </c>
      <c r="D37" s="17" t="str">
        <v>failed</v>
      </c>
      <c r="E37" s="5">
        <v>1</v>
      </c>
      <c r="F37" s="88" t="str">
        <v>canceled</v>
      </c>
      <c r="G37" s="5">
        <v>47</v>
      </c>
    </row>
    <row r="38" spans="1:7" x14ac:dyDescent="0.2">
      <c r="A38" s="16" t="str">
        <v>successful</v>
      </c>
      <c r="B38" s="5">
        <v>15</v>
      </c>
      <c r="D38" s="17" t="str">
        <v>failed</v>
      </c>
      <c r="E38" s="5">
        <v>27</v>
      </c>
      <c r="F38" s="88" t="str">
        <v>canceled</v>
      </c>
      <c r="G38" s="5">
        <v>2</v>
      </c>
    </row>
    <row r="39" spans="1:7" x14ac:dyDescent="0.2">
      <c r="A39" s="16" t="str">
        <v>successful</v>
      </c>
      <c r="B39" s="5">
        <v>3</v>
      </c>
      <c r="D39" s="17" t="str">
        <v>failed</v>
      </c>
      <c r="E39" s="5">
        <v>3</v>
      </c>
      <c r="F39" s="88" t="str">
        <v>canceled</v>
      </c>
      <c r="G39" s="5">
        <v>14</v>
      </c>
    </row>
    <row r="40" spans="1:7" x14ac:dyDescent="0.2">
      <c r="A40" s="16" t="str">
        <v>successful</v>
      </c>
      <c r="B40" s="5">
        <v>1</v>
      </c>
      <c r="D40" s="17" t="str">
        <v>failed</v>
      </c>
      <c r="E40" s="5">
        <v>28</v>
      </c>
      <c r="F40" s="88" t="str">
        <v>canceled</v>
      </c>
      <c r="G40" s="5">
        <v>6</v>
      </c>
    </row>
    <row r="41" spans="1:7" x14ac:dyDescent="0.2">
      <c r="A41" s="16" t="str">
        <v>successful</v>
      </c>
      <c r="B41" s="5">
        <v>7</v>
      </c>
      <c r="D41" s="17" t="str">
        <v>failed</v>
      </c>
      <c r="E41" s="5">
        <v>3</v>
      </c>
      <c r="F41" s="88" t="str">
        <v>canceled</v>
      </c>
      <c r="G41" s="5">
        <v>6</v>
      </c>
    </row>
    <row r="42" spans="1:7" x14ac:dyDescent="0.2">
      <c r="A42" s="16" t="str">
        <v>successful</v>
      </c>
      <c r="B42" s="5">
        <v>5</v>
      </c>
      <c r="D42" s="17" t="str">
        <v>failed</v>
      </c>
      <c r="E42" s="5">
        <v>49</v>
      </c>
      <c r="F42" s="88" t="str">
        <v>canceled</v>
      </c>
      <c r="G42" s="5">
        <v>1</v>
      </c>
    </row>
    <row r="43" spans="1:7" x14ac:dyDescent="0.2">
      <c r="A43" s="16" t="str">
        <v>successful</v>
      </c>
      <c r="B43" s="5">
        <v>47</v>
      </c>
      <c r="D43" s="17" t="str">
        <v>failed</v>
      </c>
      <c r="E43" s="5">
        <v>5</v>
      </c>
      <c r="F43" s="88" t="str">
        <v>canceled</v>
      </c>
      <c r="G43" s="5">
        <v>4</v>
      </c>
    </row>
    <row r="44" spans="1:7" x14ac:dyDescent="0.2">
      <c r="A44" s="16" t="str">
        <v>successful</v>
      </c>
      <c r="B44" s="5">
        <v>49</v>
      </c>
      <c r="D44" s="17" t="str">
        <v>failed</v>
      </c>
      <c r="E44" s="5">
        <v>6</v>
      </c>
      <c r="F44" s="88" t="str">
        <v>canceled</v>
      </c>
      <c r="G44" s="5">
        <v>25</v>
      </c>
    </row>
    <row r="45" spans="1:7" x14ac:dyDescent="0.2">
      <c r="A45" s="16" t="str">
        <v>successful</v>
      </c>
      <c r="B45" s="5">
        <v>4</v>
      </c>
      <c r="D45" s="17" t="str">
        <v>failed</v>
      </c>
      <c r="E45" s="5">
        <v>16</v>
      </c>
      <c r="F45" s="88" t="str">
        <v>canceled</v>
      </c>
      <c r="G45" s="5">
        <v>18</v>
      </c>
    </row>
    <row r="46" spans="1:7" x14ac:dyDescent="0.2">
      <c r="A46" s="16" t="str">
        <v>successful</v>
      </c>
      <c r="B46" s="5">
        <v>36</v>
      </c>
      <c r="D46" s="17" t="str">
        <v>failed</v>
      </c>
      <c r="E46" s="5">
        <v>1</v>
      </c>
      <c r="F46" s="88" t="str">
        <v>canceled</v>
      </c>
      <c r="G46" s="5">
        <v>27</v>
      </c>
    </row>
    <row r="47" spans="1:7" x14ac:dyDescent="0.2">
      <c r="A47" s="16" t="str">
        <v>successful</v>
      </c>
      <c r="B47" s="5">
        <v>3</v>
      </c>
      <c r="D47" s="17" t="str">
        <v>failed</v>
      </c>
      <c r="E47" s="5">
        <v>51</v>
      </c>
      <c r="F47" s="88" t="str">
        <v>canceled</v>
      </c>
      <c r="G47" s="5">
        <v>51</v>
      </c>
    </row>
    <row r="48" spans="1:7" x14ac:dyDescent="0.2">
      <c r="A48" s="16" t="str">
        <v>successful</v>
      </c>
      <c r="B48" s="5">
        <v>1</v>
      </c>
      <c r="D48" s="17" t="str">
        <v>failed</v>
      </c>
      <c r="E48" s="5">
        <v>6</v>
      </c>
      <c r="F48" s="88" t="str">
        <v>canceled</v>
      </c>
      <c r="G48" s="5">
        <v>6</v>
      </c>
    </row>
    <row r="49" spans="1:7" x14ac:dyDescent="0.2">
      <c r="A49" s="16" t="str">
        <v>successful</v>
      </c>
      <c r="B49" s="5">
        <v>8</v>
      </c>
      <c r="D49" s="17" t="str">
        <v>failed</v>
      </c>
      <c r="E49" s="5">
        <v>23</v>
      </c>
      <c r="F49" s="88" t="str">
        <v>canceled</v>
      </c>
      <c r="G49" s="5">
        <v>3</v>
      </c>
    </row>
    <row r="50" spans="1:7" x14ac:dyDescent="0.2">
      <c r="A50" s="16" t="str">
        <v>successful</v>
      </c>
      <c r="B50" s="5">
        <v>1</v>
      </c>
      <c r="D50" s="17" t="str">
        <v>failed</v>
      </c>
      <c r="E50" s="5">
        <v>15</v>
      </c>
      <c r="F50" s="88" t="str">
        <v>canceled</v>
      </c>
      <c r="G50" s="5">
        <v>1</v>
      </c>
    </row>
    <row r="51" spans="1:7" x14ac:dyDescent="0.2">
      <c r="A51" s="16" t="str">
        <v>successful</v>
      </c>
      <c r="B51" s="5">
        <v>30</v>
      </c>
      <c r="D51" s="17" t="str">
        <v>failed</v>
      </c>
      <c r="E51" s="5">
        <v>12</v>
      </c>
      <c r="F51" s="88" t="str">
        <v>canceled</v>
      </c>
      <c r="G51" s="5">
        <v>1</v>
      </c>
    </row>
    <row r="52" spans="1:7" x14ac:dyDescent="0.2">
      <c r="A52" s="16" t="str">
        <v>successful</v>
      </c>
      <c r="B52" s="5">
        <v>25</v>
      </c>
      <c r="D52" s="17" t="str">
        <v>failed</v>
      </c>
      <c r="E52" s="5">
        <v>6</v>
      </c>
      <c r="F52" s="88" t="str">
        <v>canceled</v>
      </c>
      <c r="G52" s="5">
        <v>9</v>
      </c>
    </row>
    <row r="53" spans="1:7" x14ac:dyDescent="0.2">
      <c r="A53" s="16" t="str">
        <v>successful</v>
      </c>
      <c r="B53" s="5">
        <v>7</v>
      </c>
      <c r="D53" s="17" t="str">
        <v>failed</v>
      </c>
      <c r="E53" s="5">
        <v>23</v>
      </c>
      <c r="F53" s="88" t="str">
        <v>canceled</v>
      </c>
      <c r="G53" s="5">
        <v>10</v>
      </c>
    </row>
    <row r="54" spans="1:7" x14ac:dyDescent="0.2">
      <c r="A54" s="16" t="str">
        <v>successful</v>
      </c>
      <c r="B54" s="5">
        <v>10</v>
      </c>
      <c r="D54" s="17" t="str">
        <v>failed</v>
      </c>
      <c r="E54" s="5">
        <v>7</v>
      </c>
      <c r="F54" s="88" t="str">
        <v>canceled</v>
      </c>
      <c r="G54" s="5">
        <v>14</v>
      </c>
    </row>
    <row r="55" spans="1:7" x14ac:dyDescent="0.2">
      <c r="A55" s="16" t="str">
        <v>successful</v>
      </c>
      <c r="B55" s="5">
        <v>8</v>
      </c>
      <c r="D55" s="17" t="str">
        <v>failed</v>
      </c>
      <c r="E55" s="5">
        <v>22</v>
      </c>
      <c r="F55" s="88" t="str">
        <v>canceled</v>
      </c>
      <c r="G55" s="5">
        <v>17</v>
      </c>
    </row>
    <row r="56" spans="1:7" x14ac:dyDescent="0.2">
      <c r="A56" s="16" t="str">
        <v>successful</v>
      </c>
      <c r="B56" s="5">
        <v>13</v>
      </c>
      <c r="D56" s="17" t="str">
        <v>failed</v>
      </c>
      <c r="E56" s="5">
        <v>15</v>
      </c>
      <c r="F56" s="88" t="str">
        <v>canceled</v>
      </c>
      <c r="G56" s="5">
        <v>5</v>
      </c>
    </row>
    <row r="57" spans="1:7" x14ac:dyDescent="0.2">
      <c r="A57" s="16" t="str">
        <v>successful</v>
      </c>
      <c r="B57" s="5">
        <v>22</v>
      </c>
      <c r="D57" s="17" t="str">
        <v>failed</v>
      </c>
      <c r="E57" s="5">
        <v>19</v>
      </c>
      <c r="F57" s="88" t="str">
        <v>canceled</v>
      </c>
      <c r="G57" s="5">
        <v>7</v>
      </c>
    </row>
    <row r="58" spans="1:7" x14ac:dyDescent="0.2">
      <c r="A58" s="16" t="str">
        <v>successful</v>
      </c>
      <c r="B58" s="5">
        <v>2</v>
      </c>
      <c r="D58" s="17" t="str">
        <v>failed</v>
      </c>
      <c r="E58" s="5">
        <v>9</v>
      </c>
    </row>
    <row r="59" spans="1:7" x14ac:dyDescent="0.2">
      <c r="A59" s="16" t="str">
        <v>successful</v>
      </c>
      <c r="B59" s="5">
        <v>1</v>
      </c>
      <c r="D59" s="17" t="str">
        <v>failed</v>
      </c>
      <c r="E59" s="5">
        <v>9</v>
      </c>
    </row>
    <row r="60" spans="1:7" x14ac:dyDescent="0.2">
      <c r="A60" s="16" t="str">
        <v>successful</v>
      </c>
      <c r="B60" s="5">
        <v>11</v>
      </c>
      <c r="D60" s="17" t="str">
        <v>failed</v>
      </c>
      <c r="E60" s="5">
        <v>18</v>
      </c>
    </row>
    <row r="61" spans="1:7" x14ac:dyDescent="0.2">
      <c r="A61" s="16" t="str">
        <v>successful</v>
      </c>
      <c r="B61" s="5">
        <v>7</v>
      </c>
      <c r="D61" s="17" t="str">
        <v>failed</v>
      </c>
      <c r="E61" s="5">
        <v>13</v>
      </c>
    </row>
    <row r="62" spans="1:7" x14ac:dyDescent="0.2">
      <c r="A62" s="16" t="str">
        <v>successful</v>
      </c>
      <c r="B62" s="5">
        <v>13</v>
      </c>
      <c r="D62" s="17" t="str">
        <v>failed</v>
      </c>
      <c r="E62" s="5">
        <v>11</v>
      </c>
    </row>
    <row r="63" spans="1:7" x14ac:dyDescent="0.2">
      <c r="A63" s="16" t="str">
        <v>successful</v>
      </c>
      <c r="B63" s="5">
        <v>54</v>
      </c>
      <c r="D63" s="17" t="str">
        <v>failed</v>
      </c>
      <c r="E63" s="5">
        <v>15</v>
      </c>
    </row>
    <row r="64" spans="1:7" x14ac:dyDescent="0.2">
      <c r="A64" s="16" t="str">
        <v>successful</v>
      </c>
      <c r="B64" s="5">
        <v>29</v>
      </c>
      <c r="D64" s="17" t="str">
        <v>failed</v>
      </c>
      <c r="E64" s="5">
        <v>1</v>
      </c>
    </row>
    <row r="65" spans="1:5" x14ac:dyDescent="0.2">
      <c r="A65" s="16" t="str">
        <v>successful</v>
      </c>
      <c r="B65" s="5">
        <v>7</v>
      </c>
      <c r="D65" s="17" t="str">
        <v>failed</v>
      </c>
      <c r="E65" s="5">
        <v>1</v>
      </c>
    </row>
    <row r="66" spans="1:5" x14ac:dyDescent="0.2">
      <c r="A66" s="16" t="str">
        <v>successful</v>
      </c>
      <c r="B66" s="5">
        <v>7</v>
      </c>
      <c r="D66" s="17" t="str">
        <v>failed</v>
      </c>
      <c r="E66" s="5">
        <v>3</v>
      </c>
    </row>
    <row r="67" spans="1:5" x14ac:dyDescent="0.2">
      <c r="A67" s="16" t="str">
        <v>successful</v>
      </c>
      <c r="B67" s="5">
        <v>1</v>
      </c>
      <c r="D67" s="17" t="str">
        <v>failed</v>
      </c>
      <c r="E67" s="5">
        <v>4</v>
      </c>
    </row>
    <row r="68" spans="1:5" x14ac:dyDescent="0.2">
      <c r="A68" s="16" t="str">
        <v>successful</v>
      </c>
      <c r="B68" s="5">
        <v>18</v>
      </c>
      <c r="D68" s="17" t="str">
        <v>failed</v>
      </c>
      <c r="E68" s="5">
        <v>4</v>
      </c>
    </row>
    <row r="69" spans="1:5" x14ac:dyDescent="0.2">
      <c r="A69" s="16" t="str">
        <v>successful</v>
      </c>
      <c r="B69" s="5">
        <v>5</v>
      </c>
      <c r="D69" s="17" t="str">
        <v>failed</v>
      </c>
      <c r="E69" s="5">
        <v>19</v>
      </c>
    </row>
    <row r="70" spans="1:5" x14ac:dyDescent="0.2">
      <c r="A70" s="16" t="str">
        <v>successful</v>
      </c>
      <c r="B70" s="5">
        <v>17</v>
      </c>
      <c r="D70" s="17" t="str">
        <v>failed</v>
      </c>
      <c r="E70" s="5">
        <v>29</v>
      </c>
    </row>
    <row r="71" spans="1:5" x14ac:dyDescent="0.2">
      <c r="A71" s="16" t="str">
        <v>successful</v>
      </c>
      <c r="B71" s="5">
        <v>37</v>
      </c>
      <c r="D71" s="17" t="str">
        <v>failed</v>
      </c>
      <c r="E71" s="5">
        <v>4</v>
      </c>
    </row>
    <row r="72" spans="1:5" x14ac:dyDescent="0.2">
      <c r="A72" s="16" t="str">
        <v>successful</v>
      </c>
      <c r="B72" s="5">
        <v>6</v>
      </c>
      <c r="D72" s="17" t="str">
        <v>failed</v>
      </c>
      <c r="E72" s="5">
        <v>11</v>
      </c>
    </row>
    <row r="73" spans="1:5" x14ac:dyDescent="0.2">
      <c r="A73" s="16" t="str">
        <v>successful</v>
      </c>
      <c r="B73" s="5">
        <v>15</v>
      </c>
      <c r="D73" s="17" t="str">
        <v>failed</v>
      </c>
      <c r="E73" s="5">
        <v>10</v>
      </c>
    </row>
    <row r="74" spans="1:5" x14ac:dyDescent="0.2">
      <c r="A74" s="16" t="str">
        <v>successful</v>
      </c>
      <c r="B74" s="5">
        <v>7</v>
      </c>
      <c r="D74" s="17" t="str">
        <v>failed</v>
      </c>
      <c r="E74" s="5">
        <v>27</v>
      </c>
    </row>
    <row r="75" spans="1:5" x14ac:dyDescent="0.2">
      <c r="A75" s="16" t="str">
        <v>successful</v>
      </c>
      <c r="B75" s="5">
        <v>1</v>
      </c>
      <c r="D75" s="17" t="str">
        <v>failed</v>
      </c>
      <c r="E75" s="5">
        <v>24</v>
      </c>
    </row>
    <row r="76" spans="1:5" x14ac:dyDescent="0.2">
      <c r="A76" s="16" t="str">
        <v>successful</v>
      </c>
      <c r="B76" s="5">
        <v>6</v>
      </c>
      <c r="D76" s="17" t="str">
        <v>failed</v>
      </c>
      <c r="E76" s="5">
        <v>2</v>
      </c>
    </row>
    <row r="77" spans="1:5" x14ac:dyDescent="0.2">
      <c r="A77" s="16" t="str">
        <v>successful</v>
      </c>
      <c r="B77" s="5">
        <v>6</v>
      </c>
      <c r="D77" s="17" t="str">
        <v>failed</v>
      </c>
      <c r="E77" s="5">
        <v>9</v>
      </c>
    </row>
    <row r="78" spans="1:5" x14ac:dyDescent="0.2">
      <c r="A78" s="16" t="str">
        <v>successful</v>
      </c>
      <c r="B78" s="5">
        <v>17</v>
      </c>
      <c r="D78" s="17" t="str">
        <v>failed</v>
      </c>
      <c r="E78" s="5">
        <v>18</v>
      </c>
    </row>
    <row r="79" spans="1:5" x14ac:dyDescent="0.2">
      <c r="A79" s="16" t="str">
        <v>successful</v>
      </c>
      <c r="B79" s="5">
        <v>4</v>
      </c>
      <c r="D79" s="17" t="str">
        <v>failed</v>
      </c>
      <c r="E79" s="5">
        <v>2</v>
      </c>
    </row>
    <row r="80" spans="1:5" x14ac:dyDescent="0.2">
      <c r="A80" s="16" t="str">
        <v>successful</v>
      </c>
      <c r="B80" s="5">
        <v>13</v>
      </c>
      <c r="D80" s="17" t="str">
        <v>failed</v>
      </c>
      <c r="E80" s="5">
        <v>14</v>
      </c>
    </row>
    <row r="81" spans="1:5" x14ac:dyDescent="0.2">
      <c r="A81" s="16" t="str">
        <v>successful</v>
      </c>
      <c r="B81" s="5">
        <v>53</v>
      </c>
      <c r="D81" s="17" t="str">
        <v>failed</v>
      </c>
      <c r="E81" s="5">
        <v>5</v>
      </c>
    </row>
    <row r="82" spans="1:5" x14ac:dyDescent="0.2">
      <c r="A82" s="16" t="str">
        <v>successful</v>
      </c>
      <c r="B82" s="5">
        <v>4</v>
      </c>
      <c r="D82" s="17" t="str">
        <v>failed</v>
      </c>
      <c r="E82" s="5">
        <v>7</v>
      </c>
    </row>
    <row r="83" spans="1:5" x14ac:dyDescent="0.2">
      <c r="A83" s="16" t="str">
        <v>successful</v>
      </c>
      <c r="B83" s="5">
        <v>16</v>
      </c>
      <c r="D83" s="17" t="str">
        <v>failed</v>
      </c>
      <c r="E83" s="5">
        <v>4</v>
      </c>
    </row>
    <row r="84" spans="1:5" x14ac:dyDescent="0.2">
      <c r="A84" s="16" t="str">
        <v>successful</v>
      </c>
      <c r="B84" s="5">
        <v>13</v>
      </c>
      <c r="D84" s="17" t="str">
        <v>failed</v>
      </c>
      <c r="E84" s="5">
        <v>35</v>
      </c>
    </row>
    <row r="85" spans="1:5" x14ac:dyDescent="0.2">
      <c r="A85" s="16" t="str">
        <v>successful</v>
      </c>
      <c r="B85" s="5">
        <v>16</v>
      </c>
      <c r="D85" s="17" t="str">
        <v>failed</v>
      </c>
      <c r="E85" s="5">
        <v>2</v>
      </c>
    </row>
    <row r="86" spans="1:5" x14ac:dyDescent="0.2">
      <c r="A86" s="16" t="str">
        <v>successful</v>
      </c>
      <c r="B86" s="5">
        <v>22</v>
      </c>
      <c r="D86" s="17" t="str">
        <v>failed</v>
      </c>
      <c r="E86" s="5">
        <v>12</v>
      </c>
    </row>
    <row r="87" spans="1:5" x14ac:dyDescent="0.2">
      <c r="A87" s="16" t="str">
        <v>successful</v>
      </c>
      <c r="B87" s="5">
        <v>6</v>
      </c>
      <c r="D87" s="17" t="str">
        <v>failed</v>
      </c>
      <c r="E87" s="5">
        <v>37</v>
      </c>
    </row>
    <row r="88" spans="1:5" x14ac:dyDescent="0.2">
      <c r="A88" s="16" t="str">
        <v>successful</v>
      </c>
      <c r="B88" s="5">
        <v>5</v>
      </c>
      <c r="D88" s="17" t="str">
        <v>failed</v>
      </c>
      <c r="E88" s="5">
        <v>4</v>
      </c>
    </row>
    <row r="89" spans="1:5" x14ac:dyDescent="0.2">
      <c r="A89" s="16" t="str">
        <v>successful</v>
      </c>
      <c r="B89" s="5">
        <v>6</v>
      </c>
      <c r="D89" s="17" t="str">
        <v>failed</v>
      </c>
      <c r="E89" s="5">
        <v>33</v>
      </c>
    </row>
    <row r="90" spans="1:5" x14ac:dyDescent="0.2">
      <c r="A90" s="16" t="str">
        <v>successful</v>
      </c>
      <c r="B90" s="5">
        <v>41</v>
      </c>
      <c r="D90" s="17" t="str">
        <v>failed</v>
      </c>
      <c r="E90" s="5">
        <v>5</v>
      </c>
    </row>
    <row r="91" spans="1:5" x14ac:dyDescent="0.2">
      <c r="A91" s="16" t="str">
        <v>successful</v>
      </c>
      <c r="B91" s="5">
        <v>20</v>
      </c>
      <c r="D91" s="17" t="str">
        <v>failed</v>
      </c>
      <c r="E91" s="5">
        <v>5</v>
      </c>
    </row>
    <row r="92" spans="1:5" x14ac:dyDescent="0.2">
      <c r="A92" s="16" t="str">
        <v>successful</v>
      </c>
      <c r="B92" s="5">
        <v>8</v>
      </c>
      <c r="D92" s="17" t="str">
        <v>failed</v>
      </c>
      <c r="E92" s="5">
        <v>21</v>
      </c>
    </row>
    <row r="93" spans="1:5" x14ac:dyDescent="0.2">
      <c r="A93" s="16" t="str">
        <v>successful</v>
      </c>
      <c r="B93" s="5">
        <v>5</v>
      </c>
      <c r="D93" s="17" t="str">
        <v>failed</v>
      </c>
      <c r="E93" s="5">
        <v>5</v>
      </c>
    </row>
    <row r="94" spans="1:5" x14ac:dyDescent="0.2">
      <c r="A94" s="16" t="str">
        <v>successful</v>
      </c>
      <c r="B94" s="5">
        <v>6</v>
      </c>
      <c r="D94" s="17" t="str">
        <v>failed</v>
      </c>
      <c r="E94" s="5">
        <v>5</v>
      </c>
    </row>
    <row r="95" spans="1:5" x14ac:dyDescent="0.2">
      <c r="A95" s="16" t="str">
        <v>successful</v>
      </c>
      <c r="B95" s="5">
        <v>9</v>
      </c>
      <c r="D95" s="17" t="str">
        <v>failed</v>
      </c>
      <c r="E95" s="5">
        <v>1</v>
      </c>
    </row>
    <row r="96" spans="1:5" x14ac:dyDescent="0.2">
      <c r="A96" s="16" t="str">
        <v>successful</v>
      </c>
      <c r="B96" s="5">
        <v>52</v>
      </c>
      <c r="D96" s="17" t="str">
        <v>failed</v>
      </c>
      <c r="E96" s="5">
        <v>32</v>
      </c>
    </row>
    <row r="97" spans="1:5" x14ac:dyDescent="0.2">
      <c r="A97" s="16" t="str">
        <v>successful</v>
      </c>
      <c r="B97" s="5">
        <v>7</v>
      </c>
      <c r="D97" s="17" t="str">
        <v>failed</v>
      </c>
      <c r="E97" s="5">
        <v>18</v>
      </c>
    </row>
    <row r="98" spans="1:5" x14ac:dyDescent="0.2">
      <c r="A98" s="16" t="str">
        <v>successful</v>
      </c>
      <c r="B98" s="5">
        <v>1</v>
      </c>
      <c r="D98" s="17" t="str">
        <v>failed</v>
      </c>
      <c r="E98" s="5">
        <v>25</v>
      </c>
    </row>
    <row r="99" spans="1:5" x14ac:dyDescent="0.2">
      <c r="A99" s="16" t="str">
        <v>successful</v>
      </c>
      <c r="B99" s="5">
        <v>18</v>
      </c>
      <c r="D99" s="17" t="str">
        <v>failed</v>
      </c>
      <c r="E99" s="5">
        <v>22</v>
      </c>
    </row>
    <row r="100" spans="1:5" x14ac:dyDescent="0.2">
      <c r="A100" s="16" t="str">
        <v>successful</v>
      </c>
      <c r="B100" s="5">
        <v>16</v>
      </c>
      <c r="D100" s="17" t="str">
        <v>failed</v>
      </c>
      <c r="E100" s="5">
        <v>9</v>
      </c>
    </row>
    <row r="101" spans="1:5" x14ac:dyDescent="0.2">
      <c r="A101" s="16" t="str">
        <v>successful</v>
      </c>
      <c r="B101" s="5">
        <v>30</v>
      </c>
      <c r="D101" s="17" t="str">
        <v>failed</v>
      </c>
      <c r="E101" s="5">
        <v>56</v>
      </c>
    </row>
    <row r="102" spans="1:5" x14ac:dyDescent="0.2">
      <c r="A102" s="16" t="str">
        <v>successful</v>
      </c>
      <c r="B102" s="5">
        <v>49</v>
      </c>
      <c r="D102" s="17" t="str">
        <v>failed</v>
      </c>
      <c r="E102" s="5">
        <v>1</v>
      </c>
    </row>
    <row r="103" spans="1:5" x14ac:dyDescent="0.2">
      <c r="A103" s="16" t="str">
        <v>successful</v>
      </c>
      <c r="B103" s="5">
        <v>1</v>
      </c>
      <c r="D103" s="17" t="str">
        <v>failed</v>
      </c>
      <c r="E103" s="5">
        <v>14</v>
      </c>
    </row>
    <row r="104" spans="1:5" x14ac:dyDescent="0.2">
      <c r="A104" s="16" t="str">
        <v>successful</v>
      </c>
      <c r="B104" s="5">
        <v>32</v>
      </c>
      <c r="D104" s="17" t="str">
        <v>failed</v>
      </c>
      <c r="E104" s="5">
        <v>5</v>
      </c>
    </row>
    <row r="105" spans="1:5" x14ac:dyDescent="0.2">
      <c r="A105" s="16" t="str">
        <v>successful</v>
      </c>
      <c r="B105" s="5">
        <v>4</v>
      </c>
      <c r="D105" s="17" t="str">
        <v>failed</v>
      </c>
      <c r="E105" s="5">
        <v>3</v>
      </c>
    </row>
    <row r="106" spans="1:5" x14ac:dyDescent="0.2">
      <c r="A106" s="16" t="str">
        <v>successful</v>
      </c>
      <c r="B106" s="5">
        <v>10</v>
      </c>
      <c r="D106" s="17" t="str">
        <v>failed</v>
      </c>
      <c r="E106" s="5">
        <v>1</v>
      </c>
    </row>
    <row r="107" spans="1:5" x14ac:dyDescent="0.2">
      <c r="A107" s="16" t="str">
        <v>successful</v>
      </c>
      <c r="B107" s="5">
        <v>28</v>
      </c>
      <c r="D107" s="17" t="str">
        <v>failed</v>
      </c>
      <c r="E107" s="5">
        <v>16</v>
      </c>
    </row>
    <row r="108" spans="1:5" x14ac:dyDescent="0.2">
      <c r="A108" s="16" t="str">
        <v>successful</v>
      </c>
      <c r="B108" s="5">
        <v>6</v>
      </c>
      <c r="D108" s="17" t="str">
        <v>failed</v>
      </c>
      <c r="E108" s="5">
        <v>29</v>
      </c>
    </row>
    <row r="109" spans="1:5" x14ac:dyDescent="0.2">
      <c r="A109" s="16" t="str">
        <v>successful</v>
      </c>
      <c r="B109" s="5">
        <v>1</v>
      </c>
      <c r="D109" s="17" t="str">
        <v>failed</v>
      </c>
      <c r="E109" s="5">
        <v>1</v>
      </c>
    </row>
    <row r="110" spans="1:5" x14ac:dyDescent="0.2">
      <c r="A110" s="16" t="str">
        <v>successful</v>
      </c>
      <c r="B110" s="5">
        <v>25</v>
      </c>
      <c r="D110" s="17" t="str">
        <v>failed</v>
      </c>
      <c r="E110" s="5">
        <v>13</v>
      </c>
    </row>
    <row r="111" spans="1:5" x14ac:dyDescent="0.2">
      <c r="A111" s="16" t="str">
        <v>successful</v>
      </c>
      <c r="B111" s="5">
        <v>1</v>
      </c>
      <c r="D111" s="17" t="str">
        <v>failed</v>
      </c>
      <c r="E111" s="5">
        <v>2</v>
      </c>
    </row>
    <row r="112" spans="1:5" x14ac:dyDescent="0.2">
      <c r="A112" s="16" t="str">
        <v>successful</v>
      </c>
      <c r="B112" s="5">
        <v>5</v>
      </c>
      <c r="D112" s="17" t="str">
        <v>failed</v>
      </c>
      <c r="E112" s="5">
        <v>9</v>
      </c>
    </row>
    <row r="113" spans="1:5" x14ac:dyDescent="0.2">
      <c r="A113" s="16" t="str">
        <v>successful</v>
      </c>
      <c r="B113" s="5">
        <v>16</v>
      </c>
      <c r="D113" s="17" t="str">
        <v>failed</v>
      </c>
      <c r="E113" s="5">
        <v>8</v>
      </c>
    </row>
    <row r="114" spans="1:5" x14ac:dyDescent="0.2">
      <c r="A114" s="16" t="str">
        <v>successful</v>
      </c>
      <c r="B114" s="5">
        <v>1</v>
      </c>
      <c r="D114" s="17" t="str">
        <v>failed</v>
      </c>
      <c r="E114" s="5">
        <v>2</v>
      </c>
    </row>
    <row r="115" spans="1:5" x14ac:dyDescent="0.2">
      <c r="A115" s="16" t="str">
        <v>successful</v>
      </c>
      <c r="B115" s="5">
        <v>28</v>
      </c>
      <c r="D115" s="17" t="str">
        <v>failed</v>
      </c>
      <c r="E115" s="5">
        <v>23</v>
      </c>
    </row>
    <row r="116" spans="1:5" x14ac:dyDescent="0.2">
      <c r="A116" s="16" t="str">
        <v>successful</v>
      </c>
      <c r="B116" s="5">
        <v>16</v>
      </c>
      <c r="D116" s="17" t="str">
        <v>failed</v>
      </c>
      <c r="E116" s="5">
        <v>6</v>
      </c>
    </row>
    <row r="117" spans="1:5" x14ac:dyDescent="0.2">
      <c r="A117" s="16" t="str">
        <v>successful</v>
      </c>
      <c r="B117" s="5">
        <v>7</v>
      </c>
      <c r="D117" s="17" t="str">
        <v>failed</v>
      </c>
      <c r="E117" s="5">
        <v>4</v>
      </c>
    </row>
    <row r="118" spans="1:5" x14ac:dyDescent="0.2">
      <c r="A118" s="16" t="str">
        <v>successful</v>
      </c>
      <c r="B118" s="5">
        <v>14</v>
      </c>
      <c r="D118" s="17" t="str">
        <v>failed</v>
      </c>
      <c r="E118" s="5">
        <v>1</v>
      </c>
    </row>
    <row r="119" spans="1:5" x14ac:dyDescent="0.2">
      <c r="A119" s="16" t="str">
        <v>successful</v>
      </c>
      <c r="B119" s="5">
        <v>18</v>
      </c>
      <c r="D119" s="17" t="str">
        <v>failed</v>
      </c>
      <c r="E119" s="5">
        <v>1</v>
      </c>
    </row>
    <row r="120" spans="1:5" x14ac:dyDescent="0.2">
      <c r="A120" s="16" t="str">
        <v>successful</v>
      </c>
      <c r="B120" s="5">
        <v>2</v>
      </c>
      <c r="D120" s="17" t="str">
        <v>failed</v>
      </c>
      <c r="E120" s="5">
        <v>7</v>
      </c>
    </row>
    <row r="121" spans="1:5" x14ac:dyDescent="0.2">
      <c r="A121" s="16" t="str">
        <v>successful</v>
      </c>
      <c r="B121" s="5">
        <v>12</v>
      </c>
      <c r="D121" s="17" t="str">
        <v>failed</v>
      </c>
      <c r="E121" s="5">
        <v>12</v>
      </c>
    </row>
    <row r="122" spans="1:5" x14ac:dyDescent="0.2">
      <c r="A122" s="16" t="str">
        <v>successful</v>
      </c>
      <c r="B122" s="5">
        <v>20</v>
      </c>
      <c r="D122" s="17" t="str">
        <v>failed</v>
      </c>
      <c r="E122" s="5">
        <v>53</v>
      </c>
    </row>
    <row r="123" spans="1:5" x14ac:dyDescent="0.2">
      <c r="A123" s="16" t="str">
        <v>successful</v>
      </c>
      <c r="B123" s="5">
        <v>24</v>
      </c>
      <c r="D123" s="17" t="str">
        <v>failed</v>
      </c>
      <c r="E123" s="5">
        <v>40</v>
      </c>
    </row>
    <row r="124" spans="1:5" x14ac:dyDescent="0.2">
      <c r="A124" s="16" t="str">
        <v>successful</v>
      </c>
      <c r="B124" s="5">
        <v>46</v>
      </c>
      <c r="D124" s="17" t="str">
        <v>failed</v>
      </c>
      <c r="E124" s="5">
        <v>1</v>
      </c>
    </row>
    <row r="125" spans="1:5" x14ac:dyDescent="0.2">
      <c r="A125" s="16" t="str">
        <v>successful</v>
      </c>
      <c r="B125" s="5">
        <v>8</v>
      </c>
      <c r="D125" s="17" t="str">
        <v>failed</v>
      </c>
      <c r="E125" s="5">
        <v>55</v>
      </c>
    </row>
    <row r="126" spans="1:5" x14ac:dyDescent="0.2">
      <c r="A126" s="16" t="str">
        <v>successful</v>
      </c>
      <c r="B126" s="5">
        <v>6</v>
      </c>
      <c r="D126" s="17" t="str">
        <v>failed</v>
      </c>
      <c r="E126" s="5">
        <v>13</v>
      </c>
    </row>
    <row r="127" spans="1:5" x14ac:dyDescent="0.2">
      <c r="A127" s="16" t="str">
        <v>successful</v>
      </c>
      <c r="B127" s="5">
        <v>2</v>
      </c>
      <c r="D127" s="17" t="str">
        <v>failed</v>
      </c>
      <c r="E127" s="5">
        <v>30</v>
      </c>
    </row>
    <row r="128" spans="1:5" x14ac:dyDescent="0.2">
      <c r="A128" s="16" t="str">
        <v>successful</v>
      </c>
      <c r="B128" s="5">
        <v>34</v>
      </c>
      <c r="D128" s="17" t="str">
        <v>failed</v>
      </c>
      <c r="E128" s="5">
        <v>18</v>
      </c>
    </row>
    <row r="129" spans="1:5" x14ac:dyDescent="0.2">
      <c r="A129" s="16" t="str">
        <v>successful</v>
      </c>
      <c r="B129" s="5">
        <v>12</v>
      </c>
      <c r="D129" s="17" t="str">
        <v>failed</v>
      </c>
      <c r="E129" s="5">
        <v>8</v>
      </c>
    </row>
    <row r="130" spans="1:5" x14ac:dyDescent="0.2">
      <c r="A130" s="16" t="str">
        <v>successful</v>
      </c>
      <c r="B130" s="5">
        <v>1</v>
      </c>
      <c r="D130" s="17" t="str">
        <v>failed</v>
      </c>
      <c r="E130" s="5">
        <v>9</v>
      </c>
    </row>
    <row r="131" spans="1:5" x14ac:dyDescent="0.2">
      <c r="A131" s="16" t="str">
        <v>successful</v>
      </c>
      <c r="B131" s="5">
        <v>45</v>
      </c>
      <c r="D131" s="17" t="str">
        <v>failed</v>
      </c>
      <c r="E131" s="5">
        <v>3</v>
      </c>
    </row>
    <row r="132" spans="1:5" x14ac:dyDescent="0.2">
      <c r="A132" s="16" t="str">
        <v>successful</v>
      </c>
      <c r="B132" s="5">
        <v>0</v>
      </c>
      <c r="D132" s="17" t="str">
        <v>failed</v>
      </c>
      <c r="E132" s="5">
        <v>24</v>
      </c>
    </row>
    <row r="133" spans="1:5" x14ac:dyDescent="0.2">
      <c r="A133" s="16" t="str">
        <v>successful</v>
      </c>
      <c r="B133" s="5">
        <v>37</v>
      </c>
      <c r="D133" s="17" t="str">
        <v>failed</v>
      </c>
      <c r="E133" s="5">
        <v>51</v>
      </c>
    </row>
    <row r="134" spans="1:5" x14ac:dyDescent="0.2">
      <c r="A134" s="16" t="str">
        <v>successful</v>
      </c>
      <c r="B134" s="5">
        <v>6</v>
      </c>
      <c r="D134" s="17" t="str">
        <v>failed</v>
      </c>
      <c r="E134" s="5">
        <v>5</v>
      </c>
    </row>
    <row r="135" spans="1:5" x14ac:dyDescent="0.2">
      <c r="A135" s="16" t="str">
        <v>successful</v>
      </c>
      <c r="B135" s="5">
        <v>25</v>
      </c>
      <c r="D135" s="17" t="str">
        <v>failed</v>
      </c>
      <c r="E135" s="5">
        <v>57</v>
      </c>
    </row>
    <row r="136" spans="1:5" x14ac:dyDescent="0.2">
      <c r="A136" s="16" t="str">
        <v>successful</v>
      </c>
      <c r="B136" s="5">
        <v>48</v>
      </c>
      <c r="D136" s="17" t="str">
        <v>failed</v>
      </c>
      <c r="E136" s="5">
        <v>14</v>
      </c>
    </row>
    <row r="137" spans="1:5" x14ac:dyDescent="0.2">
      <c r="A137" s="16" t="str">
        <v>successful</v>
      </c>
      <c r="B137" s="5">
        <v>0</v>
      </c>
      <c r="D137" s="17" t="str">
        <v>failed</v>
      </c>
      <c r="E137" s="5">
        <v>38</v>
      </c>
    </row>
    <row r="138" spans="1:5" x14ac:dyDescent="0.2">
      <c r="A138" s="16" t="str">
        <v>successful</v>
      </c>
      <c r="B138" s="5">
        <v>1</v>
      </c>
      <c r="D138" s="17" t="str">
        <v>failed</v>
      </c>
      <c r="E138" s="5">
        <v>14</v>
      </c>
    </row>
    <row r="139" spans="1:5" x14ac:dyDescent="0.2">
      <c r="A139" s="16" t="str">
        <v>successful</v>
      </c>
      <c r="B139" s="5">
        <v>16</v>
      </c>
      <c r="D139" s="17" t="str">
        <v>failed</v>
      </c>
      <c r="E139" s="5">
        <v>19</v>
      </c>
    </row>
    <row r="140" spans="1:5" x14ac:dyDescent="0.2">
      <c r="A140" s="16" t="str">
        <v>successful</v>
      </c>
      <c r="B140" s="5">
        <v>7</v>
      </c>
      <c r="D140" s="17" t="str">
        <v>failed</v>
      </c>
      <c r="E140" s="5">
        <v>12</v>
      </c>
    </row>
    <row r="141" spans="1:5" x14ac:dyDescent="0.2">
      <c r="A141" s="16" t="str">
        <v>successful</v>
      </c>
      <c r="B141" s="5">
        <v>2</v>
      </c>
      <c r="D141" s="17" t="str">
        <v>failed</v>
      </c>
      <c r="E141" s="5">
        <v>5</v>
      </c>
    </row>
    <row r="142" spans="1:5" x14ac:dyDescent="0.2">
      <c r="A142" s="16" t="str">
        <v>successful</v>
      </c>
      <c r="B142" s="5">
        <v>25</v>
      </c>
      <c r="D142" s="17" t="str">
        <v>failed</v>
      </c>
      <c r="E142" s="5">
        <v>2</v>
      </c>
    </row>
    <row r="143" spans="1:5" x14ac:dyDescent="0.2">
      <c r="A143" s="16" t="str">
        <v>successful</v>
      </c>
      <c r="B143" s="5">
        <v>1</v>
      </c>
      <c r="D143" s="17" t="str">
        <v>failed</v>
      </c>
      <c r="E143" s="5">
        <v>2</v>
      </c>
    </row>
    <row r="144" spans="1:5" x14ac:dyDescent="0.2">
      <c r="A144" s="16" t="str">
        <v>successful</v>
      </c>
      <c r="B144" s="5">
        <v>10</v>
      </c>
      <c r="D144" s="17" t="str">
        <v>failed</v>
      </c>
      <c r="E144" s="5">
        <v>7</v>
      </c>
    </row>
    <row r="145" spans="1:5" x14ac:dyDescent="0.2">
      <c r="A145" s="16" t="str">
        <v>successful</v>
      </c>
      <c r="B145" s="5">
        <v>10</v>
      </c>
      <c r="D145" s="17" t="str">
        <v>failed</v>
      </c>
      <c r="E145" s="5">
        <v>22</v>
      </c>
    </row>
    <row r="146" spans="1:5" x14ac:dyDescent="0.2">
      <c r="A146" s="16" t="str">
        <v>successful</v>
      </c>
      <c r="B146" s="5">
        <v>3</v>
      </c>
      <c r="D146" s="17" t="str">
        <v>failed</v>
      </c>
      <c r="E146" s="5">
        <v>47</v>
      </c>
    </row>
    <row r="147" spans="1:5" x14ac:dyDescent="0.2">
      <c r="A147" s="16" t="str">
        <v>successful</v>
      </c>
      <c r="B147" s="5">
        <v>52</v>
      </c>
      <c r="D147" s="17" t="str">
        <v>failed</v>
      </c>
      <c r="E147" s="5">
        <v>36</v>
      </c>
    </row>
    <row r="148" spans="1:5" x14ac:dyDescent="0.2">
      <c r="A148" s="16" t="str">
        <v>successful</v>
      </c>
      <c r="B148" s="5">
        <v>1</v>
      </c>
      <c r="D148" s="17" t="str">
        <v>failed</v>
      </c>
      <c r="E148" s="5">
        <v>50</v>
      </c>
    </row>
    <row r="149" spans="1:5" x14ac:dyDescent="0.2">
      <c r="A149" s="16" t="str">
        <v>successful</v>
      </c>
      <c r="B149" s="5">
        <v>4</v>
      </c>
      <c r="D149" s="17" t="str">
        <v>failed</v>
      </c>
      <c r="E149" s="5">
        <v>4</v>
      </c>
    </row>
    <row r="150" spans="1:5" x14ac:dyDescent="0.2">
      <c r="A150" s="16" t="str">
        <v>successful</v>
      </c>
      <c r="B150" s="5">
        <v>15</v>
      </c>
      <c r="D150" s="17" t="str">
        <v>failed</v>
      </c>
      <c r="E150" s="5">
        <v>8</v>
      </c>
    </row>
    <row r="151" spans="1:5" x14ac:dyDescent="0.2">
      <c r="A151" s="16" t="str">
        <v>successful</v>
      </c>
      <c r="B151" s="5">
        <v>5</v>
      </c>
      <c r="D151" s="17" t="str">
        <v>failed</v>
      </c>
      <c r="E151" s="5">
        <v>17</v>
      </c>
    </row>
    <row r="152" spans="1:5" x14ac:dyDescent="0.2">
      <c r="A152" s="16" t="str">
        <v>successful</v>
      </c>
      <c r="B152" s="5">
        <v>7</v>
      </c>
      <c r="D152" s="17" t="str">
        <v>failed</v>
      </c>
      <c r="E152" s="5">
        <v>9</v>
      </c>
    </row>
    <row r="153" spans="1:5" x14ac:dyDescent="0.2">
      <c r="A153" s="16" t="str">
        <v>successful</v>
      </c>
      <c r="B153" s="5">
        <v>5</v>
      </c>
      <c r="D153" s="17" t="str">
        <v>failed</v>
      </c>
      <c r="E153" s="5">
        <v>24</v>
      </c>
    </row>
    <row r="154" spans="1:5" x14ac:dyDescent="0.2">
      <c r="A154" s="16" t="str">
        <v>successful</v>
      </c>
      <c r="B154" s="5">
        <v>2</v>
      </c>
      <c r="D154" s="17" t="str">
        <v>failed</v>
      </c>
      <c r="E154" s="5">
        <v>1</v>
      </c>
    </row>
    <row r="155" spans="1:5" x14ac:dyDescent="0.2">
      <c r="A155" s="16" t="str">
        <v>successful</v>
      </c>
      <c r="B155" s="5">
        <v>5</v>
      </c>
      <c r="D155" s="17" t="str">
        <v>failed</v>
      </c>
      <c r="E155" s="5">
        <v>30</v>
      </c>
    </row>
    <row r="156" spans="1:5" x14ac:dyDescent="0.2">
      <c r="A156" s="16" t="str">
        <v>successful</v>
      </c>
      <c r="B156" s="5">
        <v>14</v>
      </c>
      <c r="D156" s="17" t="str">
        <v>failed</v>
      </c>
      <c r="E156" s="5">
        <v>2</v>
      </c>
    </row>
    <row r="157" spans="1:5" x14ac:dyDescent="0.2">
      <c r="A157" s="16" t="str">
        <v>successful</v>
      </c>
      <c r="B157" s="5">
        <v>20</v>
      </c>
      <c r="D157" s="17" t="str">
        <v>failed</v>
      </c>
      <c r="E157" s="5">
        <v>6</v>
      </c>
    </row>
    <row r="158" spans="1:5" x14ac:dyDescent="0.2">
      <c r="A158" s="16" t="str">
        <v>successful</v>
      </c>
      <c r="B158" s="5">
        <v>19</v>
      </c>
      <c r="D158" s="17" t="str">
        <v>failed</v>
      </c>
      <c r="E158" s="5">
        <v>7</v>
      </c>
    </row>
    <row r="159" spans="1:5" x14ac:dyDescent="0.2">
      <c r="A159" s="16" t="str">
        <v>successful</v>
      </c>
      <c r="B159" s="5">
        <v>12</v>
      </c>
      <c r="D159" s="17" t="str">
        <v>failed</v>
      </c>
      <c r="E159" s="5">
        <v>34</v>
      </c>
    </row>
    <row r="160" spans="1:5" x14ac:dyDescent="0.2">
      <c r="A160" s="16" t="str">
        <v>successful</v>
      </c>
      <c r="B160" s="5">
        <v>26</v>
      </c>
      <c r="D160" s="17" t="str">
        <v>failed</v>
      </c>
      <c r="E160" s="5">
        <v>20</v>
      </c>
    </row>
    <row r="161" spans="1:5" x14ac:dyDescent="0.2">
      <c r="A161" s="16" t="str">
        <v>successful</v>
      </c>
      <c r="B161" s="5">
        <v>0</v>
      </c>
      <c r="D161" s="17" t="str">
        <v>failed</v>
      </c>
      <c r="E161" s="5">
        <v>16</v>
      </c>
    </row>
    <row r="162" spans="1:5" x14ac:dyDescent="0.2">
      <c r="A162" s="16" t="str">
        <v>successful</v>
      </c>
      <c r="B162" s="5">
        <v>16</v>
      </c>
      <c r="D162" s="17" t="str">
        <v>failed</v>
      </c>
      <c r="E162" s="5">
        <v>28</v>
      </c>
    </row>
    <row r="163" spans="1:5" x14ac:dyDescent="0.2">
      <c r="A163" s="16" t="str">
        <v>successful</v>
      </c>
      <c r="B163" s="5">
        <v>44</v>
      </c>
      <c r="D163" s="17" t="str">
        <v>failed</v>
      </c>
      <c r="E163" s="5">
        <v>2</v>
      </c>
    </row>
    <row r="164" spans="1:5" x14ac:dyDescent="0.2">
      <c r="A164" s="16" t="str">
        <v>successful</v>
      </c>
      <c r="B164" s="5">
        <v>16</v>
      </c>
      <c r="D164" s="17" t="str">
        <v>failed</v>
      </c>
      <c r="E164" s="5">
        <v>2</v>
      </c>
    </row>
    <row r="165" spans="1:5" x14ac:dyDescent="0.2">
      <c r="A165" s="16" t="str">
        <v>successful</v>
      </c>
      <c r="B165" s="5">
        <v>46</v>
      </c>
      <c r="D165" s="17" t="str">
        <v>failed</v>
      </c>
      <c r="E165" s="5">
        <v>23</v>
      </c>
    </row>
    <row r="166" spans="1:5" x14ac:dyDescent="0.2">
      <c r="A166" s="16" t="str">
        <v>successful</v>
      </c>
      <c r="B166" s="5">
        <v>21</v>
      </c>
      <c r="D166" s="17" t="str">
        <v>failed</v>
      </c>
      <c r="E166" s="5">
        <v>1</v>
      </c>
    </row>
    <row r="167" spans="1:5" x14ac:dyDescent="0.2">
      <c r="A167" s="16" t="str">
        <v>successful</v>
      </c>
      <c r="B167" s="5">
        <v>25</v>
      </c>
      <c r="D167" s="17" t="str">
        <v>failed</v>
      </c>
      <c r="E167" s="5">
        <v>41</v>
      </c>
    </row>
    <row r="168" spans="1:5" x14ac:dyDescent="0.2">
      <c r="A168" s="16" t="str">
        <v>successful</v>
      </c>
      <c r="B168" s="5">
        <v>3</v>
      </c>
      <c r="D168" s="17" t="str">
        <v>failed</v>
      </c>
      <c r="E168" s="5">
        <v>36</v>
      </c>
    </row>
    <row r="169" spans="1:5" x14ac:dyDescent="0.2">
      <c r="A169" s="16" t="str">
        <v>successful</v>
      </c>
      <c r="B169" s="5">
        <v>8</v>
      </c>
      <c r="D169" s="17" t="str">
        <v>failed</v>
      </c>
      <c r="E169" s="5">
        <v>2</v>
      </c>
    </row>
    <row r="170" spans="1:5" x14ac:dyDescent="0.2">
      <c r="A170" s="16" t="str">
        <v>successful</v>
      </c>
      <c r="B170" s="5">
        <v>2</v>
      </c>
      <c r="D170" s="17" t="str">
        <v>failed</v>
      </c>
      <c r="E170" s="5">
        <v>25</v>
      </c>
    </row>
    <row r="171" spans="1:5" x14ac:dyDescent="0.2">
      <c r="A171" s="16" t="str">
        <v>successful</v>
      </c>
      <c r="B171" s="5">
        <v>25</v>
      </c>
      <c r="D171" s="17" t="str">
        <v>failed</v>
      </c>
      <c r="E171" s="5">
        <v>38</v>
      </c>
    </row>
    <row r="172" spans="1:5" x14ac:dyDescent="0.2">
      <c r="A172" s="16" t="str">
        <v>successful</v>
      </c>
      <c r="B172" s="5">
        <v>3</v>
      </c>
      <c r="D172" s="17" t="str">
        <v>failed</v>
      </c>
      <c r="E172" s="5">
        <v>16</v>
      </c>
    </row>
    <row r="173" spans="1:5" x14ac:dyDescent="0.2">
      <c r="A173" s="16" t="str">
        <v>successful</v>
      </c>
      <c r="B173" s="5">
        <v>6</v>
      </c>
      <c r="D173" s="17" t="str">
        <v>failed</v>
      </c>
      <c r="E173" s="5">
        <v>54</v>
      </c>
    </row>
    <row r="174" spans="1:5" x14ac:dyDescent="0.2">
      <c r="A174" s="16" t="str">
        <v>successful</v>
      </c>
      <c r="B174" s="5">
        <v>6</v>
      </c>
      <c r="D174" s="17" t="str">
        <v>failed</v>
      </c>
      <c r="E174" s="5">
        <v>6</v>
      </c>
    </row>
    <row r="175" spans="1:5" x14ac:dyDescent="0.2">
      <c r="A175" s="16" t="str">
        <v>successful</v>
      </c>
      <c r="B175" s="5">
        <v>38</v>
      </c>
      <c r="D175" s="17" t="str">
        <v>failed</v>
      </c>
      <c r="E175" s="5">
        <v>27</v>
      </c>
    </row>
    <row r="176" spans="1:5" x14ac:dyDescent="0.2">
      <c r="A176" s="16" t="str">
        <v>successful</v>
      </c>
      <c r="B176" s="5">
        <v>0</v>
      </c>
      <c r="D176" s="17" t="str">
        <v>failed</v>
      </c>
      <c r="E176" s="5">
        <v>42</v>
      </c>
    </row>
    <row r="177" spans="1:5" x14ac:dyDescent="0.2">
      <c r="A177" s="16" t="str">
        <v>successful</v>
      </c>
      <c r="B177" s="5">
        <v>3</v>
      </c>
      <c r="D177" s="17" t="str">
        <v>failed</v>
      </c>
      <c r="E177" s="5">
        <v>11</v>
      </c>
    </row>
    <row r="178" spans="1:5" x14ac:dyDescent="0.2">
      <c r="A178" s="16" t="str">
        <v>successful</v>
      </c>
      <c r="B178" s="5">
        <v>4</v>
      </c>
      <c r="D178" s="17" t="str">
        <v>failed</v>
      </c>
      <c r="E178" s="5">
        <v>7</v>
      </c>
    </row>
    <row r="179" spans="1:5" x14ac:dyDescent="0.2">
      <c r="A179" s="16" t="str">
        <v>successful</v>
      </c>
      <c r="B179" s="5">
        <v>12</v>
      </c>
      <c r="D179" s="17" t="str">
        <v>failed</v>
      </c>
      <c r="E179" s="5">
        <v>41</v>
      </c>
    </row>
    <row r="180" spans="1:5" x14ac:dyDescent="0.2">
      <c r="A180" s="16" t="str">
        <v>successful</v>
      </c>
      <c r="B180" s="5">
        <v>18</v>
      </c>
      <c r="D180" s="17" t="str">
        <v>failed</v>
      </c>
      <c r="E180" s="5">
        <v>15</v>
      </c>
    </row>
    <row r="181" spans="1:5" x14ac:dyDescent="0.2">
      <c r="A181" s="16" t="str">
        <v>successful</v>
      </c>
      <c r="B181" s="5">
        <v>17</v>
      </c>
      <c r="D181" s="17" t="str">
        <v>failed</v>
      </c>
      <c r="E181" s="5">
        <v>17</v>
      </c>
    </row>
    <row r="182" spans="1:5" x14ac:dyDescent="0.2">
      <c r="A182" s="16" t="str">
        <v>successful</v>
      </c>
      <c r="B182" s="5">
        <v>41</v>
      </c>
      <c r="D182" s="17" t="str">
        <v>failed</v>
      </c>
      <c r="E182" s="5">
        <v>0</v>
      </c>
    </row>
    <row r="183" spans="1:5" x14ac:dyDescent="0.2">
      <c r="A183" s="16" t="str">
        <v>successful</v>
      </c>
      <c r="B183" s="5">
        <v>41</v>
      </c>
      <c r="D183" s="17" t="str">
        <v>failed</v>
      </c>
      <c r="E183" s="5">
        <v>2</v>
      </c>
    </row>
    <row r="184" spans="1:5" x14ac:dyDescent="0.2">
      <c r="A184" s="16" t="str">
        <v>successful</v>
      </c>
      <c r="B184" s="5">
        <v>20</v>
      </c>
      <c r="D184" s="17" t="str">
        <v>failed</v>
      </c>
      <c r="E184" s="5">
        <v>5</v>
      </c>
    </row>
    <row r="185" spans="1:5" x14ac:dyDescent="0.2">
      <c r="A185" s="16" t="str">
        <v>successful</v>
      </c>
      <c r="B185" s="5">
        <v>12</v>
      </c>
      <c r="D185" s="17" t="str">
        <v>failed</v>
      </c>
      <c r="E185" s="5">
        <v>28</v>
      </c>
    </row>
    <row r="186" spans="1:5" x14ac:dyDescent="0.2">
      <c r="A186" s="16" t="str">
        <v>successful</v>
      </c>
      <c r="B186" s="5">
        <v>7</v>
      </c>
      <c r="D186" s="17" t="str">
        <v>failed</v>
      </c>
      <c r="E186" s="5">
        <v>2</v>
      </c>
    </row>
    <row r="187" spans="1:5" x14ac:dyDescent="0.2">
      <c r="A187" s="16" t="str">
        <v>successful</v>
      </c>
      <c r="B187" s="5">
        <v>2</v>
      </c>
      <c r="D187" s="17" t="str">
        <v>failed</v>
      </c>
      <c r="E187" s="5">
        <v>1</v>
      </c>
    </row>
    <row r="188" spans="1:5" x14ac:dyDescent="0.2">
      <c r="A188" s="16" t="str">
        <v>successful</v>
      </c>
      <c r="B188" s="5">
        <v>5</v>
      </c>
      <c r="D188" s="17" t="str">
        <v>failed</v>
      </c>
      <c r="E188" s="5">
        <v>42</v>
      </c>
    </row>
    <row r="189" spans="1:5" x14ac:dyDescent="0.2">
      <c r="A189" s="16" t="str">
        <v>successful</v>
      </c>
      <c r="B189" s="5">
        <v>13</v>
      </c>
      <c r="D189" s="17" t="str">
        <v>failed</v>
      </c>
      <c r="E189" s="5">
        <v>49</v>
      </c>
    </row>
    <row r="190" spans="1:5" x14ac:dyDescent="0.2">
      <c r="A190" s="16" t="str">
        <v>successful</v>
      </c>
      <c r="B190" s="5">
        <v>12</v>
      </c>
      <c r="D190" s="17" t="str">
        <v>failed</v>
      </c>
      <c r="E190" s="5">
        <v>10</v>
      </c>
    </row>
    <row r="191" spans="1:5" x14ac:dyDescent="0.2">
      <c r="A191" s="16" t="str">
        <v>successful</v>
      </c>
      <c r="B191" s="5">
        <v>11</v>
      </c>
      <c r="D191" s="17" t="str">
        <v>failed</v>
      </c>
      <c r="E191" s="5">
        <v>10</v>
      </c>
    </row>
    <row r="192" spans="1:5" x14ac:dyDescent="0.2">
      <c r="A192" s="16" t="str">
        <v>successful</v>
      </c>
      <c r="B192" s="5">
        <v>1</v>
      </c>
      <c r="D192" s="17" t="str">
        <v>failed</v>
      </c>
      <c r="E192" s="5">
        <v>2</v>
      </c>
    </row>
    <row r="193" spans="1:5" x14ac:dyDescent="0.2">
      <c r="A193" s="16" t="str">
        <v>successful</v>
      </c>
      <c r="B193" s="5">
        <v>1</v>
      </c>
      <c r="D193" s="17" t="str">
        <v>failed</v>
      </c>
      <c r="E193" s="5">
        <v>38</v>
      </c>
    </row>
    <row r="194" spans="1:5" x14ac:dyDescent="0.2">
      <c r="A194" s="16" t="str">
        <v>successful</v>
      </c>
      <c r="B194" s="5">
        <v>1</v>
      </c>
      <c r="D194" s="17" t="str">
        <v>failed</v>
      </c>
      <c r="E194" s="5">
        <v>2</v>
      </c>
    </row>
    <row r="195" spans="1:5" x14ac:dyDescent="0.2">
      <c r="A195" s="16" t="str">
        <v>successful</v>
      </c>
      <c r="B195" s="5">
        <v>28</v>
      </c>
      <c r="D195" s="17" t="str">
        <v>failed</v>
      </c>
      <c r="E195" s="5">
        <v>12</v>
      </c>
    </row>
    <row r="196" spans="1:5" x14ac:dyDescent="0.2">
      <c r="A196" s="16" t="str">
        <v>successful</v>
      </c>
      <c r="B196" s="5">
        <v>7</v>
      </c>
      <c r="D196" s="17" t="str">
        <v>failed</v>
      </c>
      <c r="E196" s="5">
        <v>13</v>
      </c>
    </row>
    <row r="197" spans="1:5" x14ac:dyDescent="0.2">
      <c r="A197" s="16" t="str">
        <v>successful</v>
      </c>
      <c r="B197" s="5">
        <v>13</v>
      </c>
      <c r="D197" s="17" t="str">
        <v>failed</v>
      </c>
      <c r="E197" s="5">
        <v>4</v>
      </c>
    </row>
    <row r="198" spans="1:5" x14ac:dyDescent="0.2">
      <c r="A198" s="16" t="str">
        <v>successful</v>
      </c>
      <c r="B198" s="5">
        <v>1</v>
      </c>
      <c r="D198" s="17" t="str">
        <v>failed</v>
      </c>
      <c r="E198" s="5">
        <v>36</v>
      </c>
    </row>
    <row r="199" spans="1:5" x14ac:dyDescent="0.2">
      <c r="A199" s="16" t="str">
        <v>successful</v>
      </c>
      <c r="B199" s="5">
        <v>30</v>
      </c>
      <c r="D199" s="17" t="str">
        <v>failed</v>
      </c>
      <c r="E199" s="5">
        <v>45</v>
      </c>
    </row>
    <row r="200" spans="1:5" x14ac:dyDescent="0.2">
      <c r="A200" s="16" t="str">
        <v>successful</v>
      </c>
      <c r="B200" s="5">
        <v>24</v>
      </c>
      <c r="D200" s="17" t="str">
        <v>failed</v>
      </c>
      <c r="E200" s="5">
        <v>28</v>
      </c>
    </row>
    <row r="201" spans="1:5" x14ac:dyDescent="0.2">
      <c r="A201" s="16" t="str">
        <v>successful</v>
      </c>
      <c r="B201" s="5">
        <v>14</v>
      </c>
      <c r="D201" s="17" t="str">
        <v>failed</v>
      </c>
      <c r="E201" s="5">
        <v>14</v>
      </c>
    </row>
    <row r="202" spans="1:5" x14ac:dyDescent="0.2">
      <c r="A202" s="16" t="str">
        <v>successful</v>
      </c>
      <c r="B202" s="5">
        <v>1</v>
      </c>
      <c r="D202" s="17" t="str">
        <v>failed</v>
      </c>
      <c r="E202" s="5">
        <v>1</v>
      </c>
    </row>
    <row r="203" spans="1:5" x14ac:dyDescent="0.2">
      <c r="A203" s="16" t="str">
        <v>successful</v>
      </c>
      <c r="B203" s="5">
        <v>7</v>
      </c>
      <c r="D203" s="17" t="str">
        <v>failed</v>
      </c>
      <c r="E203" s="5">
        <v>16</v>
      </c>
    </row>
    <row r="204" spans="1:5" x14ac:dyDescent="0.2">
      <c r="A204" s="16" t="str">
        <v>successful</v>
      </c>
      <c r="B204" s="5">
        <v>25</v>
      </c>
      <c r="D204" s="17" t="str">
        <v>failed</v>
      </c>
      <c r="E204" s="5">
        <v>6</v>
      </c>
    </row>
    <row r="205" spans="1:5" x14ac:dyDescent="0.2">
      <c r="A205" s="16" t="str">
        <v>successful</v>
      </c>
      <c r="B205" s="5">
        <v>7</v>
      </c>
      <c r="D205" s="17" t="str">
        <v>failed</v>
      </c>
      <c r="E205" s="5">
        <v>26</v>
      </c>
    </row>
    <row r="206" spans="1:5" x14ac:dyDescent="0.2">
      <c r="A206" s="16" t="str">
        <v>successful</v>
      </c>
      <c r="B206" s="5">
        <v>14</v>
      </c>
      <c r="D206" s="17" t="str">
        <v>failed</v>
      </c>
      <c r="E206" s="5">
        <v>30</v>
      </c>
    </row>
    <row r="207" spans="1:5" x14ac:dyDescent="0.2">
      <c r="A207" s="16" t="str">
        <v>successful</v>
      </c>
      <c r="B207" s="5">
        <v>24</v>
      </c>
      <c r="D207" s="17" t="str">
        <v>failed</v>
      </c>
      <c r="E207" s="5">
        <v>15</v>
      </c>
    </row>
    <row r="208" spans="1:5" x14ac:dyDescent="0.2">
      <c r="A208" s="16" t="str">
        <v>successful</v>
      </c>
      <c r="B208" s="5">
        <v>38</v>
      </c>
      <c r="D208" s="17" t="str">
        <v>failed</v>
      </c>
      <c r="E208" s="5">
        <v>20</v>
      </c>
    </row>
    <row r="209" spans="1:5" x14ac:dyDescent="0.2">
      <c r="A209" s="16" t="str">
        <v>successful</v>
      </c>
      <c r="B209" s="5">
        <v>1</v>
      </c>
      <c r="D209" s="17" t="str">
        <v>failed</v>
      </c>
      <c r="E209" s="5">
        <v>40</v>
      </c>
    </row>
    <row r="210" spans="1:5" x14ac:dyDescent="0.2">
      <c r="A210" s="16" t="str">
        <v>successful</v>
      </c>
      <c r="B210" s="5">
        <v>30</v>
      </c>
      <c r="D210" s="17" t="str">
        <v>failed</v>
      </c>
      <c r="E210" s="5">
        <v>2</v>
      </c>
    </row>
    <row r="211" spans="1:5" x14ac:dyDescent="0.2">
      <c r="A211" s="16" t="str">
        <v>successful</v>
      </c>
      <c r="B211" s="5">
        <v>27</v>
      </c>
      <c r="D211" s="17" t="str">
        <v>failed</v>
      </c>
      <c r="E211" s="5">
        <v>1</v>
      </c>
    </row>
    <row r="212" spans="1:5" x14ac:dyDescent="0.2">
      <c r="A212" s="16" t="str">
        <v>successful</v>
      </c>
      <c r="B212" s="5">
        <v>1</v>
      </c>
      <c r="D212" s="17" t="str">
        <v>failed</v>
      </c>
      <c r="E212" s="5">
        <v>2</v>
      </c>
    </row>
    <row r="213" spans="1:5" x14ac:dyDescent="0.2">
      <c r="A213" s="16" t="str">
        <v>successful</v>
      </c>
      <c r="B213" s="5">
        <v>23</v>
      </c>
      <c r="D213" s="17" t="str">
        <v>failed</v>
      </c>
      <c r="E213" s="5">
        <v>8</v>
      </c>
    </row>
    <row r="214" spans="1:5" x14ac:dyDescent="0.2">
      <c r="A214" s="16" t="str">
        <v>successful</v>
      </c>
      <c r="B214" s="5">
        <v>39</v>
      </c>
      <c r="D214" s="17" t="str">
        <v>failed</v>
      </c>
      <c r="E214" s="5">
        <v>23</v>
      </c>
    </row>
    <row r="215" spans="1:5" x14ac:dyDescent="0.2">
      <c r="A215" s="16" t="str">
        <v>successful</v>
      </c>
      <c r="B215" s="5">
        <v>6</v>
      </c>
      <c r="D215" s="17" t="str">
        <v>failed</v>
      </c>
      <c r="E215" s="5">
        <v>47</v>
      </c>
    </row>
    <row r="216" spans="1:5" x14ac:dyDescent="0.2">
      <c r="A216" s="16" t="str">
        <v>successful</v>
      </c>
      <c r="B216" s="5">
        <v>20</v>
      </c>
      <c r="D216" s="17" t="str">
        <v>failed</v>
      </c>
      <c r="E216" s="5">
        <v>3</v>
      </c>
    </row>
    <row r="217" spans="1:5" x14ac:dyDescent="0.2">
      <c r="A217" s="16" t="str">
        <v>successful</v>
      </c>
      <c r="B217" s="5">
        <v>8</v>
      </c>
      <c r="D217" s="17" t="str">
        <v>failed</v>
      </c>
      <c r="E217" s="5">
        <v>17</v>
      </c>
    </row>
    <row r="218" spans="1:5" x14ac:dyDescent="0.2">
      <c r="A218" s="16" t="str">
        <v>successful</v>
      </c>
      <c r="B218" s="5">
        <v>6</v>
      </c>
      <c r="D218" s="17" t="str">
        <v>failed</v>
      </c>
      <c r="E218" s="5">
        <v>3</v>
      </c>
    </row>
    <row r="219" spans="1:5" x14ac:dyDescent="0.2">
      <c r="A219" s="16" t="str">
        <v>successful</v>
      </c>
      <c r="B219" s="5">
        <v>5</v>
      </c>
      <c r="D219" s="17" t="str">
        <v>failed</v>
      </c>
      <c r="E219" s="5">
        <v>15</v>
      </c>
    </row>
    <row r="220" spans="1:5" x14ac:dyDescent="0.2">
      <c r="A220" s="16" t="str">
        <v>successful</v>
      </c>
      <c r="B220" s="5">
        <v>46</v>
      </c>
      <c r="D220" s="17" t="str">
        <v>failed</v>
      </c>
      <c r="E220" s="5">
        <v>5</v>
      </c>
    </row>
    <row r="221" spans="1:5" x14ac:dyDescent="0.2">
      <c r="A221" s="16" t="str">
        <v>successful</v>
      </c>
      <c r="B221" s="5">
        <v>6</v>
      </c>
      <c r="D221" s="17" t="str">
        <v>failed</v>
      </c>
      <c r="E221" s="5">
        <v>52</v>
      </c>
    </row>
    <row r="222" spans="1:5" x14ac:dyDescent="0.2">
      <c r="A222" s="16" t="str">
        <v>successful</v>
      </c>
      <c r="B222" s="5">
        <v>27</v>
      </c>
      <c r="D222" s="17" t="str">
        <v>failed</v>
      </c>
      <c r="E222" s="5">
        <v>31</v>
      </c>
    </row>
    <row r="223" spans="1:5" x14ac:dyDescent="0.2">
      <c r="A223" s="16" t="str">
        <v>successful</v>
      </c>
      <c r="B223" s="5">
        <v>32</v>
      </c>
      <c r="D223" s="17" t="str">
        <v>failed</v>
      </c>
      <c r="E223" s="5">
        <v>7</v>
      </c>
    </row>
    <row r="224" spans="1:5" x14ac:dyDescent="0.2">
      <c r="A224" s="16" t="str">
        <v>successful</v>
      </c>
      <c r="B224" s="5">
        <v>27</v>
      </c>
      <c r="D224" s="17" t="str">
        <v>failed</v>
      </c>
      <c r="E224" s="5">
        <v>11</v>
      </c>
    </row>
    <row r="225" spans="1:5" x14ac:dyDescent="0.2">
      <c r="A225" s="16" t="str">
        <v>successful</v>
      </c>
      <c r="B225" s="5">
        <v>15</v>
      </c>
      <c r="D225" s="17" t="str">
        <v>failed</v>
      </c>
      <c r="E225" s="5">
        <v>9</v>
      </c>
    </row>
    <row r="226" spans="1:5" x14ac:dyDescent="0.2">
      <c r="A226" s="16" t="str">
        <v>successful</v>
      </c>
      <c r="B226" s="5">
        <v>1</v>
      </c>
      <c r="D226" s="17" t="str">
        <v>failed</v>
      </c>
      <c r="E226" s="5">
        <v>3</v>
      </c>
    </row>
    <row r="227" spans="1:5" x14ac:dyDescent="0.2">
      <c r="A227" s="16" t="str">
        <v>successful</v>
      </c>
      <c r="B227" s="5">
        <v>10</v>
      </c>
      <c r="D227" s="17" t="str">
        <v>failed</v>
      </c>
      <c r="E227" s="5">
        <v>7</v>
      </c>
    </row>
    <row r="228" spans="1:5" x14ac:dyDescent="0.2">
      <c r="A228" s="16" t="str">
        <v>successful</v>
      </c>
      <c r="B228" s="5">
        <v>1</v>
      </c>
      <c r="D228" s="17" t="str">
        <v>failed</v>
      </c>
      <c r="E228" s="5">
        <v>8</v>
      </c>
    </row>
    <row r="229" spans="1:5" x14ac:dyDescent="0.2">
      <c r="A229" s="16" t="str">
        <v>successful</v>
      </c>
      <c r="B229" s="5">
        <v>8</v>
      </c>
      <c r="D229" s="17" t="str">
        <v>failed</v>
      </c>
      <c r="E229" s="5">
        <v>12</v>
      </c>
    </row>
    <row r="230" spans="1:5" x14ac:dyDescent="0.2">
      <c r="A230" s="16" t="str">
        <v>successful</v>
      </c>
      <c r="B230" s="5">
        <v>6</v>
      </c>
      <c r="D230" s="17" t="str">
        <v>failed</v>
      </c>
      <c r="E230" s="5">
        <v>21</v>
      </c>
    </row>
    <row r="231" spans="1:5" x14ac:dyDescent="0.2">
      <c r="A231" s="16" t="str">
        <v>successful</v>
      </c>
      <c r="B231" s="5">
        <v>2</v>
      </c>
      <c r="D231" s="17" t="str">
        <v>failed</v>
      </c>
      <c r="E231" s="5">
        <v>1</v>
      </c>
    </row>
    <row r="232" spans="1:5" x14ac:dyDescent="0.2">
      <c r="A232" s="16" t="str">
        <v>successful</v>
      </c>
      <c r="B232" s="5">
        <v>0</v>
      </c>
      <c r="D232" s="17" t="str">
        <v>failed</v>
      </c>
      <c r="E232" s="5">
        <v>26</v>
      </c>
    </row>
    <row r="233" spans="1:5" x14ac:dyDescent="0.2">
      <c r="A233" s="16" t="str">
        <v>successful</v>
      </c>
      <c r="B233" s="5">
        <v>3</v>
      </c>
      <c r="D233" s="17" t="str">
        <v>failed</v>
      </c>
      <c r="E233" s="5">
        <v>14</v>
      </c>
    </row>
    <row r="234" spans="1:5" x14ac:dyDescent="0.2">
      <c r="A234" s="16" t="str">
        <v>successful</v>
      </c>
      <c r="B234" s="5">
        <v>12</v>
      </c>
      <c r="D234" s="17" t="str">
        <v>failed</v>
      </c>
      <c r="E234" s="5">
        <v>2</v>
      </c>
    </row>
    <row r="235" spans="1:5" x14ac:dyDescent="0.2">
      <c r="A235" s="16" t="str">
        <v>successful</v>
      </c>
      <c r="B235" s="5">
        <v>7</v>
      </c>
      <c r="D235" s="17" t="str">
        <v>failed</v>
      </c>
      <c r="E235" s="5">
        <v>4</v>
      </c>
    </row>
    <row r="236" spans="1:5" x14ac:dyDescent="0.2">
      <c r="A236" s="16" t="str">
        <v>successful</v>
      </c>
      <c r="B236" s="5">
        <v>20</v>
      </c>
      <c r="D236" s="17" t="str">
        <v>failed</v>
      </c>
      <c r="E236" s="5">
        <v>45</v>
      </c>
    </row>
    <row r="237" spans="1:5" x14ac:dyDescent="0.2">
      <c r="A237" s="16" t="str">
        <v>successful</v>
      </c>
      <c r="B237" s="5">
        <v>2</v>
      </c>
      <c r="D237" s="17" t="str">
        <v>failed</v>
      </c>
      <c r="E237" s="5">
        <v>8</v>
      </c>
    </row>
    <row r="238" spans="1:5" x14ac:dyDescent="0.2">
      <c r="A238" s="16" t="str">
        <v>successful</v>
      </c>
      <c r="B238" s="5">
        <v>10</v>
      </c>
      <c r="D238" s="17" t="str">
        <v>failed</v>
      </c>
      <c r="E238" s="5">
        <v>12</v>
      </c>
    </row>
    <row r="239" spans="1:5" x14ac:dyDescent="0.2">
      <c r="A239" s="16" t="str">
        <v>successful</v>
      </c>
      <c r="B239" s="5">
        <v>6</v>
      </c>
      <c r="D239" s="17" t="str">
        <v>failed</v>
      </c>
      <c r="E239" s="5">
        <v>3</v>
      </c>
    </row>
    <row r="240" spans="1:5" x14ac:dyDescent="0.2">
      <c r="A240" s="16" t="str">
        <v>successful</v>
      </c>
      <c r="B240" s="5">
        <v>14</v>
      </c>
      <c r="D240" s="17" t="str">
        <v>failed</v>
      </c>
      <c r="E240" s="5">
        <v>16</v>
      </c>
    </row>
    <row r="241" spans="1:5" x14ac:dyDescent="0.2">
      <c r="A241" s="16" t="str">
        <v>successful</v>
      </c>
      <c r="B241" s="5">
        <v>20</v>
      </c>
      <c r="D241" s="17" t="str">
        <v>failed</v>
      </c>
      <c r="E241" s="5">
        <v>21</v>
      </c>
    </row>
    <row r="242" spans="1:5" x14ac:dyDescent="0.2">
      <c r="A242" s="16" t="str">
        <v>successful</v>
      </c>
      <c r="B242" s="5">
        <v>6</v>
      </c>
      <c r="D242" s="17" t="str">
        <v>failed</v>
      </c>
      <c r="E242" s="5">
        <v>11</v>
      </c>
    </row>
    <row r="243" spans="1:5" x14ac:dyDescent="0.2">
      <c r="A243" s="16" t="str">
        <v>successful</v>
      </c>
      <c r="B243" s="5">
        <v>7</v>
      </c>
      <c r="D243" s="17" t="str">
        <v>failed</v>
      </c>
      <c r="E243" s="5">
        <v>24</v>
      </c>
    </row>
    <row r="244" spans="1:5" x14ac:dyDescent="0.2">
      <c r="A244" s="16" t="str">
        <v>successful</v>
      </c>
      <c r="B244" s="5">
        <v>32</v>
      </c>
      <c r="D244" s="17" t="str">
        <v>failed</v>
      </c>
      <c r="E244" s="5">
        <v>11</v>
      </c>
    </row>
    <row r="245" spans="1:5" x14ac:dyDescent="0.2">
      <c r="A245" s="16" t="str">
        <v>successful</v>
      </c>
      <c r="B245" s="5">
        <v>17</v>
      </c>
      <c r="D245" s="17" t="str">
        <v>failed</v>
      </c>
      <c r="E245" s="5">
        <v>27</v>
      </c>
    </row>
    <row r="246" spans="1:5" x14ac:dyDescent="0.2">
      <c r="A246" s="16" t="str">
        <v>successful</v>
      </c>
      <c r="B246" s="5">
        <v>12</v>
      </c>
      <c r="D246" s="17" t="str">
        <v>failed</v>
      </c>
      <c r="E246" s="5">
        <v>15</v>
      </c>
    </row>
    <row r="247" spans="1:5" x14ac:dyDescent="0.2">
      <c r="A247" s="16" t="str">
        <v>successful</v>
      </c>
      <c r="B247" s="5">
        <v>1</v>
      </c>
      <c r="D247" s="17" t="str">
        <v>failed</v>
      </c>
      <c r="E247" s="5">
        <v>5</v>
      </c>
    </row>
    <row r="248" spans="1:5" x14ac:dyDescent="0.2">
      <c r="A248" s="16" t="str">
        <v>successful</v>
      </c>
      <c r="B248" s="5">
        <v>3</v>
      </c>
      <c r="D248" s="17" t="str">
        <v>failed</v>
      </c>
      <c r="E248" s="5">
        <v>16</v>
      </c>
    </row>
    <row r="249" spans="1:5" x14ac:dyDescent="0.2">
      <c r="A249" s="16" t="str">
        <v>successful</v>
      </c>
      <c r="B249" s="5">
        <v>30</v>
      </c>
      <c r="D249" s="17" t="str">
        <v>failed</v>
      </c>
      <c r="E249" s="5">
        <v>1</v>
      </c>
    </row>
    <row r="250" spans="1:5" x14ac:dyDescent="0.2">
      <c r="A250" s="16" t="str">
        <v>successful</v>
      </c>
      <c r="B250" s="5">
        <v>7</v>
      </c>
      <c r="D250" s="17" t="str">
        <v>failed</v>
      </c>
      <c r="E250" s="5">
        <v>9</v>
      </c>
    </row>
    <row r="251" spans="1:5" x14ac:dyDescent="0.2">
      <c r="A251" s="16" t="str">
        <v>successful</v>
      </c>
      <c r="B251" s="5">
        <v>10</v>
      </c>
      <c r="D251" s="17" t="str">
        <v>failed</v>
      </c>
      <c r="E251" s="5">
        <v>30</v>
      </c>
    </row>
    <row r="252" spans="1:5" x14ac:dyDescent="0.2">
      <c r="A252" s="16" t="str">
        <v>successful</v>
      </c>
      <c r="B252" s="5">
        <v>16</v>
      </c>
      <c r="D252" s="17" t="str">
        <v>failed</v>
      </c>
      <c r="E252" s="5">
        <v>4</v>
      </c>
    </row>
    <row r="253" spans="1:5" x14ac:dyDescent="0.2">
      <c r="A253" s="16" t="str">
        <v>successful</v>
      </c>
      <c r="B253" s="5">
        <v>2</v>
      </c>
      <c r="D253" s="17" t="str">
        <v>failed</v>
      </c>
      <c r="E253" s="5">
        <v>23</v>
      </c>
    </row>
    <row r="254" spans="1:5" x14ac:dyDescent="0.2">
      <c r="A254" s="16" t="str">
        <v>successful</v>
      </c>
      <c r="B254" s="5">
        <v>21</v>
      </c>
      <c r="D254" s="17" t="str">
        <v>failed</v>
      </c>
      <c r="E254" s="5">
        <v>10</v>
      </c>
    </row>
    <row r="255" spans="1:5" x14ac:dyDescent="0.2">
      <c r="A255" s="16" t="str">
        <v>successful</v>
      </c>
      <c r="B255" s="5">
        <v>17</v>
      </c>
      <c r="D255" s="17" t="str">
        <v>failed</v>
      </c>
      <c r="E255" s="5">
        <v>12</v>
      </c>
    </row>
    <row r="256" spans="1:5" x14ac:dyDescent="0.2">
      <c r="A256" s="16" t="str">
        <v>successful</v>
      </c>
      <c r="B256" s="5">
        <v>31</v>
      </c>
      <c r="D256" s="17" t="str">
        <v>failed</v>
      </c>
      <c r="E256" s="5">
        <v>10</v>
      </c>
    </row>
    <row r="257" spans="1:5" x14ac:dyDescent="0.2">
      <c r="A257" s="16" t="str">
        <v>successful</v>
      </c>
      <c r="B257" s="5">
        <v>23</v>
      </c>
      <c r="D257" s="17" t="str">
        <v>failed</v>
      </c>
      <c r="E257" s="5">
        <v>21</v>
      </c>
    </row>
    <row r="258" spans="1:5" x14ac:dyDescent="0.2">
      <c r="A258" s="16" t="str">
        <v>successful</v>
      </c>
      <c r="B258" s="5">
        <v>0</v>
      </c>
      <c r="D258" s="17" t="str">
        <v>failed</v>
      </c>
      <c r="E258" s="5">
        <v>50</v>
      </c>
    </row>
    <row r="259" spans="1:5" x14ac:dyDescent="0.2">
      <c r="A259" s="16" t="str">
        <v>successful</v>
      </c>
      <c r="B259" s="5">
        <v>44</v>
      </c>
      <c r="D259" s="17" t="str">
        <v>failed</v>
      </c>
      <c r="E259" s="5">
        <v>2</v>
      </c>
    </row>
    <row r="260" spans="1:5" x14ac:dyDescent="0.2">
      <c r="A260" s="16" t="str">
        <v>successful</v>
      </c>
      <c r="B260" s="5">
        <v>3</v>
      </c>
      <c r="D260" s="17" t="str">
        <v>failed</v>
      </c>
      <c r="E260" s="5">
        <v>6</v>
      </c>
    </row>
    <row r="261" spans="1:5" x14ac:dyDescent="0.2">
      <c r="A261" s="16" t="str">
        <v>successful</v>
      </c>
      <c r="B261" s="5">
        <v>20</v>
      </c>
      <c r="D261" s="17" t="str">
        <v>failed</v>
      </c>
      <c r="E261" s="5">
        <v>24</v>
      </c>
    </row>
    <row r="262" spans="1:5" x14ac:dyDescent="0.2">
      <c r="A262" s="16" t="str">
        <v>successful</v>
      </c>
      <c r="B262" s="5">
        <v>4</v>
      </c>
      <c r="D262" s="17" t="str">
        <v>failed</v>
      </c>
      <c r="E262" s="5">
        <v>18</v>
      </c>
    </row>
    <row r="263" spans="1:5" x14ac:dyDescent="0.2">
      <c r="A263" s="16" t="str">
        <v>successful</v>
      </c>
      <c r="B263" s="5">
        <v>14</v>
      </c>
      <c r="D263" s="17" t="str">
        <v>failed</v>
      </c>
      <c r="E263" s="5">
        <v>17</v>
      </c>
    </row>
    <row r="264" spans="1:5" x14ac:dyDescent="0.2">
      <c r="A264" s="16" t="str">
        <v>successful</v>
      </c>
      <c r="B264" s="5">
        <v>9</v>
      </c>
      <c r="D264" s="17" t="str">
        <v>failed</v>
      </c>
      <c r="E264" s="5">
        <v>37</v>
      </c>
    </row>
    <row r="265" spans="1:5" x14ac:dyDescent="0.2">
      <c r="A265" s="16" t="str">
        <v>successful</v>
      </c>
      <c r="B265" s="5">
        <v>23</v>
      </c>
      <c r="D265" s="17" t="str">
        <v>failed</v>
      </c>
      <c r="E265" s="5">
        <v>1</v>
      </c>
    </row>
    <row r="266" spans="1:5" x14ac:dyDescent="0.2">
      <c r="A266" s="16" t="str">
        <v>successful</v>
      </c>
      <c r="B266" s="5">
        <v>7</v>
      </c>
      <c r="D266" s="17" t="str">
        <v>failed</v>
      </c>
      <c r="E266" s="5">
        <v>1</v>
      </c>
    </row>
    <row r="267" spans="1:5" x14ac:dyDescent="0.2">
      <c r="A267" s="16" t="str">
        <v>successful</v>
      </c>
      <c r="B267" s="5">
        <v>2</v>
      </c>
      <c r="D267" s="17" t="str">
        <v>failed</v>
      </c>
      <c r="E267" s="5">
        <v>15</v>
      </c>
    </row>
    <row r="268" spans="1:5" x14ac:dyDescent="0.2">
      <c r="A268" s="16" t="str">
        <v>successful</v>
      </c>
      <c r="B268" s="5">
        <v>7</v>
      </c>
      <c r="D268" s="17" t="str">
        <v>failed</v>
      </c>
      <c r="E268" s="5">
        <v>5</v>
      </c>
    </row>
    <row r="269" spans="1:5" x14ac:dyDescent="0.2">
      <c r="A269" s="16" t="str">
        <v>successful</v>
      </c>
      <c r="B269" s="5">
        <v>0</v>
      </c>
      <c r="D269" s="17" t="str">
        <v>failed</v>
      </c>
      <c r="E269" s="5">
        <v>4</v>
      </c>
    </row>
    <row r="270" spans="1:5" x14ac:dyDescent="0.2">
      <c r="A270" s="16" t="str">
        <v>successful</v>
      </c>
      <c r="B270" s="5">
        <v>1</v>
      </c>
      <c r="D270" s="17" t="str">
        <v>failed</v>
      </c>
      <c r="E270" s="5">
        <v>2</v>
      </c>
    </row>
    <row r="271" spans="1:5" x14ac:dyDescent="0.2">
      <c r="A271" s="16" t="str">
        <v>successful</v>
      </c>
      <c r="B271" s="5">
        <v>1</v>
      </c>
      <c r="D271" s="17" t="str">
        <v>failed</v>
      </c>
      <c r="E271" s="5">
        <v>5</v>
      </c>
    </row>
    <row r="272" spans="1:5" x14ac:dyDescent="0.2">
      <c r="A272" s="16" t="str">
        <v>successful</v>
      </c>
      <c r="B272" s="5">
        <v>4</v>
      </c>
      <c r="D272" s="17" t="str">
        <v>failed</v>
      </c>
      <c r="E272" s="5">
        <v>2</v>
      </c>
    </row>
    <row r="273" spans="1:5" x14ac:dyDescent="0.2">
      <c r="A273" s="16" t="str">
        <v>successful</v>
      </c>
      <c r="B273" s="5">
        <v>12</v>
      </c>
      <c r="D273" s="17" t="str">
        <v>failed</v>
      </c>
      <c r="E273" s="5">
        <v>11</v>
      </c>
    </row>
    <row r="274" spans="1:5" x14ac:dyDescent="0.2">
      <c r="A274" s="16" t="str">
        <v>successful</v>
      </c>
      <c r="B274" s="5">
        <v>2</v>
      </c>
      <c r="D274" s="17" t="str">
        <v>failed</v>
      </c>
      <c r="E274" s="5">
        <v>23</v>
      </c>
    </row>
    <row r="275" spans="1:5" x14ac:dyDescent="0.2">
      <c r="A275" s="16" t="str">
        <v>successful</v>
      </c>
      <c r="B275" s="5">
        <v>9</v>
      </c>
      <c r="D275" s="17" t="str">
        <v>failed</v>
      </c>
      <c r="E275" s="5">
        <v>22</v>
      </c>
    </row>
    <row r="276" spans="1:5" x14ac:dyDescent="0.2">
      <c r="A276" s="16" t="str">
        <v>successful</v>
      </c>
      <c r="B276" s="5">
        <v>49</v>
      </c>
      <c r="D276" s="17" t="str">
        <v>failed</v>
      </c>
      <c r="E276" s="5">
        <v>1</v>
      </c>
    </row>
    <row r="277" spans="1:5" x14ac:dyDescent="0.2">
      <c r="A277" s="16" t="str">
        <v>successful</v>
      </c>
      <c r="B277" s="5">
        <v>33</v>
      </c>
      <c r="D277" s="17" t="str">
        <v>failed</v>
      </c>
      <c r="E277" s="5">
        <v>3</v>
      </c>
    </row>
    <row r="278" spans="1:5" x14ac:dyDescent="0.2">
      <c r="A278" s="16" t="str">
        <v>successful</v>
      </c>
      <c r="B278" s="5">
        <v>17</v>
      </c>
      <c r="D278" s="17" t="str">
        <v>failed</v>
      </c>
      <c r="E278" s="5">
        <v>6</v>
      </c>
    </row>
    <row r="279" spans="1:5" x14ac:dyDescent="0.2">
      <c r="A279" s="16" t="str">
        <v>successful</v>
      </c>
      <c r="B279" s="5">
        <v>5</v>
      </c>
      <c r="D279" s="17" t="str">
        <v>failed</v>
      </c>
      <c r="E279" s="5">
        <v>27</v>
      </c>
    </row>
    <row r="280" spans="1:5" x14ac:dyDescent="0.2">
      <c r="A280" s="16" t="str">
        <v>successful</v>
      </c>
      <c r="B280" s="5">
        <v>7</v>
      </c>
      <c r="D280" s="17" t="str">
        <v>failed</v>
      </c>
      <c r="E280" s="5">
        <v>25</v>
      </c>
    </row>
    <row r="281" spans="1:5" x14ac:dyDescent="0.2">
      <c r="A281" s="16" t="str">
        <v>successful</v>
      </c>
      <c r="B281" s="5">
        <v>26</v>
      </c>
      <c r="D281" s="17" t="str">
        <v>failed</v>
      </c>
      <c r="E281" s="5">
        <v>30</v>
      </c>
    </row>
    <row r="282" spans="1:5" x14ac:dyDescent="0.2">
      <c r="A282" s="16" t="str">
        <v>successful</v>
      </c>
      <c r="B282" s="5">
        <v>13</v>
      </c>
      <c r="D282" s="17" t="str">
        <v>failed</v>
      </c>
      <c r="E282" s="5">
        <v>29</v>
      </c>
    </row>
    <row r="283" spans="1:5" x14ac:dyDescent="0.2">
      <c r="A283" s="16" t="str">
        <v>successful</v>
      </c>
      <c r="B283" s="5">
        <v>1</v>
      </c>
      <c r="D283" s="17" t="str">
        <v>failed</v>
      </c>
      <c r="E283" s="5">
        <v>1</v>
      </c>
    </row>
    <row r="284" spans="1:5" x14ac:dyDescent="0.2">
      <c r="A284" s="16" t="str">
        <v>successful</v>
      </c>
      <c r="B284" s="5">
        <v>4</v>
      </c>
      <c r="D284" s="17" t="str">
        <v>failed</v>
      </c>
      <c r="E284" s="5">
        <v>45</v>
      </c>
    </row>
    <row r="285" spans="1:5" x14ac:dyDescent="0.2">
      <c r="A285" s="16" t="str">
        <v>successful</v>
      </c>
      <c r="B285" s="5">
        <v>29</v>
      </c>
      <c r="D285" s="17" t="str">
        <v>failed</v>
      </c>
      <c r="E285" s="5">
        <v>26</v>
      </c>
    </row>
    <row r="286" spans="1:5" x14ac:dyDescent="0.2">
      <c r="A286" s="16" t="str">
        <v>successful</v>
      </c>
      <c r="B286" s="5">
        <v>20</v>
      </c>
      <c r="D286" s="17" t="str">
        <v>failed</v>
      </c>
      <c r="E286" s="5">
        <v>10</v>
      </c>
    </row>
    <row r="287" spans="1:5" x14ac:dyDescent="0.2">
      <c r="A287" s="16" t="str">
        <v>successful</v>
      </c>
      <c r="B287" s="5">
        <v>17</v>
      </c>
      <c r="D287" s="17" t="str">
        <v>failed</v>
      </c>
      <c r="E287" s="5">
        <v>18</v>
      </c>
    </row>
    <row r="288" spans="1:5" x14ac:dyDescent="0.2">
      <c r="A288" s="16" t="str">
        <v>successful</v>
      </c>
      <c r="B288" s="5">
        <v>21</v>
      </c>
      <c r="D288" s="17" t="str">
        <v>failed</v>
      </c>
      <c r="E288" s="5">
        <v>29</v>
      </c>
    </row>
    <row r="289" spans="1:5" x14ac:dyDescent="0.2">
      <c r="A289" s="16" t="str">
        <v>successful</v>
      </c>
      <c r="B289" s="5">
        <v>24</v>
      </c>
      <c r="D289" s="17" t="str">
        <v>failed</v>
      </c>
      <c r="E289" s="5">
        <v>9</v>
      </c>
    </row>
    <row r="290" spans="1:5" x14ac:dyDescent="0.2">
      <c r="A290" s="16" t="str">
        <v>successful</v>
      </c>
      <c r="B290" s="5">
        <v>1</v>
      </c>
      <c r="D290" s="17" t="str">
        <v>failed</v>
      </c>
      <c r="E290" s="5">
        <v>9</v>
      </c>
    </row>
    <row r="291" spans="1:5" x14ac:dyDescent="0.2">
      <c r="A291" s="16" t="str">
        <v>successful</v>
      </c>
      <c r="B291" s="5">
        <v>5</v>
      </c>
      <c r="D291" s="17" t="str">
        <v>failed</v>
      </c>
      <c r="E291" s="5">
        <v>37</v>
      </c>
    </row>
    <row r="292" spans="1:5" x14ac:dyDescent="0.2">
      <c r="A292" s="16" t="str">
        <v>successful</v>
      </c>
      <c r="B292" s="5">
        <v>14</v>
      </c>
      <c r="D292" s="17" t="str">
        <v>failed</v>
      </c>
      <c r="E292" s="5">
        <v>16</v>
      </c>
    </row>
    <row r="293" spans="1:5" x14ac:dyDescent="0.2">
      <c r="A293" s="16" t="str">
        <v>successful</v>
      </c>
      <c r="B293" s="5">
        <v>3</v>
      </c>
      <c r="D293" s="17" t="str">
        <v>failed</v>
      </c>
      <c r="E293" s="5">
        <v>28</v>
      </c>
    </row>
    <row r="294" spans="1:5" x14ac:dyDescent="0.2">
      <c r="A294" s="16" t="str">
        <v>successful</v>
      </c>
      <c r="B294" s="5">
        <v>6</v>
      </c>
      <c r="D294" s="17" t="str">
        <v>failed</v>
      </c>
      <c r="E294" s="5">
        <v>3</v>
      </c>
    </row>
    <row r="295" spans="1:5" x14ac:dyDescent="0.2">
      <c r="A295" s="16" t="str">
        <v>successful</v>
      </c>
      <c r="B295" s="5">
        <v>5</v>
      </c>
      <c r="D295" s="17" t="str">
        <v>failed</v>
      </c>
      <c r="E295" s="5">
        <v>7</v>
      </c>
    </row>
    <row r="296" spans="1:5" x14ac:dyDescent="0.2">
      <c r="A296" s="16" t="str">
        <v>successful</v>
      </c>
      <c r="B296" s="5">
        <v>37</v>
      </c>
      <c r="D296" s="17" t="str">
        <v>failed</v>
      </c>
      <c r="E296" s="5">
        <v>4</v>
      </c>
    </row>
    <row r="297" spans="1:5" x14ac:dyDescent="0.2">
      <c r="A297" s="16" t="str">
        <v>successful</v>
      </c>
      <c r="B297" s="5">
        <v>1</v>
      </c>
      <c r="D297" s="17" t="str">
        <v>failed</v>
      </c>
      <c r="E297" s="5">
        <v>4</v>
      </c>
    </row>
    <row r="298" spans="1:5" x14ac:dyDescent="0.2">
      <c r="A298" s="16" t="str">
        <v>successful</v>
      </c>
      <c r="B298" s="5">
        <v>36</v>
      </c>
      <c r="D298" s="17" t="str">
        <v>failed</v>
      </c>
      <c r="E298" s="5">
        <v>51</v>
      </c>
    </row>
    <row r="299" spans="1:5" x14ac:dyDescent="0.2">
      <c r="A299" s="16" t="str">
        <v>successful</v>
      </c>
      <c r="B299" s="5">
        <v>2</v>
      </c>
      <c r="D299" s="17" t="str">
        <v>failed</v>
      </c>
      <c r="E299" s="5">
        <v>17</v>
      </c>
    </row>
    <row r="300" spans="1:5" x14ac:dyDescent="0.2">
      <c r="A300" s="16" t="str">
        <v>successful</v>
      </c>
      <c r="B300" s="5">
        <v>26</v>
      </c>
      <c r="D300" s="17" t="str">
        <v>failed</v>
      </c>
      <c r="E300" s="5">
        <v>1</v>
      </c>
    </row>
    <row r="301" spans="1:5" x14ac:dyDescent="0.2">
      <c r="A301" s="16" t="str">
        <v>successful</v>
      </c>
      <c r="B301" s="5">
        <v>23</v>
      </c>
      <c r="D301" s="17" t="str">
        <v>failed</v>
      </c>
      <c r="E301" s="5">
        <v>2</v>
      </c>
    </row>
    <row r="302" spans="1:5" x14ac:dyDescent="0.2">
      <c r="A302" s="16" t="str">
        <v>successful</v>
      </c>
      <c r="B302" s="5">
        <v>22</v>
      </c>
      <c r="D302" s="17" t="str">
        <v>failed</v>
      </c>
      <c r="E302" s="5">
        <v>2</v>
      </c>
    </row>
    <row r="303" spans="1:5" x14ac:dyDescent="0.2">
      <c r="A303" s="16" t="str">
        <v>successful</v>
      </c>
      <c r="B303" s="5">
        <v>13</v>
      </c>
      <c r="D303" s="17" t="str">
        <v>failed</v>
      </c>
      <c r="E303" s="5">
        <v>15</v>
      </c>
    </row>
    <row r="304" spans="1:5" x14ac:dyDescent="0.2">
      <c r="A304" s="16" t="str">
        <v>successful</v>
      </c>
      <c r="B304" s="5">
        <v>3</v>
      </c>
      <c r="D304" s="17" t="str">
        <v>failed</v>
      </c>
      <c r="E304" s="5">
        <v>25</v>
      </c>
    </row>
    <row r="305" spans="1:5" x14ac:dyDescent="0.2">
      <c r="A305" s="16" t="str">
        <v>successful</v>
      </c>
      <c r="B305" s="5">
        <v>12</v>
      </c>
      <c r="D305" s="17" t="str">
        <v>failed</v>
      </c>
      <c r="E305" s="5">
        <v>15</v>
      </c>
    </row>
    <row r="306" spans="1:5" x14ac:dyDescent="0.2">
      <c r="A306" s="16" t="str">
        <v>successful</v>
      </c>
      <c r="B306" s="5">
        <v>13</v>
      </c>
      <c r="D306" s="17" t="str">
        <v>failed</v>
      </c>
      <c r="E306" s="5">
        <v>59</v>
      </c>
    </row>
    <row r="307" spans="1:5" x14ac:dyDescent="0.2">
      <c r="A307" s="16" t="str">
        <v>successful</v>
      </c>
      <c r="B307" s="5">
        <v>9</v>
      </c>
      <c r="D307" s="17" t="str">
        <v>failed</v>
      </c>
      <c r="E307" s="5">
        <v>6</v>
      </c>
    </row>
    <row r="308" spans="1:5" x14ac:dyDescent="0.2">
      <c r="A308" s="16" t="str">
        <v>successful</v>
      </c>
      <c r="B308" s="5">
        <v>6</v>
      </c>
      <c r="D308" s="17" t="str">
        <v>failed</v>
      </c>
      <c r="E308" s="5">
        <v>11</v>
      </c>
    </row>
    <row r="309" spans="1:5" x14ac:dyDescent="0.2">
      <c r="A309" s="16" t="str">
        <v>successful</v>
      </c>
      <c r="B309" s="5">
        <v>31</v>
      </c>
      <c r="D309" s="17" t="str">
        <v>failed</v>
      </c>
      <c r="E309" s="5">
        <v>6</v>
      </c>
    </row>
    <row r="310" spans="1:5" x14ac:dyDescent="0.2">
      <c r="A310" s="16" t="str">
        <v>successful</v>
      </c>
      <c r="B310" s="5">
        <v>7</v>
      </c>
      <c r="D310" s="17" t="str">
        <v>failed</v>
      </c>
      <c r="E310" s="5">
        <v>15</v>
      </c>
    </row>
    <row r="311" spans="1:5" x14ac:dyDescent="0.2">
      <c r="A311" s="16" t="str">
        <v>successful</v>
      </c>
      <c r="B311" s="5">
        <v>3</v>
      </c>
      <c r="D311" s="17" t="str">
        <v>failed</v>
      </c>
      <c r="E311" s="5">
        <v>10</v>
      </c>
    </row>
    <row r="312" spans="1:5" x14ac:dyDescent="0.2">
      <c r="A312" s="16" t="str">
        <v>successful</v>
      </c>
      <c r="B312" s="5">
        <v>43</v>
      </c>
      <c r="D312" s="17" t="str">
        <v>failed</v>
      </c>
      <c r="E312" s="5">
        <v>7</v>
      </c>
    </row>
    <row r="313" spans="1:5" x14ac:dyDescent="0.2">
      <c r="A313" s="16" t="str">
        <v>successful</v>
      </c>
      <c r="B313" s="5">
        <v>7</v>
      </c>
      <c r="D313" s="17" t="str">
        <v>failed</v>
      </c>
      <c r="E313" s="5">
        <v>18</v>
      </c>
    </row>
    <row r="314" spans="1:5" x14ac:dyDescent="0.2">
      <c r="A314" s="16" t="str">
        <v>successful</v>
      </c>
      <c r="B314" s="5">
        <v>40</v>
      </c>
      <c r="D314" s="17" t="str">
        <v>failed</v>
      </c>
      <c r="E314" s="5">
        <v>14</v>
      </c>
    </row>
    <row r="315" spans="1:5" x14ac:dyDescent="0.2">
      <c r="A315" s="16" t="str">
        <v>successful</v>
      </c>
      <c r="B315" s="5">
        <v>2</v>
      </c>
      <c r="D315" s="17" t="str">
        <v>failed</v>
      </c>
      <c r="E315" s="5">
        <v>25</v>
      </c>
    </row>
    <row r="316" spans="1:5" x14ac:dyDescent="0.2">
      <c r="A316" s="16" t="str">
        <v>successful</v>
      </c>
      <c r="B316" s="5">
        <v>20</v>
      </c>
      <c r="D316" s="17" t="str">
        <v>failed</v>
      </c>
      <c r="E316" s="5">
        <v>1</v>
      </c>
    </row>
    <row r="317" spans="1:5" x14ac:dyDescent="0.2">
      <c r="A317" s="16" t="str">
        <v>successful</v>
      </c>
      <c r="B317" s="5">
        <v>20</v>
      </c>
      <c r="D317" s="17" t="str">
        <v>failed</v>
      </c>
      <c r="E317" s="5">
        <v>24</v>
      </c>
    </row>
    <row r="318" spans="1:5" x14ac:dyDescent="0.2">
      <c r="A318" s="16" t="str">
        <v>successful</v>
      </c>
      <c r="B318" s="5">
        <v>2</v>
      </c>
      <c r="D318" s="17" t="str">
        <v>failed</v>
      </c>
      <c r="E318" s="5">
        <v>1</v>
      </c>
    </row>
    <row r="319" spans="1:5" x14ac:dyDescent="0.2">
      <c r="A319" s="16" t="str">
        <v>successful</v>
      </c>
      <c r="B319" s="5">
        <v>45</v>
      </c>
      <c r="D319" s="17" t="str">
        <v>failed</v>
      </c>
      <c r="E319" s="5">
        <v>24</v>
      </c>
    </row>
    <row r="320" spans="1:5" x14ac:dyDescent="0.2">
      <c r="A320" s="16" t="str">
        <v>successful</v>
      </c>
      <c r="B320" s="5">
        <v>12</v>
      </c>
      <c r="D320" s="17" t="str">
        <v>failed</v>
      </c>
      <c r="E320" s="5">
        <v>29</v>
      </c>
    </row>
    <row r="321" spans="1:5" x14ac:dyDescent="0.2">
      <c r="A321" s="16" t="str">
        <v>successful</v>
      </c>
      <c r="B321" s="5">
        <v>6</v>
      </c>
      <c r="D321" s="17" t="str">
        <v>failed</v>
      </c>
      <c r="E321" s="5">
        <v>2</v>
      </c>
    </row>
    <row r="322" spans="1:5" x14ac:dyDescent="0.2">
      <c r="A322" s="16" t="str">
        <v>successful</v>
      </c>
      <c r="B322" s="5">
        <v>2</v>
      </c>
      <c r="D322" s="17" t="str">
        <v>failed</v>
      </c>
      <c r="E322" s="5">
        <v>18</v>
      </c>
    </row>
    <row r="323" spans="1:5" x14ac:dyDescent="0.2">
      <c r="A323" s="16" t="str">
        <v>successful</v>
      </c>
      <c r="B323" s="5">
        <v>10</v>
      </c>
      <c r="D323" s="17" t="str">
        <v>failed</v>
      </c>
      <c r="E323" s="5">
        <v>47</v>
      </c>
    </row>
    <row r="324" spans="1:5" x14ac:dyDescent="0.2">
      <c r="A324" s="16" t="str">
        <v>successful</v>
      </c>
      <c r="B324" s="5">
        <v>12</v>
      </c>
      <c r="D324" s="17" t="str">
        <v>failed</v>
      </c>
      <c r="E324" s="5">
        <v>9</v>
      </c>
    </row>
    <row r="325" spans="1:5" x14ac:dyDescent="0.2">
      <c r="A325" s="16" t="str">
        <v>successful</v>
      </c>
      <c r="B325" s="5">
        <v>8</v>
      </c>
      <c r="D325" s="17" t="str">
        <v>failed</v>
      </c>
      <c r="E325" s="5">
        <v>2</v>
      </c>
    </row>
    <row r="326" spans="1:5" x14ac:dyDescent="0.2">
      <c r="A326" s="16" t="str">
        <v>successful</v>
      </c>
      <c r="B326" s="5">
        <v>17</v>
      </c>
      <c r="D326" s="17" t="str">
        <v>failed</v>
      </c>
      <c r="E326" s="5">
        <v>6</v>
      </c>
    </row>
    <row r="327" spans="1:5" x14ac:dyDescent="0.2">
      <c r="A327" s="16" t="str">
        <v>successful</v>
      </c>
      <c r="B327" s="5">
        <v>14</v>
      </c>
      <c r="D327" s="17" t="str">
        <v>failed</v>
      </c>
      <c r="E327" s="5">
        <v>1</v>
      </c>
    </row>
    <row r="328" spans="1:5" x14ac:dyDescent="0.2">
      <c r="A328" s="16" t="str">
        <v>successful</v>
      </c>
      <c r="B328" s="5">
        <v>10</v>
      </c>
      <c r="D328" s="17" t="str">
        <v>failed</v>
      </c>
      <c r="E328" s="5">
        <v>4</v>
      </c>
    </row>
    <row r="329" spans="1:5" x14ac:dyDescent="0.2">
      <c r="A329" s="16" t="str">
        <v>successful</v>
      </c>
      <c r="B329" s="5">
        <v>19</v>
      </c>
      <c r="D329" s="17" t="str">
        <v>failed</v>
      </c>
      <c r="E329" s="5">
        <v>7</v>
      </c>
    </row>
    <row r="330" spans="1:5" x14ac:dyDescent="0.2">
      <c r="A330" s="16" t="str">
        <v>successful</v>
      </c>
      <c r="B330" s="5">
        <v>10</v>
      </c>
      <c r="D330" s="17" t="str">
        <v>failed</v>
      </c>
      <c r="E330" s="5">
        <v>13</v>
      </c>
    </row>
    <row r="331" spans="1:5" x14ac:dyDescent="0.2">
      <c r="A331" s="16" t="str">
        <v>successful</v>
      </c>
      <c r="B331" s="5">
        <v>13</v>
      </c>
      <c r="D331" s="17" t="str">
        <v>failed</v>
      </c>
      <c r="E331" s="5">
        <v>12</v>
      </c>
    </row>
    <row r="332" spans="1:5" x14ac:dyDescent="0.2">
      <c r="A332" s="16" t="str">
        <v>successful</v>
      </c>
      <c r="B332" s="5">
        <v>21</v>
      </c>
      <c r="D332" s="17" t="str">
        <v>failed</v>
      </c>
      <c r="E332" s="5">
        <v>9</v>
      </c>
    </row>
    <row r="333" spans="1:5" x14ac:dyDescent="0.2">
      <c r="A333" s="16" t="str">
        <v>successful</v>
      </c>
      <c r="B333" s="5">
        <v>18</v>
      </c>
      <c r="D333" s="17" t="str">
        <v>failed</v>
      </c>
      <c r="E333" s="5">
        <v>32</v>
      </c>
    </row>
    <row r="334" spans="1:5" x14ac:dyDescent="0.2">
      <c r="A334" s="16" t="str">
        <v>successful</v>
      </c>
      <c r="B334" s="5">
        <v>29</v>
      </c>
      <c r="D334" s="17" t="str">
        <v>failed</v>
      </c>
      <c r="E334" s="5">
        <v>14</v>
      </c>
    </row>
    <row r="335" spans="1:5" x14ac:dyDescent="0.2">
      <c r="A335" s="16" t="str">
        <v>successful</v>
      </c>
      <c r="B335" s="5">
        <v>17</v>
      </c>
      <c r="D335" s="17" t="str">
        <v>failed</v>
      </c>
      <c r="E335" s="5">
        <v>4</v>
      </c>
    </row>
    <row r="336" spans="1:5" x14ac:dyDescent="0.2">
      <c r="A336" s="16" t="str">
        <v>successful</v>
      </c>
      <c r="B336" s="5">
        <v>11</v>
      </c>
      <c r="D336" s="17" t="str">
        <v>failed</v>
      </c>
      <c r="E336" s="5">
        <v>29</v>
      </c>
    </row>
    <row r="337" spans="1:5" x14ac:dyDescent="0.2">
      <c r="A337" s="16" t="str">
        <v>successful</v>
      </c>
      <c r="B337" s="5">
        <v>27</v>
      </c>
      <c r="D337" s="17" t="str">
        <v>failed</v>
      </c>
      <c r="E337" s="5">
        <v>2</v>
      </c>
    </row>
    <row r="338" spans="1:5" x14ac:dyDescent="0.2">
      <c r="A338" s="16" t="str">
        <v>successful</v>
      </c>
      <c r="B338" s="5">
        <v>21</v>
      </c>
      <c r="D338" s="17" t="str">
        <v>failed</v>
      </c>
      <c r="E338" s="5">
        <v>3</v>
      </c>
    </row>
    <row r="339" spans="1:5" x14ac:dyDescent="0.2">
      <c r="A339" s="16" t="str">
        <v>successful</v>
      </c>
      <c r="B339" s="5">
        <v>41</v>
      </c>
      <c r="D339" s="17" t="str">
        <v>failed</v>
      </c>
      <c r="E339" s="5">
        <v>17</v>
      </c>
    </row>
    <row r="340" spans="1:5" x14ac:dyDescent="0.2">
      <c r="A340" s="16" t="str">
        <v>successful</v>
      </c>
      <c r="B340" s="5">
        <v>11</v>
      </c>
      <c r="D340" s="17" t="str">
        <v>failed</v>
      </c>
      <c r="E340" s="5">
        <v>35</v>
      </c>
    </row>
    <row r="341" spans="1:5" x14ac:dyDescent="0.2">
      <c r="A341" s="16" t="str">
        <v>successful</v>
      </c>
      <c r="B341" s="5">
        <v>2</v>
      </c>
      <c r="D341" s="17" t="str">
        <v>failed</v>
      </c>
      <c r="E341" s="5">
        <v>3</v>
      </c>
    </row>
    <row r="342" spans="1:5" x14ac:dyDescent="0.2">
      <c r="A342" s="16" t="str">
        <v>successful</v>
      </c>
      <c r="B342" s="5">
        <v>4</v>
      </c>
      <c r="D342" s="17" t="str">
        <v>failed</v>
      </c>
      <c r="E342" s="5">
        <v>19</v>
      </c>
    </row>
    <row r="343" spans="1:5" x14ac:dyDescent="0.2">
      <c r="A343" s="16" t="str">
        <v>successful</v>
      </c>
      <c r="B343" s="5">
        <v>17</v>
      </c>
      <c r="D343" s="17" t="str">
        <v>failed</v>
      </c>
      <c r="E343" s="5">
        <v>15</v>
      </c>
    </row>
    <row r="344" spans="1:5" x14ac:dyDescent="0.2">
      <c r="A344" s="16" t="str">
        <v>successful</v>
      </c>
      <c r="B344" s="5">
        <v>14</v>
      </c>
      <c r="D344" s="17" t="str">
        <v>failed</v>
      </c>
      <c r="E344" s="5">
        <v>2</v>
      </c>
    </row>
    <row r="345" spans="1:5" x14ac:dyDescent="0.2">
      <c r="A345" s="16" t="str">
        <v>successful</v>
      </c>
      <c r="B345" s="5">
        <v>23</v>
      </c>
      <c r="D345" s="17" t="str">
        <v>failed</v>
      </c>
      <c r="E345" s="5">
        <v>7</v>
      </c>
    </row>
    <row r="346" spans="1:5" x14ac:dyDescent="0.2">
      <c r="A346" s="16" t="str">
        <v>successful</v>
      </c>
      <c r="B346" s="5">
        <v>9</v>
      </c>
      <c r="D346" s="17" t="str">
        <v>failed</v>
      </c>
      <c r="E346" s="5">
        <v>5</v>
      </c>
    </row>
    <row r="347" spans="1:5" x14ac:dyDescent="0.2">
      <c r="A347" s="16" t="str">
        <v>successful</v>
      </c>
      <c r="B347" s="5">
        <v>18</v>
      </c>
      <c r="D347" s="17" t="str">
        <v>failed</v>
      </c>
      <c r="E347" s="5">
        <v>36</v>
      </c>
    </row>
    <row r="348" spans="1:5" x14ac:dyDescent="0.2">
      <c r="A348" s="16" t="str">
        <v>successful</v>
      </c>
      <c r="B348" s="5">
        <v>10</v>
      </c>
      <c r="D348" s="17" t="str">
        <v>failed</v>
      </c>
      <c r="E348" s="5">
        <v>4</v>
      </c>
    </row>
    <row r="349" spans="1:5" x14ac:dyDescent="0.2">
      <c r="A349" s="16" t="str">
        <v>successful</v>
      </c>
      <c r="B349" s="5">
        <v>1</v>
      </c>
      <c r="D349" s="17" t="str">
        <v>failed</v>
      </c>
      <c r="E349" s="5">
        <v>28</v>
      </c>
    </row>
    <row r="350" spans="1:5" x14ac:dyDescent="0.2">
      <c r="A350" s="16" t="str">
        <v>successful</v>
      </c>
      <c r="B350" s="5">
        <v>10</v>
      </c>
      <c r="D350" s="17" t="str">
        <v>failed</v>
      </c>
      <c r="E350" s="5">
        <v>37</v>
      </c>
    </row>
    <row r="351" spans="1:5" x14ac:dyDescent="0.2">
      <c r="A351" s="16" t="str">
        <v>successful</v>
      </c>
      <c r="B351" s="5">
        <v>4</v>
      </c>
      <c r="D351" s="17" t="str">
        <v>failed</v>
      </c>
      <c r="E351" s="5">
        <v>6</v>
      </c>
    </row>
    <row r="352" spans="1:5" x14ac:dyDescent="0.2">
      <c r="A352" s="16" t="str">
        <v>successful</v>
      </c>
      <c r="B352" s="5">
        <v>5</v>
      </c>
      <c r="D352" s="17" t="str">
        <v>failed</v>
      </c>
      <c r="E352" s="5">
        <v>1</v>
      </c>
    </row>
    <row r="353" spans="1:5" x14ac:dyDescent="0.2">
      <c r="A353" s="16" t="str">
        <v>successful</v>
      </c>
      <c r="B353" s="5">
        <v>5</v>
      </c>
      <c r="D353" s="17" t="str">
        <v>failed</v>
      </c>
      <c r="E353" s="5">
        <v>6</v>
      </c>
    </row>
    <row r="354" spans="1:5" x14ac:dyDescent="0.2">
      <c r="A354" s="16" t="str">
        <v>successful</v>
      </c>
      <c r="B354" s="5">
        <v>6</v>
      </c>
      <c r="D354" s="17" t="str">
        <v>failed</v>
      </c>
      <c r="E354" s="5">
        <v>2</v>
      </c>
    </row>
    <row r="355" spans="1:5" x14ac:dyDescent="0.2">
      <c r="A355" s="16" t="str">
        <v>successful</v>
      </c>
      <c r="B355" s="5">
        <v>9</v>
      </c>
      <c r="D355" s="17" t="str">
        <v>failed</v>
      </c>
      <c r="E355" s="5">
        <v>32</v>
      </c>
    </row>
    <row r="356" spans="1:5" x14ac:dyDescent="0.2">
      <c r="A356" s="16" t="str">
        <v>successful</v>
      </c>
      <c r="B356" s="5">
        <v>24</v>
      </c>
      <c r="D356" s="17" t="str">
        <v>failed</v>
      </c>
      <c r="E356" s="5">
        <v>5</v>
      </c>
    </row>
    <row r="357" spans="1:5" x14ac:dyDescent="0.2">
      <c r="A357" s="16" t="str">
        <v>successful</v>
      </c>
      <c r="B357" s="5">
        <v>3</v>
      </c>
      <c r="D357" s="17" t="str">
        <v>failed</v>
      </c>
      <c r="E357" s="5">
        <v>2</v>
      </c>
    </row>
    <row r="358" spans="1:5" x14ac:dyDescent="0.2">
      <c r="A358" s="16" t="str">
        <v>successful</v>
      </c>
      <c r="B358" s="5">
        <v>4</v>
      </c>
      <c r="D358" s="17" t="str">
        <v>failed</v>
      </c>
      <c r="E358" s="5">
        <v>26</v>
      </c>
    </row>
    <row r="359" spans="1:5" x14ac:dyDescent="0.2">
      <c r="A359" s="16" t="str">
        <v>successful</v>
      </c>
      <c r="B359" s="5">
        <v>32</v>
      </c>
      <c r="D359" s="17" t="str">
        <v>failed</v>
      </c>
      <c r="E359" s="5">
        <v>14</v>
      </c>
    </row>
    <row r="360" spans="1:5" x14ac:dyDescent="0.2">
      <c r="A360" s="16" t="str">
        <v>successful</v>
      </c>
      <c r="B360" s="5">
        <v>28</v>
      </c>
      <c r="D360" s="17" t="str">
        <v>failed</v>
      </c>
      <c r="E360" s="5">
        <v>21</v>
      </c>
    </row>
    <row r="361" spans="1:5" x14ac:dyDescent="0.2">
      <c r="A361" s="16" t="str">
        <v>successful</v>
      </c>
      <c r="B361" s="5">
        <v>9</v>
      </c>
      <c r="D361" s="17" t="str">
        <v>failed</v>
      </c>
      <c r="E361" s="5">
        <v>22</v>
      </c>
    </row>
    <row r="362" spans="1:5" x14ac:dyDescent="0.2">
      <c r="A362" s="16" t="str">
        <v>successful</v>
      </c>
      <c r="B362" s="5">
        <v>18</v>
      </c>
      <c r="D362" s="17" t="str">
        <v>failed</v>
      </c>
      <c r="E362" s="5">
        <v>6</v>
      </c>
    </row>
    <row r="363" spans="1:5" x14ac:dyDescent="0.2">
      <c r="A363" s="16" t="str">
        <v>successful</v>
      </c>
      <c r="B363" s="5">
        <v>43</v>
      </c>
      <c r="D363" s="17" t="str">
        <v>failed</v>
      </c>
      <c r="E363" s="5">
        <v>30</v>
      </c>
    </row>
    <row r="364" spans="1:5" x14ac:dyDescent="0.2">
      <c r="A364" s="16" t="str">
        <v>successful</v>
      </c>
      <c r="B364" s="5">
        <v>2</v>
      </c>
      <c r="D364" s="17" t="str">
        <v>failed</v>
      </c>
      <c r="E364" s="5">
        <v>14</v>
      </c>
    </row>
    <row r="365" spans="1:5" x14ac:dyDescent="0.2">
      <c r="A365" s="16" t="str">
        <v>successful</v>
      </c>
      <c r="B365" s="5">
        <v>5</v>
      </c>
    </row>
    <row r="366" spans="1:5" x14ac:dyDescent="0.2">
      <c r="A366" s="16" t="str">
        <v>successful</v>
      </c>
      <c r="B366" s="5">
        <v>13</v>
      </c>
    </row>
    <row r="367" spans="1:5" x14ac:dyDescent="0.2">
      <c r="A367" s="16" t="str">
        <v>successful</v>
      </c>
      <c r="B367" s="5">
        <v>14</v>
      </c>
    </row>
    <row r="368" spans="1:5" x14ac:dyDescent="0.2">
      <c r="A368" s="16" t="str">
        <v>successful</v>
      </c>
      <c r="B368" s="5">
        <v>9</v>
      </c>
    </row>
    <row r="369" spans="1:2" x14ac:dyDescent="0.2">
      <c r="A369" s="16" t="str">
        <v>successful</v>
      </c>
      <c r="B369" s="5">
        <v>9</v>
      </c>
    </row>
    <row r="370" spans="1:2" x14ac:dyDescent="0.2">
      <c r="A370" s="16" t="str">
        <v>successful</v>
      </c>
      <c r="B370" s="5">
        <v>12</v>
      </c>
    </row>
    <row r="371" spans="1:2" x14ac:dyDescent="0.2">
      <c r="A371" s="16" t="str">
        <v>successful</v>
      </c>
      <c r="B371" s="5">
        <v>4</v>
      </c>
    </row>
    <row r="372" spans="1:2" x14ac:dyDescent="0.2">
      <c r="A372" s="16" t="str">
        <v>successful</v>
      </c>
      <c r="B372" s="5">
        <v>7</v>
      </c>
    </row>
    <row r="373" spans="1:2" x14ac:dyDescent="0.2">
      <c r="A373" s="16" t="str">
        <v>successful</v>
      </c>
      <c r="B373" s="5">
        <v>9</v>
      </c>
    </row>
    <row r="374" spans="1:2" x14ac:dyDescent="0.2">
      <c r="A374" s="16" t="str">
        <v>successful</v>
      </c>
      <c r="B374" s="5">
        <v>5</v>
      </c>
    </row>
    <row r="375" spans="1:2" x14ac:dyDescent="0.2">
      <c r="A375" s="16" t="str">
        <v>successful</v>
      </c>
      <c r="B375" s="5">
        <v>9</v>
      </c>
    </row>
    <row r="376" spans="1:2" x14ac:dyDescent="0.2">
      <c r="A376" s="16" t="str">
        <v>successful</v>
      </c>
      <c r="B376" s="5">
        <v>2</v>
      </c>
    </row>
    <row r="377" spans="1:2" x14ac:dyDescent="0.2">
      <c r="A377" s="16" t="str">
        <v>successful</v>
      </c>
      <c r="B377" s="5">
        <v>20</v>
      </c>
    </row>
    <row r="378" spans="1:2" x14ac:dyDescent="0.2">
      <c r="A378" s="16" t="str">
        <v>successful</v>
      </c>
      <c r="B378" s="5">
        <v>11</v>
      </c>
    </row>
    <row r="379" spans="1:2" x14ac:dyDescent="0.2">
      <c r="A379" s="16" t="str">
        <v>successful</v>
      </c>
      <c r="B379" s="5">
        <v>3</v>
      </c>
    </row>
    <row r="380" spans="1:2" x14ac:dyDescent="0.2">
      <c r="A380" s="16" t="str">
        <v>successful</v>
      </c>
      <c r="B380" s="5">
        <v>16</v>
      </c>
    </row>
    <row r="381" spans="1:2" x14ac:dyDescent="0.2">
      <c r="A381" s="16" t="str">
        <v>successful</v>
      </c>
      <c r="B381" s="5">
        <v>12</v>
      </c>
    </row>
    <row r="382" spans="1:2" x14ac:dyDescent="0.2">
      <c r="A382" s="16" t="str">
        <v>successful</v>
      </c>
      <c r="B382" s="5">
        <v>6</v>
      </c>
    </row>
    <row r="383" spans="1:2" x14ac:dyDescent="0.2">
      <c r="A383" s="16" t="str">
        <v>successful</v>
      </c>
      <c r="B383" s="5">
        <v>17</v>
      </c>
    </row>
    <row r="384" spans="1:2" x14ac:dyDescent="0.2">
      <c r="A384" s="16" t="str">
        <v>successful</v>
      </c>
      <c r="B384" s="5">
        <v>16</v>
      </c>
    </row>
    <row r="385" spans="1:2" x14ac:dyDescent="0.2">
      <c r="A385" s="16" t="str">
        <v>successful</v>
      </c>
      <c r="B385" s="5">
        <v>2</v>
      </c>
    </row>
    <row r="386" spans="1:2" x14ac:dyDescent="0.2">
      <c r="A386" s="16" t="str">
        <v>successful</v>
      </c>
      <c r="B386" s="5">
        <v>14</v>
      </c>
    </row>
    <row r="387" spans="1:2" x14ac:dyDescent="0.2">
      <c r="A387" s="16" t="str">
        <v>successful</v>
      </c>
      <c r="B387" s="5">
        <v>7</v>
      </c>
    </row>
    <row r="388" spans="1:2" x14ac:dyDescent="0.2">
      <c r="A388" s="16" t="str">
        <v>successful</v>
      </c>
      <c r="B388" s="5">
        <v>17</v>
      </c>
    </row>
    <row r="389" spans="1:2" x14ac:dyDescent="0.2">
      <c r="A389" s="16" t="str">
        <v>successful</v>
      </c>
      <c r="B389" s="5">
        <v>15</v>
      </c>
    </row>
    <row r="390" spans="1:2" x14ac:dyDescent="0.2">
      <c r="A390" s="16" t="str">
        <v>successful</v>
      </c>
      <c r="B390" s="5">
        <v>8</v>
      </c>
    </row>
    <row r="391" spans="1:2" x14ac:dyDescent="0.2">
      <c r="A391" s="16" t="str">
        <v>successful</v>
      </c>
      <c r="B391" s="5">
        <v>36</v>
      </c>
    </row>
    <row r="392" spans="1:2" x14ac:dyDescent="0.2">
      <c r="A392" s="16" t="str">
        <v>successful</v>
      </c>
      <c r="B392" s="5">
        <v>10</v>
      </c>
    </row>
    <row r="393" spans="1:2" x14ac:dyDescent="0.2">
      <c r="A393" s="16" t="str">
        <v>successful</v>
      </c>
      <c r="B393" s="5">
        <v>7</v>
      </c>
    </row>
    <row r="394" spans="1:2" x14ac:dyDescent="0.2">
      <c r="A394" s="16" t="str">
        <v>successful</v>
      </c>
      <c r="B394" s="5">
        <v>7</v>
      </c>
    </row>
    <row r="395" spans="1:2" x14ac:dyDescent="0.2">
      <c r="A395" s="16" t="str">
        <v>successful</v>
      </c>
      <c r="B395" s="5">
        <v>41</v>
      </c>
    </row>
    <row r="396" spans="1:2" x14ac:dyDescent="0.2">
      <c r="A396" s="16" t="str">
        <v>successful</v>
      </c>
      <c r="B396" s="5">
        <v>12</v>
      </c>
    </row>
    <row r="397" spans="1:2" x14ac:dyDescent="0.2">
      <c r="A397" s="16" t="str">
        <v>successful</v>
      </c>
      <c r="B397" s="5">
        <v>1</v>
      </c>
    </row>
    <row r="398" spans="1:2" x14ac:dyDescent="0.2">
      <c r="A398" s="16" t="str">
        <v>successful</v>
      </c>
      <c r="B398" s="5">
        <v>28</v>
      </c>
    </row>
    <row r="399" spans="1:2" x14ac:dyDescent="0.2">
      <c r="A399" s="16" t="str">
        <v>successful</v>
      </c>
      <c r="B399" s="5">
        <v>21</v>
      </c>
    </row>
    <row r="400" spans="1:2" x14ac:dyDescent="0.2">
      <c r="A400" s="16" t="str">
        <v>successful</v>
      </c>
      <c r="B400" s="5">
        <v>26</v>
      </c>
    </row>
    <row r="401" spans="1:2" x14ac:dyDescent="0.2">
      <c r="A401" s="16" t="str">
        <v>successful</v>
      </c>
      <c r="B401" s="5">
        <v>11</v>
      </c>
    </row>
    <row r="402" spans="1:2" x14ac:dyDescent="0.2">
      <c r="A402" s="16" t="str">
        <v>successful</v>
      </c>
      <c r="B402" s="5">
        <v>27</v>
      </c>
    </row>
    <row r="403" spans="1:2" x14ac:dyDescent="0.2">
      <c r="A403" s="16" t="str">
        <v>successful</v>
      </c>
      <c r="B403" s="5">
        <v>21</v>
      </c>
    </row>
    <row r="404" spans="1:2" x14ac:dyDescent="0.2">
      <c r="A404" s="16" t="str">
        <v>successful</v>
      </c>
      <c r="B404" s="5">
        <v>2</v>
      </c>
    </row>
    <row r="405" spans="1:2" x14ac:dyDescent="0.2">
      <c r="A405" s="16" t="str">
        <v>successful</v>
      </c>
      <c r="B405" s="5">
        <v>58</v>
      </c>
    </row>
    <row r="406" spans="1:2" x14ac:dyDescent="0.2">
      <c r="A406" s="16" t="str">
        <v>successful</v>
      </c>
      <c r="B406" s="5">
        <v>2</v>
      </c>
    </row>
    <row r="407" spans="1:2" x14ac:dyDescent="0.2">
      <c r="A407" s="16" t="str">
        <v>successful</v>
      </c>
      <c r="B407" s="5">
        <v>6</v>
      </c>
    </row>
    <row r="408" spans="1:2" x14ac:dyDescent="0.2">
      <c r="A408" s="16" t="str">
        <v>successful</v>
      </c>
      <c r="B408" s="5">
        <v>13</v>
      </c>
    </row>
    <row r="409" spans="1:2" x14ac:dyDescent="0.2">
      <c r="A409" s="16" t="str">
        <v>successful</v>
      </c>
      <c r="B409" s="5">
        <v>12</v>
      </c>
    </row>
    <row r="410" spans="1:2" x14ac:dyDescent="0.2">
      <c r="A410" s="16" t="str">
        <v>successful</v>
      </c>
      <c r="B410" s="5">
        <v>7</v>
      </c>
    </row>
    <row r="411" spans="1:2" x14ac:dyDescent="0.2">
      <c r="A411" s="16" t="str">
        <v>successful</v>
      </c>
      <c r="B411" s="5">
        <v>12</v>
      </c>
    </row>
    <row r="412" spans="1:2" x14ac:dyDescent="0.2">
      <c r="A412" s="16" t="str">
        <v>successful</v>
      </c>
      <c r="B412" s="5">
        <v>1</v>
      </c>
    </row>
    <row r="413" spans="1:2" x14ac:dyDescent="0.2">
      <c r="A413" s="16" t="str">
        <v>successful</v>
      </c>
      <c r="B413" s="5">
        <v>42</v>
      </c>
    </row>
    <row r="414" spans="1:2" x14ac:dyDescent="0.2">
      <c r="A414" s="16" t="str">
        <v>successful</v>
      </c>
      <c r="B414" s="5">
        <v>2</v>
      </c>
    </row>
    <row r="415" spans="1:2" x14ac:dyDescent="0.2">
      <c r="A415" s="16" t="str">
        <v>successful</v>
      </c>
      <c r="B415" s="5">
        <v>5</v>
      </c>
    </row>
    <row r="416" spans="1:2" x14ac:dyDescent="0.2">
      <c r="A416" s="16" t="str">
        <v>successful</v>
      </c>
      <c r="B416" s="5">
        <v>11</v>
      </c>
    </row>
    <row r="417" spans="1:2" x14ac:dyDescent="0.2">
      <c r="A417" s="16" t="str">
        <v>successful</v>
      </c>
      <c r="B417" s="5">
        <v>12</v>
      </c>
    </row>
    <row r="418" spans="1:2" x14ac:dyDescent="0.2">
      <c r="A418" s="16" t="str">
        <v>successful</v>
      </c>
      <c r="B418" s="5">
        <v>15</v>
      </c>
    </row>
    <row r="419" spans="1:2" x14ac:dyDescent="0.2">
      <c r="A419" s="16" t="str">
        <v>successful</v>
      </c>
      <c r="B419" s="5">
        <v>15</v>
      </c>
    </row>
    <row r="420" spans="1:2" x14ac:dyDescent="0.2">
      <c r="A420" s="16" t="str">
        <v>successful</v>
      </c>
      <c r="B420" s="5">
        <v>53</v>
      </c>
    </row>
    <row r="421" spans="1:2" x14ac:dyDescent="0.2">
      <c r="A421" s="16" t="str">
        <v>successful</v>
      </c>
      <c r="B421" s="5">
        <v>12</v>
      </c>
    </row>
    <row r="422" spans="1:2" x14ac:dyDescent="0.2">
      <c r="A422" s="16" t="str">
        <v>successful</v>
      </c>
      <c r="B422" s="5">
        <v>6</v>
      </c>
    </row>
    <row r="423" spans="1:2" x14ac:dyDescent="0.2">
      <c r="A423" s="16" t="str">
        <v>successful</v>
      </c>
      <c r="B423" s="5">
        <v>4</v>
      </c>
    </row>
    <row r="424" spans="1:2" x14ac:dyDescent="0.2">
      <c r="A424" s="16" t="str">
        <v>successful</v>
      </c>
      <c r="B424" s="5">
        <v>9</v>
      </c>
    </row>
    <row r="425" spans="1:2" x14ac:dyDescent="0.2">
      <c r="A425" s="16" t="str">
        <v>successful</v>
      </c>
      <c r="B425" s="5">
        <v>5</v>
      </c>
    </row>
    <row r="426" spans="1:2" x14ac:dyDescent="0.2">
      <c r="A426" s="16" t="str">
        <v>successful</v>
      </c>
      <c r="B426" s="5">
        <v>11</v>
      </c>
    </row>
    <row r="427" spans="1:2" x14ac:dyDescent="0.2">
      <c r="A427" s="16" t="str">
        <v>successful</v>
      </c>
      <c r="B427" s="5">
        <v>35</v>
      </c>
    </row>
    <row r="428" spans="1:2" x14ac:dyDescent="0.2">
      <c r="A428" s="16" t="str">
        <v>successful</v>
      </c>
      <c r="B428" s="5">
        <v>8</v>
      </c>
    </row>
    <row r="429" spans="1:2" x14ac:dyDescent="0.2">
      <c r="A429" s="16" t="str">
        <v>successful</v>
      </c>
      <c r="B429" s="5">
        <v>25</v>
      </c>
    </row>
    <row r="430" spans="1:2" x14ac:dyDescent="0.2">
      <c r="A430" s="16" t="str">
        <v>successful</v>
      </c>
      <c r="B430" s="5">
        <v>15</v>
      </c>
    </row>
    <row r="431" spans="1:2" x14ac:dyDescent="0.2">
      <c r="A431" s="16" t="str">
        <v>successful</v>
      </c>
      <c r="B431" s="5">
        <v>7</v>
      </c>
    </row>
    <row r="432" spans="1:2" x14ac:dyDescent="0.2">
      <c r="A432" s="16" t="str">
        <v>successful</v>
      </c>
      <c r="B432" s="5">
        <v>4</v>
      </c>
    </row>
    <row r="433" spans="1:2" x14ac:dyDescent="0.2">
      <c r="A433" s="16" t="str">
        <v>successful</v>
      </c>
      <c r="B433" s="5">
        <v>10</v>
      </c>
    </row>
    <row r="434" spans="1:2" x14ac:dyDescent="0.2">
      <c r="A434" s="16" t="str">
        <v>successful</v>
      </c>
      <c r="B434" s="5">
        <v>41</v>
      </c>
    </row>
    <row r="435" spans="1:2" x14ac:dyDescent="0.2">
      <c r="A435" s="16" t="str">
        <v>successful</v>
      </c>
      <c r="B435" s="5">
        <v>5</v>
      </c>
    </row>
    <row r="436" spans="1:2" x14ac:dyDescent="0.2">
      <c r="A436" s="16" t="str">
        <v>successful</v>
      </c>
      <c r="B436" s="5">
        <v>19</v>
      </c>
    </row>
    <row r="437" spans="1:2" x14ac:dyDescent="0.2">
      <c r="A437" s="16" t="str">
        <v>successful</v>
      </c>
      <c r="B437" s="5">
        <v>28</v>
      </c>
    </row>
    <row r="438" spans="1:2" x14ac:dyDescent="0.2">
      <c r="A438" s="16" t="str">
        <v>successful</v>
      </c>
      <c r="B438" s="5">
        <v>7</v>
      </c>
    </row>
    <row r="439" spans="1:2" x14ac:dyDescent="0.2">
      <c r="A439" s="16" t="str">
        <v>successful</v>
      </c>
      <c r="B439" s="5">
        <v>11</v>
      </c>
    </row>
    <row r="440" spans="1:2" x14ac:dyDescent="0.2">
      <c r="A440" s="16" t="str">
        <v>successful</v>
      </c>
      <c r="B440" s="5">
        <v>34</v>
      </c>
    </row>
    <row r="441" spans="1:2" x14ac:dyDescent="0.2">
      <c r="A441" s="16" t="str">
        <v>successful</v>
      </c>
      <c r="B441" s="5">
        <v>7</v>
      </c>
    </row>
    <row r="442" spans="1:2" x14ac:dyDescent="0.2">
      <c r="A442" s="16" t="str">
        <v>successful</v>
      </c>
      <c r="B442" s="5">
        <v>4</v>
      </c>
    </row>
    <row r="443" spans="1:2" x14ac:dyDescent="0.2">
      <c r="A443" s="16" t="str">
        <v>successful</v>
      </c>
      <c r="B443" s="5">
        <v>12</v>
      </c>
    </row>
    <row r="444" spans="1:2" x14ac:dyDescent="0.2">
      <c r="A444" s="16" t="str">
        <v>successful</v>
      </c>
      <c r="B444" s="5">
        <v>23</v>
      </c>
    </row>
    <row r="445" spans="1:2" x14ac:dyDescent="0.2">
      <c r="A445" s="16" t="str">
        <v>successful</v>
      </c>
      <c r="B445" s="5">
        <v>28</v>
      </c>
    </row>
    <row r="446" spans="1:2" x14ac:dyDescent="0.2">
      <c r="A446" s="16" t="str">
        <v>successful</v>
      </c>
      <c r="B446" s="5">
        <v>22</v>
      </c>
    </row>
    <row r="447" spans="1:2" x14ac:dyDescent="0.2">
      <c r="A447" s="16" t="str">
        <v>successful</v>
      </c>
      <c r="B447" s="5">
        <v>2</v>
      </c>
    </row>
    <row r="448" spans="1:2" x14ac:dyDescent="0.2">
      <c r="A448" s="16" t="str">
        <v>successful</v>
      </c>
      <c r="B448" s="5">
        <v>34</v>
      </c>
    </row>
    <row r="449" spans="1:2" x14ac:dyDescent="0.2">
      <c r="A449" s="16" t="str">
        <v>successful</v>
      </c>
      <c r="B449" s="5">
        <v>20</v>
      </c>
    </row>
    <row r="450" spans="1:2" x14ac:dyDescent="0.2">
      <c r="A450" s="16" t="str">
        <v>successful</v>
      </c>
      <c r="B450" s="5">
        <v>24</v>
      </c>
    </row>
    <row r="451" spans="1:2" x14ac:dyDescent="0.2">
      <c r="A451" s="16" t="str">
        <v>successful</v>
      </c>
      <c r="B451" s="5">
        <v>44</v>
      </c>
    </row>
    <row r="452" spans="1:2" x14ac:dyDescent="0.2">
      <c r="A452" s="16" t="str">
        <v>successful</v>
      </c>
      <c r="B452" s="5">
        <v>10</v>
      </c>
    </row>
    <row r="453" spans="1:2" x14ac:dyDescent="0.2">
      <c r="A453" s="16" t="str">
        <v>successful</v>
      </c>
      <c r="B453" s="5">
        <v>5</v>
      </c>
    </row>
    <row r="454" spans="1:2" x14ac:dyDescent="0.2">
      <c r="A454" s="16" t="str">
        <v>successful</v>
      </c>
      <c r="B454" s="5">
        <v>10</v>
      </c>
    </row>
    <row r="455" spans="1:2" x14ac:dyDescent="0.2">
      <c r="A455" s="16" t="str">
        <v>successful</v>
      </c>
      <c r="B455" s="5">
        <v>26</v>
      </c>
    </row>
    <row r="456" spans="1:2" x14ac:dyDescent="0.2">
      <c r="A456" s="16" t="str">
        <v>successful</v>
      </c>
      <c r="B456" s="5">
        <v>2</v>
      </c>
    </row>
    <row r="457" spans="1:2" x14ac:dyDescent="0.2">
      <c r="A457" s="16" t="str">
        <v>successful</v>
      </c>
      <c r="B457" s="5">
        <v>28</v>
      </c>
    </row>
    <row r="458" spans="1:2" x14ac:dyDescent="0.2">
      <c r="A458" s="16" t="str">
        <v>successful</v>
      </c>
      <c r="B458" s="5">
        <v>13</v>
      </c>
    </row>
    <row r="459" spans="1:2" x14ac:dyDescent="0.2">
      <c r="A459" s="16" t="str">
        <v>successful</v>
      </c>
      <c r="B459" s="5">
        <v>13</v>
      </c>
    </row>
    <row r="460" spans="1:2" x14ac:dyDescent="0.2">
      <c r="A460" s="16" t="str">
        <v>successful</v>
      </c>
      <c r="B460" s="5">
        <v>13</v>
      </c>
    </row>
    <row r="461" spans="1:2" x14ac:dyDescent="0.2">
      <c r="A461" s="16" t="str">
        <v>successful</v>
      </c>
      <c r="B461" s="5">
        <v>17</v>
      </c>
    </row>
    <row r="462" spans="1:2" x14ac:dyDescent="0.2">
      <c r="A462" s="16" t="str">
        <v>successful</v>
      </c>
      <c r="B462" s="5">
        <v>25</v>
      </c>
    </row>
    <row r="463" spans="1:2" x14ac:dyDescent="0.2">
      <c r="A463" s="16" t="str">
        <v>successful</v>
      </c>
      <c r="B463" s="5">
        <v>32</v>
      </c>
    </row>
    <row r="464" spans="1:2" x14ac:dyDescent="0.2">
      <c r="A464" s="16" t="str">
        <v>successful</v>
      </c>
      <c r="B464" s="5">
        <v>12</v>
      </c>
    </row>
    <row r="465" spans="1:2" x14ac:dyDescent="0.2">
      <c r="A465" s="16" t="str">
        <v>successful</v>
      </c>
      <c r="B465" s="5">
        <v>28</v>
      </c>
    </row>
    <row r="466" spans="1:2" x14ac:dyDescent="0.2">
      <c r="A466" s="16" t="str">
        <v>successful</v>
      </c>
      <c r="B466" s="5">
        <v>12</v>
      </c>
    </row>
    <row r="467" spans="1:2" x14ac:dyDescent="0.2">
      <c r="A467" s="16" t="str">
        <v>successful</v>
      </c>
      <c r="B467" s="5">
        <v>34</v>
      </c>
    </row>
    <row r="468" spans="1:2" x14ac:dyDescent="0.2">
      <c r="A468" s="16" t="str">
        <v>successful</v>
      </c>
      <c r="B468" s="5">
        <v>34</v>
      </c>
    </row>
    <row r="469" spans="1:2" x14ac:dyDescent="0.2">
      <c r="A469" s="16" t="str">
        <v>successful</v>
      </c>
      <c r="B469" s="5">
        <v>11</v>
      </c>
    </row>
    <row r="470" spans="1:2" x14ac:dyDescent="0.2">
      <c r="A470" s="16" t="str">
        <v>successful</v>
      </c>
      <c r="B470" s="5">
        <v>6</v>
      </c>
    </row>
    <row r="471" spans="1:2" x14ac:dyDescent="0.2">
      <c r="A471" s="16" t="str">
        <v>successful</v>
      </c>
      <c r="B471" s="5">
        <v>54</v>
      </c>
    </row>
    <row r="472" spans="1:2" x14ac:dyDescent="0.2">
      <c r="A472" s="16" t="str">
        <v>successful</v>
      </c>
      <c r="B472" s="5">
        <v>9</v>
      </c>
    </row>
    <row r="473" spans="1:2" x14ac:dyDescent="0.2">
      <c r="A473" s="16" t="str">
        <v>successful</v>
      </c>
      <c r="B473" s="5">
        <v>45</v>
      </c>
    </row>
    <row r="474" spans="1:2" x14ac:dyDescent="0.2">
      <c r="A474" s="16" t="str">
        <v>successful</v>
      </c>
      <c r="B474" s="5">
        <v>2</v>
      </c>
    </row>
    <row r="475" spans="1:2" x14ac:dyDescent="0.2">
      <c r="A475" s="16" t="str">
        <v>successful</v>
      </c>
      <c r="B475" s="5">
        <v>16</v>
      </c>
    </row>
    <row r="476" spans="1:2" x14ac:dyDescent="0.2">
      <c r="A476" s="16" t="str">
        <v>successful</v>
      </c>
      <c r="B476" s="5">
        <v>3</v>
      </c>
    </row>
    <row r="477" spans="1:2" x14ac:dyDescent="0.2">
      <c r="A477" s="16" t="str">
        <v>successful</v>
      </c>
      <c r="B477" s="5">
        <v>37</v>
      </c>
    </row>
    <row r="478" spans="1:2" x14ac:dyDescent="0.2">
      <c r="A478" s="16" t="str">
        <v>successful</v>
      </c>
      <c r="B478" s="5">
        <v>36</v>
      </c>
    </row>
    <row r="479" spans="1:2" x14ac:dyDescent="0.2">
      <c r="A479" s="16" t="str">
        <v>successful</v>
      </c>
      <c r="B479" s="5">
        <v>3</v>
      </c>
    </row>
    <row r="480" spans="1:2" x14ac:dyDescent="0.2">
      <c r="A480" s="16" t="str">
        <v>successful</v>
      </c>
      <c r="B480" s="5">
        <v>9</v>
      </c>
    </row>
    <row r="481" spans="1:2" x14ac:dyDescent="0.2">
      <c r="A481" s="16" t="str">
        <v>successful</v>
      </c>
      <c r="B481" s="5">
        <v>3</v>
      </c>
    </row>
    <row r="482" spans="1:2" x14ac:dyDescent="0.2">
      <c r="A482" s="16" t="str">
        <v>successful</v>
      </c>
      <c r="B482" s="5">
        <v>33</v>
      </c>
    </row>
    <row r="483" spans="1:2" x14ac:dyDescent="0.2">
      <c r="A483" s="16" t="str">
        <v>successful</v>
      </c>
      <c r="B483" s="5">
        <v>5</v>
      </c>
    </row>
    <row r="484" spans="1:2" x14ac:dyDescent="0.2">
      <c r="A484" s="16" t="str">
        <v>successful</v>
      </c>
      <c r="B484" s="5">
        <v>27</v>
      </c>
    </row>
    <row r="485" spans="1:2" x14ac:dyDescent="0.2">
      <c r="A485" s="16" t="str">
        <v>successful</v>
      </c>
      <c r="B485" s="5">
        <v>31</v>
      </c>
    </row>
    <row r="486" spans="1:2" x14ac:dyDescent="0.2">
      <c r="A486" s="16" t="str">
        <v>successful</v>
      </c>
      <c r="B486" s="5">
        <v>17</v>
      </c>
    </row>
    <row r="487" spans="1:2" x14ac:dyDescent="0.2">
      <c r="A487" s="16" t="str">
        <v>successful</v>
      </c>
      <c r="B487" s="5">
        <v>23</v>
      </c>
    </row>
    <row r="488" spans="1:2" x14ac:dyDescent="0.2">
      <c r="A488" s="16" t="str">
        <v>successful</v>
      </c>
      <c r="B488" s="5">
        <v>10</v>
      </c>
    </row>
    <row r="489" spans="1:2" x14ac:dyDescent="0.2">
      <c r="A489" s="16" t="str">
        <v>successful</v>
      </c>
      <c r="B489" s="5">
        <v>8</v>
      </c>
    </row>
    <row r="490" spans="1:2" x14ac:dyDescent="0.2">
      <c r="A490" s="16" t="str">
        <v>successful</v>
      </c>
      <c r="B490" s="5">
        <v>4</v>
      </c>
    </row>
    <row r="491" spans="1:2" x14ac:dyDescent="0.2">
      <c r="A491" s="16" t="str">
        <v>successful</v>
      </c>
      <c r="B491" s="5">
        <v>23</v>
      </c>
    </row>
    <row r="492" spans="1:2" x14ac:dyDescent="0.2">
      <c r="A492" s="16" t="str">
        <v>successful</v>
      </c>
      <c r="B492" s="5">
        <v>5</v>
      </c>
    </row>
    <row r="493" spans="1:2" x14ac:dyDescent="0.2">
      <c r="A493" s="16" t="str">
        <v>successful</v>
      </c>
      <c r="B493" s="5">
        <v>9</v>
      </c>
    </row>
    <row r="494" spans="1:2" x14ac:dyDescent="0.2">
      <c r="A494" s="16" t="str">
        <v>successful</v>
      </c>
      <c r="B494" s="5">
        <v>6</v>
      </c>
    </row>
    <row r="495" spans="1:2" x14ac:dyDescent="0.2">
      <c r="A495" s="16" t="str">
        <v>successful</v>
      </c>
      <c r="B495" s="5">
        <v>11</v>
      </c>
    </row>
    <row r="496" spans="1:2" x14ac:dyDescent="0.2">
      <c r="A496" s="16" t="str">
        <v>successful</v>
      </c>
      <c r="B496" s="5">
        <v>18</v>
      </c>
    </row>
    <row r="497" spans="1:2" x14ac:dyDescent="0.2">
      <c r="A497" s="16" t="str">
        <v>successful</v>
      </c>
      <c r="B497" s="5">
        <v>5</v>
      </c>
    </row>
    <row r="498" spans="1:2" x14ac:dyDescent="0.2">
      <c r="A498" s="16" t="str">
        <v>successful</v>
      </c>
      <c r="B498" s="5">
        <v>5</v>
      </c>
    </row>
    <row r="499" spans="1:2" x14ac:dyDescent="0.2">
      <c r="A499" s="16" t="str">
        <v>successful</v>
      </c>
      <c r="B499" s="5">
        <v>38</v>
      </c>
    </row>
    <row r="500" spans="1:2" x14ac:dyDescent="0.2">
      <c r="A500" s="16" t="str">
        <v>successful</v>
      </c>
      <c r="B500" s="5">
        <v>9</v>
      </c>
    </row>
    <row r="501" spans="1:2" x14ac:dyDescent="0.2">
      <c r="A501" s="16" t="str">
        <v>successful</v>
      </c>
      <c r="B501" s="5">
        <v>2</v>
      </c>
    </row>
    <row r="502" spans="1:2" x14ac:dyDescent="0.2">
      <c r="A502" s="16" t="str">
        <v>successful</v>
      </c>
      <c r="B502" s="5">
        <v>4</v>
      </c>
    </row>
    <row r="503" spans="1:2" x14ac:dyDescent="0.2">
      <c r="A503" s="16" t="str">
        <v>successful</v>
      </c>
      <c r="B503" s="5">
        <v>36</v>
      </c>
    </row>
    <row r="504" spans="1:2" x14ac:dyDescent="0.2">
      <c r="A504" s="16" t="str">
        <v>successful</v>
      </c>
      <c r="B504" s="5">
        <v>38</v>
      </c>
    </row>
    <row r="505" spans="1:2" x14ac:dyDescent="0.2">
      <c r="A505" s="16" t="str">
        <v>successful</v>
      </c>
      <c r="B505" s="5">
        <v>19</v>
      </c>
    </row>
    <row r="506" spans="1:2" x14ac:dyDescent="0.2">
      <c r="A506" s="16" t="str">
        <v>successful</v>
      </c>
      <c r="B506" s="5">
        <v>7</v>
      </c>
    </row>
    <row r="507" spans="1:2" x14ac:dyDescent="0.2">
      <c r="A507" s="16" t="str">
        <v>successful</v>
      </c>
      <c r="B507" s="5">
        <v>1</v>
      </c>
    </row>
    <row r="508" spans="1:2" x14ac:dyDescent="0.2">
      <c r="A508" s="16" t="str">
        <v>successful</v>
      </c>
      <c r="B508" s="5">
        <v>44</v>
      </c>
    </row>
    <row r="509" spans="1:2" x14ac:dyDescent="0.2">
      <c r="A509" s="16" t="str">
        <v>successful</v>
      </c>
      <c r="B509" s="5">
        <v>41</v>
      </c>
    </row>
    <row r="510" spans="1:2" x14ac:dyDescent="0.2">
      <c r="A510" s="16" t="str">
        <v>successful</v>
      </c>
      <c r="B510" s="5">
        <v>4</v>
      </c>
    </row>
    <row r="511" spans="1:2" x14ac:dyDescent="0.2">
      <c r="A511" s="16" t="str">
        <v>successful</v>
      </c>
      <c r="B511" s="5">
        <v>30</v>
      </c>
    </row>
    <row r="512" spans="1:2" x14ac:dyDescent="0.2">
      <c r="A512" s="16" t="str">
        <v>successful</v>
      </c>
      <c r="B512" s="5">
        <v>3</v>
      </c>
    </row>
    <row r="513" spans="1:2" x14ac:dyDescent="0.2">
      <c r="A513" s="16" t="str">
        <v>successful</v>
      </c>
      <c r="B513" s="5">
        <v>18</v>
      </c>
    </row>
    <row r="514" spans="1:2" x14ac:dyDescent="0.2">
      <c r="A514" s="16" t="str">
        <v>successful</v>
      </c>
      <c r="B514" s="5">
        <v>33</v>
      </c>
    </row>
    <row r="515" spans="1:2" x14ac:dyDescent="0.2">
      <c r="A515" s="16" t="str">
        <v>successful</v>
      </c>
      <c r="B515" s="5">
        <v>42</v>
      </c>
    </row>
    <row r="516" spans="1:2" x14ac:dyDescent="0.2">
      <c r="A516" s="16" t="str">
        <v>successful</v>
      </c>
      <c r="B516" s="5">
        <v>3</v>
      </c>
    </row>
    <row r="517" spans="1:2" x14ac:dyDescent="0.2">
      <c r="A517" s="16" t="str">
        <v>successful</v>
      </c>
      <c r="B517" s="5">
        <v>36</v>
      </c>
    </row>
    <row r="518" spans="1:2" x14ac:dyDescent="0.2">
      <c r="A518" s="16" t="str">
        <v>successful</v>
      </c>
      <c r="B518" s="5">
        <v>11</v>
      </c>
    </row>
    <row r="519" spans="1:2" x14ac:dyDescent="0.2">
      <c r="A519" s="16" t="str">
        <v>successful</v>
      </c>
      <c r="B519" s="5">
        <v>27</v>
      </c>
    </row>
    <row r="520" spans="1:2" x14ac:dyDescent="0.2">
      <c r="A520" s="16" t="str">
        <v>successful</v>
      </c>
      <c r="B520" s="5">
        <v>2</v>
      </c>
    </row>
    <row r="521" spans="1:2" x14ac:dyDescent="0.2">
      <c r="A521" s="16" t="str">
        <v>successful</v>
      </c>
      <c r="B521" s="5">
        <v>13</v>
      </c>
    </row>
    <row r="522" spans="1:2" x14ac:dyDescent="0.2">
      <c r="A522" s="16" t="str">
        <v>successful</v>
      </c>
      <c r="B522" s="5">
        <v>9</v>
      </c>
    </row>
    <row r="523" spans="1:2" x14ac:dyDescent="0.2">
      <c r="A523" s="16" t="str">
        <v>successful</v>
      </c>
      <c r="B523" s="5">
        <v>11</v>
      </c>
    </row>
    <row r="524" spans="1:2" x14ac:dyDescent="0.2">
      <c r="A524" s="16" t="str">
        <v>successful</v>
      </c>
      <c r="B524" s="5">
        <v>20</v>
      </c>
    </row>
    <row r="525" spans="1:2" x14ac:dyDescent="0.2">
      <c r="A525" s="16" t="str">
        <v>successful</v>
      </c>
      <c r="B525" s="5">
        <v>9</v>
      </c>
    </row>
    <row r="526" spans="1:2" x14ac:dyDescent="0.2">
      <c r="A526" s="16" t="str">
        <v>successful</v>
      </c>
      <c r="B526" s="5">
        <v>1</v>
      </c>
    </row>
    <row r="527" spans="1:2" x14ac:dyDescent="0.2">
      <c r="A527" s="16" t="str">
        <v>successful</v>
      </c>
      <c r="B527" s="5">
        <v>11</v>
      </c>
    </row>
    <row r="528" spans="1:2" x14ac:dyDescent="0.2">
      <c r="A528" s="16" t="str">
        <v>successful</v>
      </c>
      <c r="B528" s="5">
        <v>12</v>
      </c>
    </row>
    <row r="529" spans="1:2" x14ac:dyDescent="0.2">
      <c r="A529" s="16" t="str">
        <v>successful</v>
      </c>
      <c r="B529" s="5">
        <v>9</v>
      </c>
    </row>
    <row r="530" spans="1:2" x14ac:dyDescent="0.2">
      <c r="A530" s="16" t="str">
        <v>successful</v>
      </c>
      <c r="B530" s="5">
        <v>14</v>
      </c>
    </row>
    <row r="531" spans="1:2" x14ac:dyDescent="0.2">
      <c r="A531" s="16" t="str">
        <v>successful</v>
      </c>
      <c r="B531" s="5">
        <v>7</v>
      </c>
    </row>
    <row r="532" spans="1:2" x14ac:dyDescent="0.2">
      <c r="A532" s="16" t="str">
        <v>successful</v>
      </c>
      <c r="B532" s="5">
        <v>3</v>
      </c>
    </row>
    <row r="533" spans="1:2" x14ac:dyDescent="0.2">
      <c r="A533" s="16" t="str">
        <v>successful</v>
      </c>
      <c r="B533" s="5">
        <v>13</v>
      </c>
    </row>
    <row r="534" spans="1:2" x14ac:dyDescent="0.2">
      <c r="A534" s="16" t="str">
        <v>successful</v>
      </c>
      <c r="B534" s="5">
        <v>6</v>
      </c>
    </row>
    <row r="535" spans="1:2" x14ac:dyDescent="0.2">
      <c r="A535" s="16" t="str">
        <v>successful</v>
      </c>
      <c r="B535" s="5">
        <v>7</v>
      </c>
    </row>
    <row r="536" spans="1:2" x14ac:dyDescent="0.2">
      <c r="A536" s="16" t="str">
        <v>successful</v>
      </c>
      <c r="B536" s="5">
        <v>36</v>
      </c>
    </row>
    <row r="537" spans="1:2" x14ac:dyDescent="0.2">
      <c r="A537" s="16" t="str">
        <v>successful</v>
      </c>
      <c r="B537" s="5">
        <v>35</v>
      </c>
    </row>
    <row r="538" spans="1:2" x14ac:dyDescent="0.2">
      <c r="A538" s="16" t="str">
        <v>successful</v>
      </c>
      <c r="B538" s="5">
        <v>19</v>
      </c>
    </row>
    <row r="539" spans="1:2" x14ac:dyDescent="0.2">
      <c r="A539" s="16" t="str">
        <v>successful</v>
      </c>
      <c r="B539" s="5">
        <v>1</v>
      </c>
    </row>
    <row r="540" spans="1:2" x14ac:dyDescent="0.2">
      <c r="A540" s="16" t="str">
        <v>successful</v>
      </c>
      <c r="B540" s="5">
        <v>24</v>
      </c>
    </row>
    <row r="541" spans="1:2" x14ac:dyDescent="0.2">
      <c r="A541" s="16" t="str">
        <v>successful</v>
      </c>
      <c r="B541" s="5">
        <v>2</v>
      </c>
    </row>
    <row r="542" spans="1:2" x14ac:dyDescent="0.2">
      <c r="A542" s="16" t="str">
        <v>successful</v>
      </c>
      <c r="B542" s="5">
        <v>3</v>
      </c>
    </row>
    <row r="543" spans="1:2" x14ac:dyDescent="0.2">
      <c r="A543" s="16" t="str">
        <v>successful</v>
      </c>
      <c r="B543" s="5">
        <v>22</v>
      </c>
    </row>
    <row r="544" spans="1:2" x14ac:dyDescent="0.2">
      <c r="A544" s="16" t="str">
        <v>successful</v>
      </c>
      <c r="B544" s="5">
        <v>4</v>
      </c>
    </row>
    <row r="545" spans="1:2" x14ac:dyDescent="0.2">
      <c r="A545" s="16" t="str">
        <v>successful</v>
      </c>
      <c r="B545" s="5">
        <v>21</v>
      </c>
    </row>
    <row r="546" spans="1:2" x14ac:dyDescent="0.2">
      <c r="A546" s="16" t="str">
        <v>successful</v>
      </c>
      <c r="B546" s="5">
        <v>5</v>
      </c>
    </row>
    <row r="547" spans="1:2" x14ac:dyDescent="0.2">
      <c r="A547" s="16" t="str">
        <v>successful</v>
      </c>
      <c r="B547" s="5">
        <v>40</v>
      </c>
    </row>
    <row r="548" spans="1:2" x14ac:dyDescent="0.2">
      <c r="A548" s="16" t="str">
        <v>successful</v>
      </c>
      <c r="B548" s="5">
        <v>2</v>
      </c>
    </row>
    <row r="549" spans="1:2" x14ac:dyDescent="0.2">
      <c r="A549" s="16" t="str">
        <v>successful</v>
      </c>
      <c r="B549" s="5">
        <v>37</v>
      </c>
    </row>
    <row r="550" spans="1:2" x14ac:dyDescent="0.2">
      <c r="A550" s="16" t="str">
        <v>successful</v>
      </c>
      <c r="B550" s="5">
        <v>15</v>
      </c>
    </row>
    <row r="551" spans="1:2" x14ac:dyDescent="0.2">
      <c r="A551" s="16" t="str">
        <v>successful</v>
      </c>
      <c r="B551" s="5">
        <v>7</v>
      </c>
    </row>
    <row r="552" spans="1:2" x14ac:dyDescent="0.2">
      <c r="A552" s="16" t="str">
        <v>successful</v>
      </c>
      <c r="B552" s="5">
        <v>9</v>
      </c>
    </row>
    <row r="553" spans="1:2" x14ac:dyDescent="0.2">
      <c r="A553" s="16" t="str">
        <v>successful</v>
      </c>
      <c r="B553" s="5">
        <v>1</v>
      </c>
    </row>
    <row r="554" spans="1:2" x14ac:dyDescent="0.2">
      <c r="A554" s="16" t="str">
        <v>successful</v>
      </c>
      <c r="B554" s="5">
        <v>39</v>
      </c>
    </row>
    <row r="555" spans="1:2" x14ac:dyDescent="0.2">
      <c r="A555" s="16" t="str">
        <v>successful</v>
      </c>
      <c r="B555" s="5">
        <v>6</v>
      </c>
    </row>
    <row r="556" spans="1:2" x14ac:dyDescent="0.2">
      <c r="A556" s="16" t="str">
        <v>successful</v>
      </c>
      <c r="B556" s="5">
        <v>22</v>
      </c>
    </row>
    <row r="557" spans="1:2" x14ac:dyDescent="0.2">
      <c r="A557" s="16" t="str">
        <v>successful</v>
      </c>
      <c r="B557" s="5">
        <v>6</v>
      </c>
    </row>
    <row r="558" spans="1:2" x14ac:dyDescent="0.2">
      <c r="A558" s="16" t="str">
        <v>successful</v>
      </c>
      <c r="B558" s="5">
        <v>33</v>
      </c>
    </row>
    <row r="559" spans="1:2" x14ac:dyDescent="0.2">
      <c r="A559" s="16" t="str">
        <v>successful</v>
      </c>
      <c r="B559" s="5">
        <v>15</v>
      </c>
    </row>
    <row r="560" spans="1:2" x14ac:dyDescent="0.2">
      <c r="A560" s="16" t="str">
        <v>successful</v>
      </c>
      <c r="B560" s="5">
        <v>26</v>
      </c>
    </row>
    <row r="561" spans="1:2" x14ac:dyDescent="0.2">
      <c r="A561" s="16" t="str">
        <v>successful</v>
      </c>
      <c r="B561" s="5">
        <v>14</v>
      </c>
    </row>
    <row r="562" spans="1:2" x14ac:dyDescent="0.2">
      <c r="A562" s="16" t="str">
        <v>successful</v>
      </c>
      <c r="B562" s="5">
        <v>5</v>
      </c>
    </row>
    <row r="563" spans="1:2" x14ac:dyDescent="0.2">
      <c r="A563" s="16" t="str">
        <v>successful</v>
      </c>
      <c r="B563" s="5">
        <v>4</v>
      </c>
    </row>
    <row r="564" spans="1:2" x14ac:dyDescent="0.2">
      <c r="A564" s="16" t="str">
        <v>successful</v>
      </c>
      <c r="B564" s="5">
        <v>14</v>
      </c>
    </row>
    <row r="565" spans="1:2" x14ac:dyDescent="0.2">
      <c r="A565" s="16" t="str">
        <v>successful</v>
      </c>
      <c r="B565" s="5">
        <v>29</v>
      </c>
    </row>
  </sheetData>
  <phoneticPr fontId="18" type="noConversion"/>
  <pageMargins left="0.7" right="0.7" top="0.75" bottom="0.75" header="0.3" footer="0.3"/>
  <drawing r:id="rId1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A4ECD-FC56-4940-914C-130B54A4EAA9}">
  <dimension ref="A1:N20"/>
  <sheetViews>
    <sheetView zoomScale="120" zoomScaleNormal="120" workbookViewId="0">
      <selection activeCell="A3" sqref="A3"/>
    </sheetView>
  </sheetViews>
  <sheetFormatPr baseColWidth="10" defaultRowHeight="16" x14ac:dyDescent="0.2"/>
  <cols>
    <col min="1" max="1" width="14.6640625" style="5" bestFit="1" customWidth="1"/>
    <col min="2" max="2" width="19.33203125" style="5" bestFit="1" customWidth="1"/>
    <col min="3" max="3" width="6" style="5" bestFit="1" customWidth="1"/>
    <col min="4" max="4" width="10.1640625" style="5" bestFit="1" customWidth="1"/>
    <col min="5" max="5" width="11.6640625" style="5" bestFit="1" customWidth="1"/>
    <col min="6" max="9" width="10.83203125" style="5" customWidth="1"/>
    <col min="10" max="10" width="14.6640625" style="5" bestFit="1" customWidth="1"/>
    <col min="11" max="11" width="19.33203125" style="5" bestFit="1" customWidth="1"/>
    <col min="12" max="12" width="6.33203125" style="5" bestFit="1" customWidth="1"/>
    <col min="13" max="13" width="10.1640625" style="5" bestFit="1" customWidth="1"/>
    <col min="14" max="14" width="11.6640625" style="5" bestFit="1" customWidth="1"/>
    <col min="15" max="16384" width="10.83203125" style="5"/>
  </cols>
  <sheetData>
    <row r="1" spans="1:14" x14ac:dyDescent="0.2">
      <c r="A1" s="9" t="s">
        <v>6</v>
      </c>
      <c r="B1" s="5" t="s">
        <v>2041</v>
      </c>
      <c r="J1" s="9" t="s">
        <v>6</v>
      </c>
      <c r="K1" s="5" t="s">
        <v>2041</v>
      </c>
    </row>
    <row r="2" spans="1:14" x14ac:dyDescent="0.2">
      <c r="A2" s="9" t="s">
        <v>2078</v>
      </c>
      <c r="B2" s="5" t="s">
        <v>2041</v>
      </c>
      <c r="J2" s="9" t="s">
        <v>2078</v>
      </c>
      <c r="K2" s="5" t="s">
        <v>2041</v>
      </c>
    </row>
    <row r="3" spans="1:14" x14ac:dyDescent="0.2">
      <c r="A3"/>
      <c r="B3"/>
      <c r="C3"/>
      <c r="D3"/>
      <c r="E3"/>
      <c r="J3"/>
      <c r="K3"/>
      <c r="L3"/>
      <c r="M3"/>
      <c r="N3"/>
    </row>
    <row r="4" spans="1:14" x14ac:dyDescent="0.2">
      <c r="A4" s="9" t="s">
        <v>2132</v>
      </c>
      <c r="B4" s="22" t="s">
        <v>2029</v>
      </c>
      <c r="C4" s="21"/>
      <c r="D4" s="21"/>
      <c r="E4" s="21"/>
      <c r="J4" s="9" t="s">
        <v>2132</v>
      </c>
      <c r="K4" s="22" t="s">
        <v>2029</v>
      </c>
      <c r="L4" s="21"/>
      <c r="M4" s="21"/>
      <c r="N4" s="21"/>
    </row>
    <row r="5" spans="1:14" x14ac:dyDescent="0.2">
      <c r="A5" s="9" t="s">
        <v>2031</v>
      </c>
      <c r="B5" s="21" t="s">
        <v>74</v>
      </c>
      <c r="C5" s="21" t="s">
        <v>14</v>
      </c>
      <c r="D5" s="21" t="s">
        <v>20</v>
      </c>
      <c r="E5" s="21" t="s">
        <v>2030</v>
      </c>
      <c r="J5" s="9" t="s">
        <v>2031</v>
      </c>
      <c r="K5" s="21" t="s">
        <v>74</v>
      </c>
      <c r="L5" s="21" t="s">
        <v>14</v>
      </c>
      <c r="M5" s="21" t="s">
        <v>20</v>
      </c>
      <c r="N5" s="21" t="s">
        <v>2030</v>
      </c>
    </row>
    <row r="6" spans="1:14" x14ac:dyDescent="0.2">
      <c r="A6" s="10" t="s">
        <v>2126</v>
      </c>
      <c r="B6" s="21">
        <v>24</v>
      </c>
      <c r="C6" s="21">
        <v>163</v>
      </c>
      <c r="D6" s="21">
        <v>250</v>
      </c>
      <c r="E6" s="21">
        <v>437</v>
      </c>
      <c r="J6" s="10" t="s">
        <v>2126</v>
      </c>
      <c r="K6" s="26">
        <v>5.4919908466819219E-2</v>
      </c>
      <c r="L6" s="26">
        <v>0.37299771167048057</v>
      </c>
      <c r="M6" s="26">
        <v>0.57208237986270027</v>
      </c>
      <c r="N6" s="26">
        <v>1</v>
      </c>
    </row>
    <row r="7" spans="1:14" x14ac:dyDescent="0.2">
      <c r="A7" s="10" t="s">
        <v>2127</v>
      </c>
      <c r="B7" s="21">
        <v>16</v>
      </c>
      <c r="C7" s="21">
        <v>86</v>
      </c>
      <c r="D7" s="21">
        <v>143</v>
      </c>
      <c r="E7" s="21">
        <v>245</v>
      </c>
      <c r="J7" s="10" t="s">
        <v>2127</v>
      </c>
      <c r="K7" s="26">
        <v>6.5306122448979598E-2</v>
      </c>
      <c r="L7" s="26">
        <v>0.3510204081632653</v>
      </c>
      <c r="M7" s="26">
        <v>0.58367346938775511</v>
      </c>
      <c r="N7" s="26">
        <v>1</v>
      </c>
    </row>
    <row r="8" spans="1:14" x14ac:dyDescent="0.2">
      <c r="A8" s="10" t="s">
        <v>2128</v>
      </c>
      <c r="B8" s="21">
        <v>12</v>
      </c>
      <c r="C8" s="21">
        <v>58</v>
      </c>
      <c r="D8" s="21">
        <v>85</v>
      </c>
      <c r="E8" s="21">
        <v>155</v>
      </c>
      <c r="J8" s="10" t="s">
        <v>2128</v>
      </c>
      <c r="K8" s="26">
        <v>7.7419354838709681E-2</v>
      </c>
      <c r="L8" s="26">
        <v>0.37419354838709679</v>
      </c>
      <c r="M8" s="26">
        <v>0.54838709677419351</v>
      </c>
      <c r="N8" s="26">
        <v>1</v>
      </c>
    </row>
    <row r="9" spans="1:14" x14ac:dyDescent="0.2">
      <c r="A9" s="10" t="s">
        <v>2129</v>
      </c>
      <c r="B9" s="21">
        <v>2</v>
      </c>
      <c r="C9" s="21">
        <v>27</v>
      </c>
      <c r="D9" s="21">
        <v>47</v>
      </c>
      <c r="E9" s="21">
        <v>76</v>
      </c>
      <c r="J9" s="10" t="s">
        <v>2129</v>
      </c>
      <c r="K9" s="26">
        <v>2.6315789473684209E-2</v>
      </c>
      <c r="L9" s="26">
        <v>0.35526315789473684</v>
      </c>
      <c r="M9" s="26">
        <v>0.61842105263157898</v>
      </c>
      <c r="N9" s="26">
        <v>1</v>
      </c>
    </row>
    <row r="10" spans="1:14" x14ac:dyDescent="0.2">
      <c r="A10" s="10" t="s">
        <v>2130</v>
      </c>
      <c r="B10" s="21">
        <v>1</v>
      </c>
      <c r="C10" s="21">
        <v>18</v>
      </c>
      <c r="D10" s="21">
        <v>32</v>
      </c>
      <c r="E10" s="21">
        <v>51</v>
      </c>
      <c r="J10" s="10" t="s">
        <v>2130</v>
      </c>
      <c r="K10" s="26">
        <v>1.9607843137254902E-2</v>
      </c>
      <c r="L10" s="26">
        <v>0.35294117647058826</v>
      </c>
      <c r="M10" s="26">
        <v>0.62745098039215685</v>
      </c>
      <c r="N10" s="26">
        <v>1</v>
      </c>
    </row>
    <row r="11" spans="1:14" x14ac:dyDescent="0.2">
      <c r="A11" s="10" t="s">
        <v>2131</v>
      </c>
      <c r="B11" s="21">
        <v>2</v>
      </c>
      <c r="C11" s="21">
        <v>12</v>
      </c>
      <c r="D11" s="21">
        <v>8</v>
      </c>
      <c r="E11" s="21">
        <v>22</v>
      </c>
      <c r="J11" s="10" t="s">
        <v>2131</v>
      </c>
      <c r="K11" s="26">
        <v>9.0909090909090912E-2</v>
      </c>
      <c r="L11" s="26">
        <v>0.54545454545454541</v>
      </c>
      <c r="M11" s="26">
        <v>0.36363636363636365</v>
      </c>
      <c r="N11" s="26">
        <v>1</v>
      </c>
    </row>
    <row r="12" spans="1:14" x14ac:dyDescent="0.2">
      <c r="A12" s="10" t="s">
        <v>2030</v>
      </c>
      <c r="B12" s="21">
        <v>57</v>
      </c>
      <c r="C12" s="21">
        <v>364</v>
      </c>
      <c r="D12" s="21">
        <v>565</v>
      </c>
      <c r="E12" s="21">
        <v>986</v>
      </c>
      <c r="J12" s="10" t="s">
        <v>2030</v>
      </c>
      <c r="K12" s="26">
        <v>5.7809330628803245E-2</v>
      </c>
      <c r="L12" s="26">
        <v>0.36916835699797163</v>
      </c>
      <c r="M12" s="26">
        <v>0.57302231237322521</v>
      </c>
      <c r="N12" s="26">
        <v>1</v>
      </c>
    </row>
    <row r="13" spans="1:14" x14ac:dyDescent="0.2">
      <c r="A13"/>
    </row>
    <row r="14" spans="1:14" x14ac:dyDescent="0.2">
      <c r="A14"/>
    </row>
    <row r="15" spans="1:14" x14ac:dyDescent="0.2">
      <c r="A15"/>
    </row>
    <row r="16" spans="1:14" x14ac:dyDescent="0.2">
      <c r="A16"/>
    </row>
    <row r="17" spans="1:1" x14ac:dyDescent="0.2">
      <c r="A17"/>
    </row>
    <row r="18" spans="1:1" x14ac:dyDescent="0.2">
      <c r="A18"/>
    </row>
    <row r="19" spans="1:1" x14ac:dyDescent="0.2">
      <c r="A19"/>
    </row>
    <row r="20" spans="1:1" x14ac:dyDescent="0.2">
      <c r="A20"/>
    </row>
  </sheetData>
  <pageMargins left="0.7" right="0.7" top="0.75" bottom="0.75" header="0.3" footer="0.3"/>
  <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7C998-941E-B64C-A182-51625F7B11E1}">
  <dimension ref="A1:P12"/>
  <sheetViews>
    <sheetView zoomScale="120" zoomScaleNormal="120" workbookViewId="0">
      <selection activeCell="A2" sqref="A2"/>
    </sheetView>
  </sheetViews>
  <sheetFormatPr baseColWidth="10" defaultRowHeight="16" x14ac:dyDescent="0.2"/>
  <cols>
    <col min="1" max="2" width="15.83203125" style="5" customWidth="1"/>
    <col min="3" max="6" width="10.83203125" style="5" customWidth="1"/>
    <col min="7" max="7" width="10.83203125" style="29" customWidth="1"/>
    <col min="8" max="9" width="10.83203125" style="5"/>
    <col min="10" max="11" width="15.83203125" style="5" customWidth="1"/>
    <col min="12" max="16384" width="10.83203125" style="5"/>
  </cols>
  <sheetData>
    <row r="1" spans="1:16" x14ac:dyDescent="0.2">
      <c r="A1" s="9" t="s">
        <v>2078</v>
      </c>
      <c r="B1" s="5" t="s">
        <v>2041</v>
      </c>
      <c r="G1" s="27"/>
      <c r="J1" s="9" t="s">
        <v>2078</v>
      </c>
      <c r="K1" s="5" t="s">
        <v>2041</v>
      </c>
    </row>
    <row r="2" spans="1:16" x14ac:dyDescent="0.2">
      <c r="G2" s="27" t="s">
        <v>2095</v>
      </c>
    </row>
    <row r="3" spans="1:16" x14ac:dyDescent="0.2">
      <c r="A3" s="9" t="s">
        <v>2028</v>
      </c>
      <c r="B3" s="22" t="s">
        <v>2029</v>
      </c>
      <c r="C3" s="21"/>
      <c r="D3" s="21"/>
      <c r="E3" s="21"/>
      <c r="F3"/>
      <c r="G3" s="28">
        <f>GETPIVOTDATA("outcome",$A$1,"outcome","successful","country","AU")/GETPIVOTDATA("outcome",$A$1,"country","AU")</f>
        <v>0.5714285714285714</v>
      </c>
      <c r="J3" s="9" t="s">
        <v>2028</v>
      </c>
      <c r="K3" s="22" t="s">
        <v>2029</v>
      </c>
      <c r="L3" s="21"/>
      <c r="M3" s="21"/>
      <c r="N3" s="21"/>
      <c r="O3" s="113" t="s">
        <v>2235</v>
      </c>
      <c r="P3" s="113"/>
    </row>
    <row r="4" spans="1:16" x14ac:dyDescent="0.2">
      <c r="A4" s="9" t="s">
        <v>2031</v>
      </c>
      <c r="B4" s="21" t="s">
        <v>74</v>
      </c>
      <c r="C4" s="21" t="s">
        <v>14</v>
      </c>
      <c r="D4" s="21" t="s">
        <v>20</v>
      </c>
      <c r="E4" s="21" t="s">
        <v>2030</v>
      </c>
      <c r="F4"/>
      <c r="G4" s="28">
        <f>GETPIVOTDATA("outcome",$A$1,"outcome","successful","country","CA")/GETPIVOTDATA("outcome",$A$1,"country","CA")</f>
        <v>0.51162790697674421</v>
      </c>
      <c r="J4" s="9" t="s">
        <v>2031</v>
      </c>
      <c r="K4" s="21" t="s">
        <v>74</v>
      </c>
      <c r="L4" s="21" t="s">
        <v>14</v>
      </c>
      <c r="M4" s="21" t="s">
        <v>20</v>
      </c>
      <c r="N4" s="21" t="s">
        <v>2030</v>
      </c>
      <c r="O4" s="113" t="s">
        <v>2236</v>
      </c>
      <c r="P4" s="113"/>
    </row>
    <row r="5" spans="1:16" x14ac:dyDescent="0.2">
      <c r="A5" s="10" t="s">
        <v>26</v>
      </c>
      <c r="B5" s="21">
        <v>2</v>
      </c>
      <c r="C5" s="21">
        <v>16</v>
      </c>
      <c r="D5" s="21">
        <v>24</v>
      </c>
      <c r="E5" s="21">
        <v>42</v>
      </c>
      <c r="F5"/>
      <c r="G5" s="28">
        <f>GETPIVOTDATA("outcome",$A$1,"outcome","successful","country","CH")/GETPIVOTDATA("outcome",$A$1,"country","CH")</f>
        <v>0.54545454545454541</v>
      </c>
      <c r="J5" s="10" t="s">
        <v>26</v>
      </c>
      <c r="K5" s="26">
        <v>4.7619047619047616E-2</v>
      </c>
      <c r="L5" s="26">
        <v>0.38095238095238093</v>
      </c>
      <c r="M5" s="26">
        <v>0.5714285714285714</v>
      </c>
      <c r="N5" s="26">
        <v>1</v>
      </c>
      <c r="O5" s="112">
        <f>GETPIVOTDATA("outcome",$J$3,"outcome","successful","country","AU")-1.96*GETPIVOTDATA("outcome",$J$3,"outcome","successful","country","AU")*(1-GETPIVOTDATA("outcome",$J$3,"outcome","successful","country","AU"))/GETPIVOTDATA("outcome",$A$3,"country","AU")</f>
        <v>0.55999999999999994</v>
      </c>
      <c r="P5" s="112">
        <f>GETPIVOTDATA("outcome",$J$3,"outcome","successful","country","AU")+1.96*GETPIVOTDATA("outcome",$J$3,"outcome","successful","country","AU")*(1-GETPIVOTDATA("outcome",$J$3,"outcome","successful","country","AU"))/GETPIVOTDATA("outcome",$A$3,"country","AU")</f>
        <v>0.58285714285714285</v>
      </c>
    </row>
    <row r="6" spans="1:16" x14ac:dyDescent="0.2">
      <c r="A6" s="10" t="s">
        <v>15</v>
      </c>
      <c r="B6" s="21">
        <v>2</v>
      </c>
      <c r="C6" s="21">
        <v>19</v>
      </c>
      <c r="D6" s="21">
        <v>22</v>
      </c>
      <c r="E6" s="21">
        <v>43</v>
      </c>
      <c r="F6"/>
      <c r="G6" s="28">
        <f>GETPIVOTDATA("outcome",$A$1,"outcome","successful","country","DK")/GETPIVOTDATA("outcome",$A$1,"country","DK")</f>
        <v>0.56666666666666665</v>
      </c>
      <c r="J6" s="10" t="s">
        <v>15</v>
      </c>
      <c r="K6" s="26">
        <v>4.6511627906976744E-2</v>
      </c>
      <c r="L6" s="26">
        <v>0.44186046511627908</v>
      </c>
      <c r="M6" s="26">
        <v>0.51162790697674421</v>
      </c>
      <c r="N6" s="26">
        <v>1</v>
      </c>
      <c r="O6" s="112">
        <f>GETPIVOTDATA("outcome",$J$3,"outcome","successful","country","CA")-1.96*GETPIVOTDATA("outcome",$J$3,"outcome","successful","country","CA")*(1-GETPIVOTDATA("outcome",$J$3,"outcome","successful","country","CA"))/GETPIVOTDATA("outcome",$A$3,"country","CA")</f>
        <v>0.50023872111889522</v>
      </c>
      <c r="P6" s="112">
        <f>GETPIVOTDATA("outcome",$J$3,"outcome","successful","country","CA")+1.96*GETPIVOTDATA("outcome",$J$3,"outcome","successful","country","CA")*(1-GETPIVOTDATA("outcome",$J$3,"outcome","successful","country","CA"))/GETPIVOTDATA("outcome",$A$3,"country","CA")</f>
        <v>0.52301709283459319</v>
      </c>
    </row>
    <row r="7" spans="1:16" x14ac:dyDescent="0.2">
      <c r="A7" s="10" t="s">
        <v>98</v>
      </c>
      <c r="B7" s="21">
        <v>4</v>
      </c>
      <c r="C7" s="21">
        <v>6</v>
      </c>
      <c r="D7" s="21">
        <v>12</v>
      </c>
      <c r="E7" s="21">
        <v>22</v>
      </c>
      <c r="F7"/>
      <c r="G7" s="28">
        <f>GETPIVOTDATA("outcome",$A$1,"outcome","successful","country","GB")/GETPIVOTDATA("outcome",$A$1,"country","GB")</f>
        <v>0.5957446808510638</v>
      </c>
      <c r="J7" s="10" t="s">
        <v>98</v>
      </c>
      <c r="K7" s="26">
        <v>0.18181818181818182</v>
      </c>
      <c r="L7" s="26">
        <v>0.27272727272727271</v>
      </c>
      <c r="M7" s="26">
        <v>0.54545454545454541</v>
      </c>
      <c r="N7" s="26">
        <v>1</v>
      </c>
      <c r="O7" s="112">
        <f>GETPIVOTDATA("outcome",$J$3,"outcome","successful","country","CH")-1.96*GETPIVOTDATA("outcome",$J$3,"outcome","successful","country","CH")*(1-GETPIVOTDATA("outcome",$J$3,"outcome","successful","country","CH"))/GETPIVOTDATA("outcome",$A$3,"country","CH")</f>
        <v>0.52336589030803904</v>
      </c>
      <c r="P7" s="112">
        <f>GETPIVOTDATA("outcome",$J$3,"outcome","successful","country","CH")+1.96*GETPIVOTDATA("outcome",$J$3,"outcome","successful","country","CH")*(1-GETPIVOTDATA("outcome",$J$3,"outcome","successful","country","CH"))/GETPIVOTDATA("outcome",$A$3,"country","CH")</f>
        <v>0.56754320060105179</v>
      </c>
    </row>
    <row r="8" spans="1:16" x14ac:dyDescent="0.2">
      <c r="A8" s="10" t="s">
        <v>36</v>
      </c>
      <c r="B8" s="21">
        <v>1</v>
      </c>
      <c r="C8" s="21">
        <v>12</v>
      </c>
      <c r="D8" s="21">
        <v>17</v>
      </c>
      <c r="E8" s="21">
        <v>30</v>
      </c>
      <c r="F8"/>
      <c r="G8" s="28">
        <f>GETPIVOTDATA("outcome",$A$1,"outcome","successful","country","IT")/GETPIVOTDATA("outcome",$A$1,"country","IT")</f>
        <v>0.54166666666666663</v>
      </c>
      <c r="J8" s="10" t="s">
        <v>36</v>
      </c>
      <c r="K8" s="26">
        <v>3.3333333333333333E-2</v>
      </c>
      <c r="L8" s="26">
        <v>0.4</v>
      </c>
      <c r="M8" s="26">
        <v>0.56666666666666665</v>
      </c>
      <c r="N8" s="26">
        <v>1</v>
      </c>
      <c r="O8" s="112">
        <f>GETPIVOTDATA("outcome",$J$3,"outcome","successful","country","DK")-1.96*GETPIVOTDATA("outcome",$J$3,"outcome","successful","country","DK")*(1-GETPIVOTDATA("outcome",$J$3,"outcome","successful","country","DK"))/GETPIVOTDATA("outcome",$A$3,"country","DK")</f>
        <v>0.55062370370370373</v>
      </c>
      <c r="P8" s="112">
        <f>GETPIVOTDATA("outcome",$J$3,"outcome","successful","country","DK")+1.96*GETPIVOTDATA("outcome",$J$3,"outcome","successful","country","DK")*(1-GETPIVOTDATA("outcome",$J$3,"outcome","successful","country","DK"))/GETPIVOTDATA("outcome",$A$3,"country","DK")</f>
        <v>0.58270962962962958</v>
      </c>
    </row>
    <row r="9" spans="1:16" x14ac:dyDescent="0.2">
      <c r="A9" s="10" t="s">
        <v>40</v>
      </c>
      <c r="B9" s="21">
        <v>1</v>
      </c>
      <c r="C9" s="21">
        <v>18</v>
      </c>
      <c r="D9" s="21">
        <v>28</v>
      </c>
      <c r="E9" s="21">
        <v>47</v>
      </c>
      <c r="F9"/>
      <c r="G9" s="28">
        <f>GETPIVOTDATA("outcome",$A$1,"outcome","successful","country","US")/GETPIVOTDATA("outcome",$A$1,"country","US")</f>
        <v>0.57824933687002655</v>
      </c>
      <c r="J9" s="10" t="s">
        <v>40</v>
      </c>
      <c r="K9" s="26">
        <v>2.1276595744680851E-2</v>
      </c>
      <c r="L9" s="26">
        <v>0.38297872340425532</v>
      </c>
      <c r="M9" s="26">
        <v>0.5957446808510638</v>
      </c>
      <c r="N9" s="26">
        <v>1</v>
      </c>
      <c r="O9" s="112">
        <f>GETPIVOTDATA("outcome",$J$3,"outcome","successful","country","GB")-1.96*GETPIVOTDATA("outcome",$J$3,"outcome","successful","country","GB")*(1-GETPIVOTDATA("outcome",$J$3,"outcome","successful","country","GB"))/GETPIVOTDATA("outcome",$A$3,"country","GB")</f>
        <v>0.58570143417161902</v>
      </c>
      <c r="P9" s="112">
        <f>GETPIVOTDATA("outcome",$J$3,"outcome","successful","country","GB")+1.96*GETPIVOTDATA("outcome",$J$3,"outcome","successful","country","GB")*(1-GETPIVOTDATA("outcome",$J$3,"outcome","successful","country","GB"))/GETPIVOTDATA("outcome",$A$3,"country","GB")</f>
        <v>0.60578792753050859</v>
      </c>
    </row>
    <row r="10" spans="1:16" x14ac:dyDescent="0.2">
      <c r="A10" s="10" t="s">
        <v>107</v>
      </c>
      <c r="B10" s="21">
        <v>3</v>
      </c>
      <c r="C10" s="21">
        <v>19</v>
      </c>
      <c r="D10" s="21">
        <v>26</v>
      </c>
      <c r="E10" s="21">
        <v>48</v>
      </c>
      <c r="F10"/>
      <c r="G10" s="27">
        <f>GETPIVOTDATA("outcome",$A$1,"outcome","successful")/GETPIVOTDATA("outcome",$A$1)</f>
        <v>0.57302231237322521</v>
      </c>
      <c r="J10" s="10" t="s">
        <v>107</v>
      </c>
      <c r="K10" s="26">
        <v>6.25E-2</v>
      </c>
      <c r="L10" s="26">
        <v>0.39583333333333331</v>
      </c>
      <c r="M10" s="26">
        <v>0.54166666666666663</v>
      </c>
      <c r="N10" s="26">
        <v>1</v>
      </c>
      <c r="O10" s="112">
        <f>GETPIVOTDATA("outcome",$J$3,"outcome","successful","country","IT")-1.96*GETPIVOTDATA("outcome",$J$3,"outcome","successful","country","IT")*(1-GETPIVOTDATA("outcome",$J$3,"outcome","successful","country","IT"))/GETPIVOTDATA("outcome",$A$3,"country","IT")</f>
        <v>0.53152922453703699</v>
      </c>
      <c r="P10" s="112">
        <f>GETPIVOTDATA("outcome",$J$3,"outcome","successful","country","IT")+1.96*GETPIVOTDATA("outcome",$J$3,"outcome","successful","country","IT")*(1-GETPIVOTDATA("outcome",$J$3,"outcome","successful","country","IT"))/GETPIVOTDATA("outcome",$A$3,"country","IT")</f>
        <v>0.55180410879629627</v>
      </c>
    </row>
    <row r="11" spans="1:16" x14ac:dyDescent="0.2">
      <c r="A11" s="10" t="s">
        <v>21</v>
      </c>
      <c r="B11" s="21">
        <v>44</v>
      </c>
      <c r="C11" s="21">
        <v>274</v>
      </c>
      <c r="D11" s="21">
        <v>436</v>
      </c>
      <c r="E11" s="21">
        <v>754</v>
      </c>
      <c r="F11"/>
      <c r="J11" s="10" t="s">
        <v>21</v>
      </c>
      <c r="K11" s="26">
        <v>5.8355437665782495E-2</v>
      </c>
      <c r="L11" s="26">
        <v>0.36339522546419101</v>
      </c>
      <c r="M11" s="26">
        <v>0.57824933687002655</v>
      </c>
      <c r="N11" s="26">
        <v>1</v>
      </c>
      <c r="O11" s="112">
        <f>GETPIVOTDATA("outcome",$J$3,"outcome","successful","country","US")-1.96*GETPIVOTDATA("outcome",$J$3,"outcome","successful","country","US")*(1-GETPIVOTDATA("outcome",$J$3,"outcome","successful","country","US"))/GETPIVOTDATA("outcome",$A$3,"country","US")</f>
        <v>0.57761538594044082</v>
      </c>
      <c r="P11" s="112">
        <f>GETPIVOTDATA("outcome",$J$3,"outcome","successful","country","US")+1.96*GETPIVOTDATA("outcome",$J$3,"outcome","successful","country","US")*(1-GETPIVOTDATA("outcome",$J$3,"outcome","successful","country","US"))/GETPIVOTDATA("outcome",$A$3,"country","US")</f>
        <v>0.57888328779961229</v>
      </c>
    </row>
    <row r="12" spans="1:16" x14ac:dyDescent="0.2">
      <c r="A12" s="10" t="s">
        <v>2030</v>
      </c>
      <c r="B12" s="21">
        <v>57</v>
      </c>
      <c r="C12" s="21">
        <v>364</v>
      </c>
      <c r="D12" s="21">
        <v>565</v>
      </c>
      <c r="E12" s="21">
        <v>986</v>
      </c>
      <c r="F12"/>
      <c r="J12" s="10" t="s">
        <v>2030</v>
      </c>
      <c r="K12" s="26">
        <v>5.7809330628803245E-2</v>
      </c>
      <c r="L12" s="26">
        <v>0.36916835699797163</v>
      </c>
      <c r="M12" s="26">
        <v>0.57302231237322521</v>
      </c>
      <c r="N12" s="26">
        <v>1</v>
      </c>
      <c r="O12" s="114">
        <f>GETPIVOTDATA("outcome",$J$3,"outcome","successful")-1.96*GETPIVOTDATA("outcome",$J$3,"outcome","successful")*(1-GETPIVOTDATA("outcome",$J$3,"outcome","successful"))/GETPIVOTDATA("outcome",$A$3)</f>
        <v>0.57253595459014661</v>
      </c>
      <c r="P12" s="114">
        <f>GETPIVOTDATA("outcome",$J$3,"outcome","successful")+1.96*GETPIVOTDATA("outcome",$J$3,"outcome","successful")*(1-GETPIVOTDATA("outcome",$J$3,"outcome","successful"))/GETPIVOTDATA("outcome",$A$3)</f>
        <v>0.5735086701563038</v>
      </c>
    </row>
  </sheetData>
  <mergeCells count="2">
    <mergeCell ref="O3:P3"/>
    <mergeCell ref="O4:P4"/>
  </mergeCells>
  <pageMargins left="0.7" right="0.7" top="0.75" bottom="0.75" header="0.3" footer="0.3"/>
  <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81BB4-588E-F043-9368-548B6C5E4E22}">
  <dimension ref="A1:G17"/>
  <sheetViews>
    <sheetView zoomScale="120" zoomScaleNormal="120" workbookViewId="0">
      <selection activeCell="A2" sqref="A2"/>
    </sheetView>
  </sheetViews>
  <sheetFormatPr baseColWidth="10" defaultRowHeight="16" x14ac:dyDescent="0.2"/>
  <cols>
    <col min="1" max="1" width="15.83203125" style="13" customWidth="1"/>
    <col min="2" max="5" width="15.83203125" style="61" customWidth="1"/>
    <col min="6" max="6" width="17.1640625" style="61" customWidth="1"/>
    <col min="7" max="7" width="15.83203125" style="61" customWidth="1"/>
    <col min="8" max="16384" width="10.83203125" style="5"/>
  </cols>
  <sheetData>
    <row r="1" spans="1:7" ht="21" x14ac:dyDescent="0.25">
      <c r="A1" s="69" t="s">
        <v>2218</v>
      </c>
    </row>
    <row r="3" spans="1:7" s="13" customFormat="1" ht="19" x14ac:dyDescent="0.25">
      <c r="A3" s="91" t="s">
        <v>2229</v>
      </c>
      <c r="B3" s="79" t="s">
        <v>2079</v>
      </c>
      <c r="C3" s="79" t="s">
        <v>2157</v>
      </c>
      <c r="D3" s="79" t="s">
        <v>2158</v>
      </c>
      <c r="E3" s="79" t="s">
        <v>2159</v>
      </c>
      <c r="F3" s="79" t="s">
        <v>2204</v>
      </c>
      <c r="G3" s="79" t="s">
        <v>2160</v>
      </c>
    </row>
    <row r="4" spans="1:7" ht="19" x14ac:dyDescent="0.25">
      <c r="A4" s="80" t="s">
        <v>2079</v>
      </c>
      <c r="B4" s="81" cm="1">
        <f t="array" ref="B4">CORREL(_xlfn.RANK.AVG(CrowdfundingTable[goal],CrowdfundingTable[goal],1),_xlfn.RANK.AVG(CrowdfundingTable[goal],CrowdfundingTable[goal],1))</f>
        <v>1</v>
      </c>
      <c r="C4" s="82" cm="1">
        <f t="array" ref="C4">CORREL(_xlfn.RANK.AVG(CrowdfundingTable[pledged],CrowdfundingTable[pledged],1),_xlfn.RANK.AVG(CrowdfundingTable[goal],CrowdfundingTable[goal],1))</f>
        <v>0.66049146764366962</v>
      </c>
      <c r="D4" s="82" cm="1">
        <f t="array" ref="D4">CORREL(_xlfn.RANK.AVG(CrowdfundingTable[percent_funded],CrowdfundingTable[percent_funded],1),_xlfn.RANK.AVG(CrowdfundingTable[goal],CrowdfundingTable[goal],1))</f>
        <v>-0.43344051645055043</v>
      </c>
      <c r="E4" s="82" cm="1">
        <f t="array" ref="E4">CORREL(_xlfn.RANK.AVG(CrowdfundingTable[backers_count],CrowdfundingTable[backers_count],1),_xlfn.RANK.AVG(CrowdfundingTable[goal],CrowdfundingTable[goal],1))</f>
        <v>0.65824919918281133</v>
      </c>
      <c r="F4" s="83" cm="1">
        <f t="array" ref="F4">CORREL(_xlfn.RANK.AVG(CrowdfundingTable[average_donation],CrowdfundingTable[average_donation],1),_xlfn.RANK.AVG(CrowdfundingTable[goal],CrowdfundingTable[goal],1))</f>
        <v>6.8937924644619925E-2</v>
      </c>
      <c r="G4" s="83" cm="1">
        <f t="array" ref="G4">CORREL(_xlfn.RANK.AVG(CrowdfundingTable[duration],CrowdfundingTable[duration],1),_xlfn.RANK.AVG(CrowdfundingTable[goal],CrowdfundingTable[goal],1))</f>
        <v>2.2732234799642984E-2</v>
      </c>
    </row>
    <row r="5" spans="1:7" ht="19" x14ac:dyDescent="0.25">
      <c r="A5" s="80" t="s">
        <v>2157</v>
      </c>
      <c r="B5" s="82" cm="1">
        <f t="array" ref="B5">CORREL(_xlfn.RANK.AVG(CrowdfundingTable[goal],CrowdfundingTable[goal],1),_xlfn.RANK.AVG(CrowdfundingTable[pledged],CrowdfundingTable[pledged],1))</f>
        <v>0.66049146764366962</v>
      </c>
      <c r="C5" s="81" cm="1">
        <f t="array" ref="C5">CORREL(_xlfn.RANK.AVG(CrowdfundingTable[pledged],CrowdfundingTable[pledged],1),_xlfn.RANK.AVG(CrowdfundingTable[pledged],CrowdfundingTable[pledged],1))</f>
        <v>1</v>
      </c>
      <c r="D5" s="83" cm="1">
        <f t="array" ref="D5">CORREL(_xlfn.RANK.AVG(CrowdfundingTable[percent_funded],CrowdfundingTable[percent_funded],1),_xlfn.RANK.AVG(CrowdfundingTable[pledged],CrowdfundingTable[pledged],1))</f>
        <v>0.30163285545987262</v>
      </c>
      <c r="E5" s="84" cm="1">
        <f t="array" ref="E5">CORREL(_xlfn.RANK.AVG(CrowdfundingTable[backers_count],CrowdfundingTable[backers_count],1),_xlfn.RANK.AVG(CrowdfundingTable[pledged],CrowdfundingTable[pledged],1))</f>
        <v>0.94141591912149059</v>
      </c>
      <c r="F5" s="83" cm="1">
        <f t="array" ref="F5">CORREL(_xlfn.RANK.AVG(CrowdfundingTable[average_donation],CrowdfundingTable[average_donation],1),_xlfn.RANK.AVG(CrowdfundingTable[pledged],CrowdfundingTable[pledged],1))</f>
        <v>0.13566848657919658</v>
      </c>
      <c r="G5" s="83" cm="1">
        <f t="array" ref="G5">CORREL(_xlfn.RANK.AVG(CrowdfundingTable[duration],CrowdfundingTable[duration],1),_xlfn.RANK.AVG(CrowdfundingTable[pledged],CrowdfundingTable[pledged],1))</f>
        <v>-3.7822182765921793E-5</v>
      </c>
    </row>
    <row r="6" spans="1:7" ht="19" x14ac:dyDescent="0.25">
      <c r="A6" s="80" t="s">
        <v>2158</v>
      </c>
      <c r="B6" s="82" cm="1">
        <f t="array" ref="B6">CORREL(_xlfn.RANK.AVG(CrowdfundingTable[goal],CrowdfundingTable[goal],1),_xlfn.RANK.AVG(CrowdfundingTable[percent_funded],CrowdfundingTable[percent_funded],1))</f>
        <v>-0.43344051645055043</v>
      </c>
      <c r="C6" s="83" cm="1">
        <f t="array" ref="C6">CORREL(_xlfn.RANK.AVG(CrowdfundingTable[pledged],CrowdfundingTable[pledged],1),_xlfn.RANK.AVG(CrowdfundingTable[percent_funded],CrowdfundingTable[percent_funded],1))</f>
        <v>0.30163285545987262</v>
      </c>
      <c r="D6" s="81" cm="1">
        <f t="array" ref="D6">CORREL(_xlfn.RANK.AVG(CrowdfundingTable[percent_funded],CrowdfundingTable[percent_funded],1),_xlfn.RANK.AVG(CrowdfundingTable[percent_funded],CrowdfundingTable[percent_funded],1))</f>
        <v>1.0000000000000002</v>
      </c>
      <c r="E6" s="83" cm="1">
        <f t="array" ref="E6">CORREL(_xlfn.RANK.AVG(CrowdfundingTable[backers_count],CrowdfundingTable[backers_count],1),_xlfn.RANK.AVG(CrowdfundingTable[percent_funded],CrowdfundingTable[percent_funded],1))</f>
        <v>0.25412803212537483</v>
      </c>
      <c r="F6" s="83" cm="1">
        <f t="array" ref="F6">CORREL(_xlfn.RANK.AVG(CrowdfundingTable[average_donation],CrowdfundingTable[average_donation],1),_xlfn.RANK.AVG(CrowdfundingTable[percent_funded],CrowdfundingTable[percent_funded],1))</f>
        <v>0.1181321824070095</v>
      </c>
      <c r="G6" s="83" cm="1">
        <f t="array" ref="G6">CORREL(_xlfn.RANK.AVG(CrowdfundingTable[duration],CrowdfundingTable[duration],1),_xlfn.RANK.AVG(CrowdfundingTable[percent_funded],CrowdfundingTable[percent_funded],1))</f>
        <v>-1.9855095487336188E-2</v>
      </c>
    </row>
    <row r="7" spans="1:7" ht="19" x14ac:dyDescent="0.25">
      <c r="A7" s="80" t="s">
        <v>2159</v>
      </c>
      <c r="B7" s="82" cm="1">
        <f t="array" ref="B7">CORREL(_xlfn.RANK.AVG(CrowdfundingTable[goal],CrowdfundingTable[goal],1),_xlfn.RANK.AVG(CrowdfundingTable[backers_count],CrowdfundingTable[backers_count],1))</f>
        <v>0.65824919918281133</v>
      </c>
      <c r="C7" s="84" cm="1">
        <f t="array" ref="C7">CORREL(_xlfn.RANK.AVG(CrowdfundingTable[pledged],CrowdfundingTable[pledged],1),_xlfn.RANK.AVG(CrowdfundingTable[backers_count],CrowdfundingTable[backers_count],1))</f>
        <v>0.94141591912149059</v>
      </c>
      <c r="D7" s="83" cm="1">
        <f t="array" ref="D7">CORREL(_xlfn.RANK.AVG(CrowdfundingTable[percent_funded],CrowdfundingTable[percent_funded],1),_xlfn.RANK.AVG(CrowdfundingTable[backers_count],CrowdfundingTable[backers_count],1))</f>
        <v>0.25412803212537483</v>
      </c>
      <c r="E7" s="81" cm="1">
        <f t="array" ref="E7">CORREL(_xlfn.RANK.AVG(CrowdfundingTable[backers_count],CrowdfundingTable[backers_count],1),_xlfn.RANK.AVG(CrowdfundingTable[backers_count],CrowdfundingTable[backers_count],1))</f>
        <v>0.99999999999999978</v>
      </c>
      <c r="F7" s="83" cm="1">
        <f t="array" ref="F7">CORREL(_xlfn.RANK.AVG(CrowdfundingTable[average_donation],CrowdfundingTable[average_donation],1),_xlfn.RANK.AVG(CrowdfundingTable[backers_count],CrowdfundingTable[backers_count],1))</f>
        <v>-0.14952978416552884</v>
      </c>
      <c r="G7" s="83" cm="1">
        <f t="array" ref="G7">CORREL(_xlfn.RANK.AVG(CrowdfundingTable[duration],CrowdfundingTable[duration],1),_xlfn.RANK.AVG(CrowdfundingTable[backers_count],CrowdfundingTable[backers_count],1))</f>
        <v>1.4592900254589494E-3</v>
      </c>
    </row>
    <row r="8" spans="1:7" ht="19" x14ac:dyDescent="0.25">
      <c r="A8" s="80" t="s">
        <v>2204</v>
      </c>
      <c r="B8" s="83" cm="1">
        <f t="array" ref="B8">CORREL(_xlfn.RANK.AVG(CrowdfundingTable[goal],CrowdfundingTable[goal],1),_xlfn.RANK.AVG(CrowdfundingTable[average_donation],CrowdfundingTable[average_donation],1))</f>
        <v>6.8937924644619925E-2</v>
      </c>
      <c r="C8" s="83" cm="1">
        <f t="array" ref="C8">CORREL(_xlfn.RANK.AVG(CrowdfundingTable[pledged],CrowdfundingTable[pledged],1),_xlfn.RANK.AVG(CrowdfundingTable[average_donation],CrowdfundingTable[average_donation],1))</f>
        <v>0.13566848657919658</v>
      </c>
      <c r="D8" s="83" cm="1">
        <f t="array" ref="D8">CORREL(_xlfn.RANK.AVG(CrowdfundingTable[percent_funded],CrowdfundingTable[percent_funded],1),_xlfn.RANK.AVG(CrowdfundingTable[average_donation],CrowdfundingTable[average_donation],1))</f>
        <v>0.1181321824070095</v>
      </c>
      <c r="E8" s="83" cm="1">
        <f t="array" ref="E8">CORREL(_xlfn.RANK.AVG(CrowdfundingTable[backers_count],CrowdfundingTable[backers_count],1),_xlfn.RANK.AVG(CrowdfundingTable[average_donation],CrowdfundingTable[average_donation],1))</f>
        <v>-0.14952978416552884</v>
      </c>
      <c r="F8" s="81" cm="1">
        <f t="array" ref="F8">CORREL(_xlfn.RANK.AVG(CrowdfundingTable[average_donation],CrowdfundingTable[average_donation],1),_xlfn.RANK.AVG(CrowdfundingTable[average_donation],CrowdfundingTable[average_donation],1))</f>
        <v>0.99999999999999978</v>
      </c>
      <c r="G8" s="83" cm="1">
        <f t="array" ref="G8">CORREL(_xlfn.RANK.AVG(CrowdfundingTable[duration],CrowdfundingTable[duration],1),_xlfn.RANK.AVG(CrowdfundingTable[average_donation],CrowdfundingTable[average_donation],1))</f>
        <v>-2.3636641155059545E-2</v>
      </c>
    </row>
    <row r="9" spans="1:7" ht="19" x14ac:dyDescent="0.25">
      <c r="A9" s="80" t="s">
        <v>2160</v>
      </c>
      <c r="B9" s="83" cm="1">
        <f t="array" ref="B9">CORREL(_xlfn.RANK.AVG(CrowdfundingTable[goal],CrowdfundingTable[goal],1),_xlfn.RANK.AVG(CrowdfundingTable[duration],CrowdfundingTable[duration],1))</f>
        <v>2.2732234799642984E-2</v>
      </c>
      <c r="C9" s="87" cm="1">
        <f t="array" ref="C9">CORREL(_xlfn.RANK.AVG(CrowdfundingTable[pledged],CrowdfundingTable[pledged],1),_xlfn.RANK.AVG(CrowdfundingTable[duration],CrowdfundingTable[duration],1))</f>
        <v>-3.7822182765921793E-5</v>
      </c>
      <c r="D9" s="83" cm="1">
        <f t="array" ref="D9">CORREL(_xlfn.RANK.AVG(CrowdfundingTable[percent_funded],CrowdfundingTable[percent_funded],1),_xlfn.RANK.AVG(CrowdfundingTable[duration],CrowdfundingTable[duration],1))</f>
        <v>-1.9855095487336188E-2</v>
      </c>
      <c r="E9" s="83" cm="1">
        <f t="array" ref="E9">CORREL(_xlfn.RANK.AVG(CrowdfundingTable[backers_count],CrowdfundingTable[backers_count],1),_xlfn.RANK.AVG(CrowdfundingTable[duration],CrowdfundingTable[duration],1))</f>
        <v>1.4592900254589494E-3</v>
      </c>
      <c r="F9" s="83" cm="1">
        <f t="array" ref="F9">CORREL(_xlfn.RANK.AVG(CrowdfundingTable[average_donation],CrowdfundingTable[average_donation],1),_xlfn.RANK.AVG(CrowdfundingTable[duration],CrowdfundingTable[duration],1))</f>
        <v>-2.3636641155059545E-2</v>
      </c>
      <c r="G9" s="81" cm="1">
        <f t="array" ref="G9">CORREL(_xlfn.RANK.AVG(CrowdfundingTable[duration],CrowdfundingTable[duration],1),_xlfn.RANK.AVG(CrowdfundingTable[duration],CrowdfundingTable[duration],1))</f>
        <v>1.0000000000000002</v>
      </c>
    </row>
    <row r="10" spans="1:7" ht="19" x14ac:dyDescent="0.25">
      <c r="A10" s="68"/>
      <c r="B10" s="85"/>
      <c r="C10" s="85"/>
      <c r="D10" s="85"/>
      <c r="E10" s="85"/>
      <c r="F10" s="85"/>
      <c r="G10" s="85"/>
    </row>
    <row r="11" spans="1:7" ht="19" x14ac:dyDescent="0.25">
      <c r="A11" s="65" t="s">
        <v>2161</v>
      </c>
      <c r="B11" s="67"/>
      <c r="C11" s="67"/>
      <c r="D11" s="67"/>
      <c r="E11" s="67"/>
      <c r="F11" s="67"/>
      <c r="G11" s="85"/>
    </row>
    <row r="12" spans="1:7" s="33" customFormat="1" ht="19" x14ac:dyDescent="0.25">
      <c r="A12" s="107" t="s">
        <v>2162</v>
      </c>
      <c r="B12" s="107"/>
      <c r="C12" s="107"/>
      <c r="D12" s="107"/>
      <c r="E12" s="107"/>
      <c r="F12" s="107"/>
      <c r="G12" s="86"/>
    </row>
    <row r="13" spans="1:7" ht="19" x14ac:dyDescent="0.25">
      <c r="A13" s="67"/>
      <c r="B13" s="67"/>
      <c r="C13" s="67"/>
      <c r="D13" s="67"/>
      <c r="E13" s="67"/>
      <c r="F13" s="67"/>
      <c r="G13" s="85"/>
    </row>
    <row r="14" spans="1:7" ht="19" x14ac:dyDescent="0.25">
      <c r="A14" s="65" t="s">
        <v>2163</v>
      </c>
      <c r="B14" s="67"/>
      <c r="C14" s="67"/>
      <c r="D14" s="67"/>
      <c r="E14" s="67"/>
      <c r="F14" s="67"/>
      <c r="G14" s="85"/>
    </row>
    <row r="15" spans="1:7" ht="19" x14ac:dyDescent="0.25">
      <c r="A15" s="108" t="s">
        <v>2205</v>
      </c>
      <c r="B15" s="108"/>
      <c r="C15" s="108"/>
      <c r="D15" s="108"/>
      <c r="E15" s="108"/>
      <c r="F15" s="108"/>
      <c r="G15" s="85"/>
    </row>
    <row r="16" spans="1:7" ht="19" x14ac:dyDescent="0.25">
      <c r="A16" s="108" t="s">
        <v>2206</v>
      </c>
      <c r="B16" s="108"/>
      <c r="C16" s="108"/>
      <c r="D16" s="108"/>
      <c r="E16" s="108"/>
      <c r="F16" s="108"/>
      <c r="G16" s="85"/>
    </row>
    <row r="17" spans="1:7" ht="19" x14ac:dyDescent="0.25">
      <c r="A17" s="108" t="s">
        <v>2164</v>
      </c>
      <c r="B17" s="108"/>
      <c r="C17" s="108"/>
      <c r="D17" s="108"/>
      <c r="E17" s="108"/>
      <c r="F17" s="108"/>
      <c r="G17" s="85"/>
    </row>
  </sheetData>
  <mergeCells count="4">
    <mergeCell ref="A12:F12"/>
    <mergeCell ref="A15:F15"/>
    <mergeCell ref="A16:F16"/>
    <mergeCell ref="A17:F17"/>
  </mergeCells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BEDA1-4A1C-5548-B743-8D2BFCA35600}">
  <dimension ref="A1:L8"/>
  <sheetViews>
    <sheetView zoomScale="120" zoomScaleNormal="120" workbookViewId="0">
      <selection activeCell="A3" sqref="A3"/>
    </sheetView>
  </sheetViews>
  <sheetFormatPr baseColWidth="10" defaultRowHeight="16" x14ac:dyDescent="0.2"/>
  <cols>
    <col min="1" max="1" width="20.83203125" style="5" customWidth="1"/>
    <col min="2" max="6" width="15.83203125" style="5" customWidth="1"/>
    <col min="7" max="10" width="20.83203125" style="5" customWidth="1"/>
    <col min="11" max="16384" width="10.83203125" style="5"/>
  </cols>
  <sheetData>
    <row r="1" spans="1:12" ht="21" x14ac:dyDescent="0.25">
      <c r="A1" s="106" t="s">
        <v>2165</v>
      </c>
      <c r="B1" s="106"/>
      <c r="C1" s="106"/>
      <c r="D1" s="106"/>
      <c r="E1" s="106"/>
      <c r="F1" s="106"/>
      <c r="G1" s="106"/>
      <c r="H1" s="106"/>
    </row>
    <row r="2" spans="1:12" s="66" customFormat="1" ht="19" x14ac:dyDescent="0.25">
      <c r="A2" s="109" t="s">
        <v>2171</v>
      </c>
      <c r="B2" s="109"/>
      <c r="C2" s="109"/>
      <c r="D2" s="109"/>
      <c r="E2" s="109"/>
      <c r="F2" s="109"/>
      <c r="G2" s="109"/>
      <c r="H2" s="109"/>
    </row>
    <row r="3" spans="1:12" x14ac:dyDescent="0.2">
      <c r="K3" s="113" t="s">
        <v>2235</v>
      </c>
      <c r="L3" s="113"/>
    </row>
    <row r="4" spans="1:12" ht="19" x14ac:dyDescent="0.25">
      <c r="A4" s="71" t="s">
        <v>2166</v>
      </c>
      <c r="B4" s="72" t="s">
        <v>2153</v>
      </c>
      <c r="C4" s="72" t="s">
        <v>2154</v>
      </c>
      <c r="D4" s="72" t="s">
        <v>2155</v>
      </c>
      <c r="E4" s="72" t="s">
        <v>2156</v>
      </c>
      <c r="F4" s="72" t="s">
        <v>2152</v>
      </c>
      <c r="G4" s="73" t="s">
        <v>2200</v>
      </c>
      <c r="H4" s="74" t="s">
        <v>2201</v>
      </c>
      <c r="I4" s="74" t="s">
        <v>2202</v>
      </c>
      <c r="J4" s="74" t="s">
        <v>2203</v>
      </c>
      <c r="K4" s="113" t="s">
        <v>2236</v>
      </c>
      <c r="L4" s="113"/>
    </row>
    <row r="5" spans="1:12" ht="19" x14ac:dyDescent="0.25">
      <c r="A5" s="75" t="s">
        <v>2167</v>
      </c>
      <c r="B5" s="76">
        <f>COUNTIFS(Crowdfunding!$R$2:$R$1001,"FALSE",Crowdfunding!$S$2:$S$1001,"FALSE",Crowdfunding!$G$2:$G$1001,"=successful")</f>
        <v>400</v>
      </c>
      <c r="C5" s="76">
        <f>COUNTIFS(Crowdfunding!$R$2:$R$1001,"FALSE",Crowdfunding!$S$2:$S$1001,"FALSE",Crowdfunding!$G$2:$G$1001,"=failed")</f>
        <v>248</v>
      </c>
      <c r="D5" s="76">
        <f>COUNTIFS(Crowdfunding!$R$2:$R$1001,"FALSE",Crowdfunding!$S$2:$S$1001,"FALSE",Crowdfunding!$G$2:$G$1001,"=canceled")</f>
        <v>40</v>
      </c>
      <c r="E5" s="76">
        <f>COUNTIFS(Crowdfunding!$R$2:$R$1001,"FALSE",Crowdfunding!$S$2:$S$1001,"FALSE",Crowdfunding!$G$2:$G$1001,"=live")</f>
        <v>11</v>
      </c>
      <c r="F5" s="76">
        <f t="shared" ref="F5:F8" si="0">SUM(B5:E5)</f>
        <v>699</v>
      </c>
      <c r="G5" s="77">
        <f>B5/$F5</f>
        <v>0.57224606580829762</v>
      </c>
      <c r="H5" s="78">
        <f>C5/$F5</f>
        <v>0.35479256080114452</v>
      </c>
      <c r="I5" s="78">
        <f>D5/$F5</f>
        <v>5.7224606580829757E-2</v>
      </c>
      <c r="J5" s="78">
        <f>E5/$F5</f>
        <v>1.5736766809728183E-2</v>
      </c>
      <c r="K5" s="115">
        <f>GoalAnalysisTable5[[#This Row],[Success Rate (%)]]-1.96*GoalAnalysisTable5[[#This Row],[Success Rate (%)]]*(1-GoalAnalysisTable5[[#This Row],[Success Rate (%)]])/GoalAnalysisTable5[[#This Row],[Count]]</f>
        <v>0.57155969986879629</v>
      </c>
      <c r="L5" s="115">
        <f>GoalAnalysisTable5[[#This Row],[Success Rate (%)]]+1.96*GoalAnalysisTable5[[#This Row],[Success Rate (%)]]*(1-GoalAnalysisTable5[[#This Row],[Success Rate (%)]])/GoalAnalysisTable5[[#This Row],[Count]]</f>
        <v>0.57293243174779895</v>
      </c>
    </row>
    <row r="6" spans="1:12" ht="19" x14ac:dyDescent="0.25">
      <c r="A6" s="75" t="s">
        <v>2168</v>
      </c>
      <c r="B6" s="76">
        <f>COUNTIFS(Crowdfunding!$R$2:$R$1001,"FALSE",Crowdfunding!$S$2:$S$1001,"TRUE",Crowdfunding!$G$2:$G$1001,"=successful")</f>
        <v>137</v>
      </c>
      <c r="C6" s="76">
        <f>COUNTIFS(Crowdfunding!$R$2:$R$1001,"FALSE",Crowdfunding!$S$2:$S$1001,"TRUE",Crowdfunding!$G$2:$G$1001,"=failed")</f>
        <v>99</v>
      </c>
      <c r="D6" s="76">
        <f>COUNTIFS(Crowdfunding!$R$2:$R$1001,"FALSE",Crowdfunding!$S$2:$S$1001,"TRUE",Crowdfunding!$G$2:$G$1001,"=canceled")</f>
        <v>13</v>
      </c>
      <c r="E6" s="76">
        <f>COUNTIFS(Crowdfunding!$R$2:$R$1001,"FALSE",Crowdfunding!$S$2:$S$1001,"TRUE",Crowdfunding!$G$2:$G$1001,"=live")</f>
        <v>3</v>
      </c>
      <c r="F6" s="76">
        <f t="shared" si="0"/>
        <v>252</v>
      </c>
      <c r="G6" s="77">
        <f t="shared" ref="G6:I8" si="1">B6/$F6</f>
        <v>0.54365079365079361</v>
      </c>
      <c r="H6" s="78">
        <f t="shared" si="1"/>
        <v>0.39285714285714285</v>
      </c>
      <c r="I6" s="78">
        <f t="shared" si="1"/>
        <v>5.1587301587301584E-2</v>
      </c>
      <c r="J6" s="78">
        <f t="shared" ref="J6:J8" si="2">E6/$F6</f>
        <v>1.1904761904761904E-2</v>
      </c>
      <c r="K6" s="112">
        <f>GoalAnalysisTable5[[#This Row],[Success Rate (%)]]-1.96*GoalAnalysisTable5[[#This Row],[Success Rate (%)]]*(1-GoalAnalysisTable5[[#This Row],[Success Rate (%)]])/GoalAnalysisTable5[[#This Row],[Count]]</f>
        <v>0.54172116892024291</v>
      </c>
      <c r="L6" s="112">
        <f>GoalAnalysisTable5[[#This Row],[Success Rate (%)]]+1.96*GoalAnalysisTable5[[#This Row],[Success Rate (%)]]*(1-GoalAnalysisTable5[[#This Row],[Success Rate (%)]])/GoalAnalysisTable5[[#This Row],[Count]]</f>
        <v>0.5455804183813443</v>
      </c>
    </row>
    <row r="7" spans="1:12" ht="19" x14ac:dyDescent="0.25">
      <c r="A7" s="75" t="s">
        <v>2169</v>
      </c>
      <c r="B7" s="76">
        <f>COUNTIFS(Crowdfunding!$R$2:$R$1001,"TRUE",Crowdfunding!$S$2:$S$1001,"FALSE",Crowdfunding!$G$2:$G$1001,"=successful")</f>
        <v>18</v>
      </c>
      <c r="C7" s="76">
        <f>COUNTIFS(Crowdfunding!$R$2:$R$1001,"TRUE",Crowdfunding!$S$2:$S$1001,"FALSE",Crowdfunding!$G$2:$G$1001,"=failed")</f>
        <v>13</v>
      </c>
      <c r="D7" s="76">
        <f>COUNTIFS(Crowdfunding!$R$2:$R$1001,"TRUE",Crowdfunding!$S$2:$S$1001,"FALSE",Crowdfunding!$G$2:$G$1001,"=canceled")</f>
        <v>2</v>
      </c>
      <c r="E7" s="76">
        <f>COUNTIFS(Crowdfunding!$R$2:$R$1001,"TRUE",Crowdfunding!$S$2:$S$1001,"FALSE",Crowdfunding!$G$2:$G$1001,"=live")</f>
        <v>0</v>
      </c>
      <c r="F7" s="76">
        <f t="shared" si="0"/>
        <v>33</v>
      </c>
      <c r="G7" s="77">
        <f t="shared" si="1"/>
        <v>0.54545454545454541</v>
      </c>
      <c r="H7" s="78">
        <f t="shared" si="1"/>
        <v>0.39393939393939392</v>
      </c>
      <c r="I7" s="78">
        <f t="shared" si="1"/>
        <v>6.0606060606060608E-2</v>
      </c>
      <c r="J7" s="78">
        <f t="shared" si="2"/>
        <v>0</v>
      </c>
      <c r="K7" s="115">
        <f>GoalAnalysisTable5[[#This Row],[Success Rate (%)]]-1.96*GoalAnalysisTable5[[#This Row],[Success Rate (%)]]*(1-GoalAnalysisTable5[[#This Row],[Success Rate (%)]])/GoalAnalysisTable5[[#This Row],[Count]]</f>
        <v>0.53072877535687446</v>
      </c>
      <c r="L7" s="115">
        <f>GoalAnalysisTable5[[#This Row],[Success Rate (%)]]+1.96*GoalAnalysisTable5[[#This Row],[Success Rate (%)]]*(1-GoalAnalysisTable5[[#This Row],[Success Rate (%)]])/GoalAnalysisTable5[[#This Row],[Count]]</f>
        <v>0.56018031555221637</v>
      </c>
    </row>
    <row r="8" spans="1:12" ht="19" x14ac:dyDescent="0.25">
      <c r="A8" s="75" t="s">
        <v>2170</v>
      </c>
      <c r="B8" s="76">
        <f>COUNTIFS(Crowdfunding!$R$2:$R$1001,"TRUE",Crowdfunding!$S$2:$S$1001,"TRUE",Crowdfunding!$G$2:$G$1001,"=successful")</f>
        <v>10</v>
      </c>
      <c r="C8" s="76">
        <f>COUNTIFS(Crowdfunding!$R$2:$R$1001,"TRUE",Crowdfunding!$S$2:$S$1001,"TRUE",Crowdfunding!$G$2:$G$1001,"=failed")</f>
        <v>4</v>
      </c>
      <c r="D8" s="76">
        <f>COUNTIFS(Crowdfunding!$R$2:$R$1001,"TRUE",Crowdfunding!$S$2:$S$1001,"TRUE",Crowdfunding!$G$2:$G$1001,"=canceled")</f>
        <v>2</v>
      </c>
      <c r="E8" s="76">
        <f>COUNTIFS(Crowdfunding!$R$2:$R$1001,"TRUE",Crowdfunding!$S$2:$S$1001,"TRUE",Crowdfunding!$G$2:$G$1001,"=live")</f>
        <v>0</v>
      </c>
      <c r="F8" s="76">
        <f t="shared" si="0"/>
        <v>16</v>
      </c>
      <c r="G8" s="77">
        <f t="shared" si="1"/>
        <v>0.625</v>
      </c>
      <c r="H8" s="78">
        <f t="shared" si="1"/>
        <v>0.25</v>
      </c>
      <c r="I8" s="78">
        <f t="shared" si="1"/>
        <v>0.125</v>
      </c>
      <c r="J8" s="78">
        <f t="shared" si="2"/>
        <v>0</v>
      </c>
      <c r="K8" s="112">
        <f>GoalAnalysisTable5[[#This Row],[Success Rate (%)]]-1.96*GoalAnalysisTable5[[#This Row],[Success Rate (%)]]*(1-GoalAnalysisTable5[[#This Row],[Success Rate (%)]])/GoalAnalysisTable5[[#This Row],[Count]]</f>
        <v>0.59628906250000002</v>
      </c>
      <c r="L8" s="112">
        <f>GoalAnalysisTable5[[#This Row],[Success Rate (%)]]+1.96*GoalAnalysisTable5[[#This Row],[Success Rate (%)]]*(1-GoalAnalysisTable5[[#This Row],[Success Rate (%)]])/GoalAnalysisTable5[[#This Row],[Count]]</f>
        <v>0.65371093749999998</v>
      </c>
    </row>
  </sheetData>
  <mergeCells count="4">
    <mergeCell ref="A1:H1"/>
    <mergeCell ref="A2:H2"/>
    <mergeCell ref="K3:L3"/>
    <mergeCell ref="K4:L4"/>
  </mergeCells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F3FA3-89A3-0646-B738-5DAA8DF0D596}">
  <dimension ref="A1:D11"/>
  <sheetViews>
    <sheetView zoomScale="120" zoomScaleNormal="120" workbookViewId="0">
      <selection activeCell="A3" sqref="A3"/>
    </sheetView>
  </sheetViews>
  <sheetFormatPr baseColWidth="10" defaultColWidth="8.6640625" defaultRowHeight="16" x14ac:dyDescent="0.2"/>
  <cols>
    <col min="1" max="1" width="25.83203125" style="5" customWidth="1"/>
    <col min="2" max="2" width="38.83203125" style="5" customWidth="1"/>
    <col min="3" max="3" width="25.83203125" style="5" customWidth="1"/>
    <col min="4" max="4" width="42.6640625" style="5" customWidth="1"/>
    <col min="5" max="20" width="10.83203125" style="5" customWidth="1"/>
    <col min="21" max="16384" width="8.6640625" style="5"/>
  </cols>
  <sheetData>
    <row r="1" spans="1:4" s="70" customFormat="1" ht="21" x14ac:dyDescent="0.25">
      <c r="A1" s="110" t="s">
        <v>2210</v>
      </c>
      <c r="B1" s="110"/>
      <c r="C1" s="110"/>
      <c r="D1" s="110"/>
    </row>
    <row r="2" spans="1:4" s="13" customFormat="1" ht="19" x14ac:dyDescent="0.25">
      <c r="A2" s="111" t="s">
        <v>2172</v>
      </c>
      <c r="B2" s="111"/>
      <c r="C2" s="111"/>
      <c r="D2" s="111"/>
    </row>
    <row r="4" spans="1:4" x14ac:dyDescent="0.2">
      <c r="A4" s="5" t="s">
        <v>2173</v>
      </c>
      <c r="B4" s="5" t="s">
        <v>2174</v>
      </c>
      <c r="C4" s="5" t="s">
        <v>2175</v>
      </c>
      <c r="D4" s="5" t="s">
        <v>2176</v>
      </c>
    </row>
    <row r="5" spans="1:4" x14ac:dyDescent="0.2">
      <c r="A5" s="5" t="s">
        <v>2177</v>
      </c>
      <c r="B5" s="5" t="s">
        <v>2178</v>
      </c>
      <c r="C5" s="5" t="s">
        <v>2179</v>
      </c>
      <c r="D5" s="5" t="s">
        <v>2180</v>
      </c>
    </row>
    <row r="6" spans="1:4" x14ac:dyDescent="0.2">
      <c r="A6" s="5" t="s">
        <v>2181</v>
      </c>
      <c r="B6" s="5" t="s">
        <v>2182</v>
      </c>
      <c r="C6" s="5" t="s">
        <v>2183</v>
      </c>
      <c r="D6" s="5" t="s">
        <v>2184</v>
      </c>
    </row>
    <row r="7" spans="1:4" x14ac:dyDescent="0.2">
      <c r="A7" s="5" t="s">
        <v>2105</v>
      </c>
      <c r="B7" s="5" t="s">
        <v>2185</v>
      </c>
      <c r="C7" s="5" t="s">
        <v>2186</v>
      </c>
      <c r="D7" s="5" t="s">
        <v>2187</v>
      </c>
    </row>
    <row r="8" spans="1:4" x14ac:dyDescent="0.2">
      <c r="A8" s="5" t="s">
        <v>2188</v>
      </c>
      <c r="B8" s="5" t="s">
        <v>2207</v>
      </c>
      <c r="C8" s="5" t="s">
        <v>2189</v>
      </c>
      <c r="D8" s="5" t="s">
        <v>2190</v>
      </c>
    </row>
    <row r="9" spans="1:4" x14ac:dyDescent="0.2">
      <c r="A9" s="5" t="s">
        <v>2191</v>
      </c>
      <c r="B9" s="5" t="s">
        <v>2192</v>
      </c>
      <c r="C9" s="5" t="s">
        <v>2193</v>
      </c>
      <c r="D9" s="5" t="s">
        <v>2194</v>
      </c>
    </row>
    <row r="10" spans="1:4" x14ac:dyDescent="0.2">
      <c r="A10" s="5" t="s">
        <v>2195</v>
      </c>
      <c r="B10" s="5" t="s">
        <v>2208</v>
      </c>
      <c r="C10" s="5" t="s">
        <v>2196</v>
      </c>
      <c r="D10" s="5" t="s">
        <v>2197</v>
      </c>
    </row>
    <row r="11" spans="1:4" x14ac:dyDescent="0.2">
      <c r="A11" s="5" t="s">
        <v>2198</v>
      </c>
      <c r="B11" s="5" t="s">
        <v>2209</v>
      </c>
      <c r="C11" s="5" t="s">
        <v>2196</v>
      </c>
      <c r="D11" s="5" t="s">
        <v>2199</v>
      </c>
    </row>
  </sheetData>
  <mergeCells count="2">
    <mergeCell ref="A1:D1"/>
    <mergeCell ref="A2:D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Crowdfunding</vt:lpstr>
      <vt:lpstr>Outcomes vs. Categories</vt:lpstr>
      <vt:lpstr>Mean Funding Ratio</vt:lpstr>
      <vt:lpstr>Median Funding Ratio</vt:lpstr>
      <vt:lpstr>Outcomes vs. Weekdays</vt:lpstr>
      <vt:lpstr>Outcomes vs. Months</vt:lpstr>
      <vt:lpstr> Outcomes vs. Years</vt:lpstr>
      <vt:lpstr>Backer Distributions</vt:lpstr>
      <vt:lpstr>Campaign Summary</vt:lpstr>
      <vt:lpstr>Statistical Analysis (Goals)</vt:lpstr>
      <vt:lpstr>Statistical Analysis (Pledges)</vt:lpstr>
      <vt:lpstr>Category-Goal Statistics</vt:lpstr>
      <vt:lpstr>Category-Pledge Statistics</vt:lpstr>
      <vt:lpstr>StdDev Goal-Pledge vs. Outcomes</vt:lpstr>
      <vt:lpstr>Statistical Analysis (Backers)</vt:lpstr>
      <vt:lpstr>Statistical Analysis (Duration)</vt:lpstr>
      <vt:lpstr>Duration vs. Outcomes</vt:lpstr>
      <vt:lpstr>Countries vs. Outcomes</vt:lpstr>
      <vt:lpstr>Correlation Analysis</vt:lpstr>
      <vt:lpstr>Staff Pick &amp; Spotlight Effect</vt:lpstr>
      <vt:lpstr>Success Driver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Dominica Corless</dc:creator>
  <cp:lastModifiedBy>Nicholas George</cp:lastModifiedBy>
  <dcterms:created xsi:type="dcterms:W3CDTF">2021-09-29T18:52:28Z</dcterms:created>
  <dcterms:modified xsi:type="dcterms:W3CDTF">2026-05-13T00:19:46Z</dcterms:modified>
</cp:coreProperties>
</file>